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START HERE" sheetId="1" r:id="rId4"/>
    <sheet state="visible" name="02 Dashboard" sheetId="2" r:id="rId5"/>
    <sheet state="visible" name="03 Budget" sheetId="3" r:id="rId6"/>
    <sheet state="visible" name="04 Payments" sheetId="4" r:id="rId7"/>
    <sheet state="visible" name="05 Vendors" sheetId="5" r:id="rId8"/>
    <sheet state="visible" name="05a Vendor Compare" sheetId="6" r:id="rId9"/>
    <sheet state="visible" name="06 Contributions" sheetId="7" r:id="rId10"/>
    <sheet state="visible" name="07 Tasks" sheetId="8" r:id="rId11"/>
    <sheet state="visible" name="08 Countdown" sheetId="9" r:id="rId12"/>
    <sheet state="visible" name="09 Guests" sheetId="10" r:id="rId13"/>
    <sheet state="visible" name="10 RSVP &amp; Seating" sheetId="11" r:id="rId14"/>
    <sheet state="visible" name="11 Wedding Party" sheetId="12" r:id="rId15"/>
    <sheet state="visible" name="12 Attire &amp; Jewellery" sheetId="13" r:id="rId16"/>
    <sheet state="visible" name="13 Beauty &amp; Grooming" sheetId="14" r:id="rId17"/>
    <sheet state="visible" name="14 Ceremony &amp; Legal" sheetId="15" r:id="rId18"/>
    <sheet state="visible" name="15 Decor &amp; Design" sheetId="16" r:id="rId19"/>
    <sheet state="visible" name="16 Food &amp; Beverage" sheetId="17" r:id="rId20"/>
    <sheet state="visible" name="17 Transport &amp; Stay" sheetId="18" r:id="rId21"/>
    <sheet state="visible" name="18 Photo &amp; Video Plan" sheetId="19" r:id="rId22"/>
    <sheet state="visible" name="19 Responsibilities" sheetId="20" r:id="rId23"/>
    <sheet state="visible" name="20 Day Timeline" sheetId="21" r:id="rId24"/>
    <sheet state="visible" name="21 Vendor Schedule" sheetId="22" r:id="rId25"/>
    <sheet state="visible" name="22 Contact Sheet" sheetId="23" r:id="rId26"/>
    <sheet state="visible" name="23 Procurement &amp; Packing" sheetId="24" r:id="rId27"/>
    <sheet state="visible" name="24 Emergency Plan" sheetId="25" r:id="rId28"/>
    <sheet state="visible" name="25 Post-Wedding" sheetId="26" r:id="rId29"/>
    <sheet state="visible" name="00 Lists" sheetId="27" r:id="rId30"/>
  </sheets>
  <definedNames>
    <definedName name="GroomName">'01 START HERE'!$H$14</definedName>
    <definedName name="BrideName">'01 START HERE'!$D$14</definedName>
    <definedName name="ContingencyPct">'01 START HERE'!$H$27</definedName>
    <definedName name="TotalBudget">'01 START HERE'!$D$27</definedName>
    <definedName name="WeddingDate">'01 START HERE'!$D$15</definedName>
    <definedName hidden="1" localSheetId="2" name="_xlnm._FilterDatabase">'03 Budget'!$B$6:$R$300</definedName>
    <definedName hidden="1" localSheetId="3" name="_xlnm._FilterDatabase">'04 Payments'!$B$6:$U$400</definedName>
    <definedName hidden="1" localSheetId="4" name="_xlnm._FilterDatabase">'05 Vendors'!$B$6:$AA$200</definedName>
    <definedName hidden="1" localSheetId="7" name="_xlnm._FilterDatabase">'07 Tasks'!$B$6:$R$250</definedName>
    <definedName hidden="1" localSheetId="8" name="_xlnm._FilterDatabase">'08 Countdown'!$B$6:$G$74</definedName>
    <definedName hidden="1" localSheetId="9" name="_xlnm._FilterDatabase">'09 Guests'!$B$6:$AI$300</definedName>
    <definedName hidden="1" localSheetId="11" name="_xlnm._FilterDatabase">'11 Wedding Party'!$B$6:$O$60</definedName>
    <definedName hidden="1" localSheetId="13" name="_xlnm._FilterDatabase">'13 Beauty &amp; Grooming'!$B$6:$M$34</definedName>
    <definedName hidden="1" localSheetId="15" name="_xlnm._FilterDatabase">'15 Decor &amp; Design'!$B$6:$M$54</definedName>
    <definedName hidden="1" localSheetId="18" name="_xlnm._FilterDatabase">'18 Photo &amp; Video Plan'!$B$6:$J$80</definedName>
    <definedName hidden="1" localSheetId="19" name="_xlnm._FilterDatabase">'19 Responsibilities'!$B$6:$L$44</definedName>
    <definedName hidden="1" localSheetId="20" name="_xlnm._FilterDatabase">'20 Day Timeline'!$B$6:$L$72</definedName>
    <definedName hidden="1" localSheetId="21" name="_xlnm._FilterDatabase">'21 Vendor Schedule'!$B$6:$P$33</definedName>
    <definedName hidden="1" localSheetId="23" name="_xlnm._FilterDatabase">'23 Procurement &amp; Packing'!$B$6:$Q$100</definedName>
    <definedName hidden="1" localSheetId="24" name="_xlnm._FilterDatabase">'24 Emergency Plan'!$B$6:$L$38</definedName>
    <definedName hidden="1" localSheetId="25" name="_xlnm._FilterDatabase">'25 Post-Wedding'!$B$6:$J$37</definedName>
  </definedNames>
  <calcPr/>
  <extLst>
    <ext uri="GoogleSheetsCustomDataVersion2">
      <go:sheetsCustomData xmlns:go="http://customooxmlschemas.google.com/" r:id="rId31" roundtripDataChecksum="6TYGzhZe0baDG5/z3Gu1+88OQZOJ+TOEgW2ER5gpq8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2">
      <text>
        <t xml:space="preserve">======
ID#AAACGRRy7JM
    (2026-08-31 16:43:05)
ASSUMPTION: a 5% buffer over the confirmed headcount. Sri Lankan weddings commonly see extra guests arrive. Adjust the multiplier in this formula if your venue advises otherwise.</t>
      </text>
    </comment>
  </commentList>
  <extLst>
    <ext uri="GoogleSheetsCustomDataVersion2">
      <go:sheetsCustomData xmlns:go="http://customooxmlschemas.google.com/" r:id="rId1" roundtripDataSignature="AMtx7mjz3aMQO9jRh0v7kNh9g4YIi14NI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6">
      <text>
        <t xml:space="preserve">======
ID#AAACGRRy7JQ
    (2026-08-31 16:43:05)
Contact person and phone are looked up from 05 Vendors using the CATEGORY in column C. Keep the category names identical in both sheets.</t>
      </text>
    </comment>
  </commentList>
  <extLst>
    <ext uri="GoogleSheetsCustomDataVersion2">
      <go:sheetsCustomData xmlns:go="http://customooxmlschemas.google.com/" r:id="rId1" roundtripDataSignature="AMtx7midNqbLnyjRJlQrQFEN+wz0rheyI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ID#AAACGRRy7JU
    (2026-08-31 16:43:05)
ASSUMPTION: estimated costs are rough LKR market prices for small sundry items and are there only so the total is not zero. Replace them as you buy.</t>
      </text>
    </comment>
  </commentList>
  <extLst>
    <ext uri="GoogleSheetsCustomDataVersion2">
      <go:sheetsCustomData xmlns:go="http://customooxmlschemas.google.com/" r:id="rId1" roundtripDataSignature="AMtx7mgv3HcuSAEvpT3sESViPwO1ToQXNQ=="/>
    </ext>
  </extLst>
</comments>
</file>

<file path=xl/sharedStrings.xml><?xml version="1.0" encoding="utf-8"?>
<sst xmlns="http://schemas.openxmlformats.org/spreadsheetml/2006/main" count="7441" uniqueCount="2738">
  <si>
    <t>SRI LANKAN WEDDING MASTER PLANNER</t>
  </si>
  <si>
    <t>One-day wedding  |  all amounts in Sri Lankan Rupees (LKR)  |  dates DD/MM/YYYY</t>
  </si>
  <si>
    <t>PAYMENT &amp; EXPENSE LEDGER</t>
  </si>
  <si>
    <t>HOW TO USE THIS WORKBOOK</t>
  </si>
  <si>
    <t>MASTER BUDGET</t>
  </si>
  <si>
    <t xml:space="preserve">  1.   YELLOW cells are for you to type in.  GREY cells calculate themselves - do not overwrite them.</t>
  </si>
  <si>
    <t>One row per payment, planned or made. Type the Budget ID (column B on 03 Budget) and the category and line item fill themselves. This is the only place money is recorded - 03 Budget and 05 Vendors both read from it.</t>
  </si>
  <si>
    <t xml:space="preserve">  2.   Fill this sheet in first, then compare vendors on 05a, record the winners on 05 Vendors, then price it up on 03 Budget.</t>
  </si>
  <si>
    <t xml:space="preserve">  3.   Open 02 Dashboard every time - it lists exactly what needs attention today.</t>
  </si>
  <si>
    <t xml:space="preserve">  4.   Never type a vendor or a budget line twice.  Pick it from the dropdown so the totals stay linked.</t>
  </si>
  <si>
    <t xml:space="preserve">  5.   Sheets 14-21 are the wedding-day operating pack.  Print them and hand them to your coordinator.</t>
  </si>
  <si>
    <t>Budgeted -&gt; Quoted -&gt; Negotiated -&gt; Actual.  FORECAST automatically uses the most advanced number you have entered.  PAID is pulled from 04 Payments - never type it.</t>
  </si>
  <si>
    <t>THE COUPLE &amp; THE DAY</t>
  </si>
  <si>
    <t>TOTALS</t>
  </si>
  <si>
    <t>MASTER DASHBOARD</t>
  </si>
  <si>
    <t>Bride's full name</t>
  </si>
  <si>
    <t>Methuli</t>
  </si>
  <si>
    <t>Groom's full name</t>
  </si>
  <si>
    <t>Udara</t>
  </si>
  <si>
    <t>Wedding date</t>
  </si>
  <si>
    <t>Day of the week</t>
  </si>
  <si>
    <t>Everything on this sheet calculates itself. Read the ATTENTION REQUIRED panel at the bottom every time you open the workbook.</t>
  </si>
  <si>
    <t>AT A GLANCE</t>
  </si>
  <si>
    <t>Days to go</t>
  </si>
  <si>
    <t>ID</t>
  </si>
  <si>
    <t>Date raised</t>
  </si>
  <si>
    <t>Budget ID   (type it in)</t>
  </si>
  <si>
    <t>Category  (auto)</t>
  </si>
  <si>
    <t>Line item  (auto)</t>
  </si>
  <si>
    <t>VENDOR   (pick from the list)</t>
  </si>
  <si>
    <t>Payment stage</t>
  </si>
  <si>
    <t>Amount due</t>
  </si>
  <si>
    <t>Wedding type</t>
  </si>
  <si>
    <t>Due date</t>
  </si>
  <si>
    <t>DAYS TO GO</t>
  </si>
  <si>
    <t>Poruwa + Registration + Reception</t>
  </si>
  <si>
    <t>Amount paid</t>
  </si>
  <si>
    <t>Paid on</t>
  </si>
  <si>
    <t>Poruwa / ceremony time</t>
  </si>
  <si>
    <t>Balance</t>
  </si>
  <si>
    <t>Method</t>
  </si>
  <si>
    <t>Reference</t>
  </si>
  <si>
    <t>Refundable?</t>
  </si>
  <si>
    <t>Receipt?</t>
  </si>
  <si>
    <t>Reception start</t>
  </si>
  <si>
    <t>Receipt kept where</t>
  </si>
  <si>
    <t>STATUS</t>
  </si>
  <si>
    <t>TOTAL BUDGET</t>
  </si>
  <si>
    <t>Paid by</t>
  </si>
  <si>
    <t>Registration (signing) time</t>
  </si>
  <si>
    <t>Notes</t>
  </si>
  <si>
    <t>FORECAST FINAL COST</t>
  </si>
  <si>
    <t>Expected finish</t>
  </si>
  <si>
    <t>PAID SO FAR</t>
  </si>
  <si>
    <t>Venue (one venue for the whole day)</t>
  </si>
  <si>
    <t>Category</t>
  </si>
  <si>
    <t>[Hotel / banquet hall]</t>
  </si>
  <si>
    <t>STILL TO PAY</t>
  </si>
  <si>
    <t>Line item</t>
  </si>
  <si>
    <t>Town / district</t>
  </si>
  <si>
    <t>Budgeted</t>
  </si>
  <si>
    <t>[Town, District]</t>
  </si>
  <si>
    <t>Applies?</t>
  </si>
  <si>
    <t>Ceremony area</t>
  </si>
  <si>
    <t>Who pays</t>
  </si>
  <si>
    <t>Ballroom</t>
  </si>
  <si>
    <t>Vendor</t>
  </si>
  <si>
    <t>Reception area</t>
  </si>
  <si>
    <t>Quoted</t>
  </si>
  <si>
    <t>LEFT IN BUDGET</t>
  </si>
  <si>
    <t>[Ballroom]</t>
  </si>
  <si>
    <t>BG077</t>
  </si>
  <si>
    <t>Negotiated</t>
  </si>
  <si>
    <t>Actual</t>
  </si>
  <si>
    <t>Venue contact person</t>
  </si>
  <si>
    <t>FORECAST</t>
  </si>
  <si>
    <t>[Name]</t>
  </si>
  <si>
    <t>Paid</t>
  </si>
  <si>
    <t>Venue phone</t>
  </si>
  <si>
    <t>[07X XXX XXXX]</t>
  </si>
  <si>
    <t>Wedding theme</t>
  </si>
  <si>
    <t>Outstanding</t>
  </si>
  <si>
    <t>[e.g. Classic Kandyan]</t>
  </si>
  <si>
    <t>Refundable deposit</t>
  </si>
  <si>
    <t>Colour palette</t>
  </si>
  <si>
    <t>[e.g. Ivory / Gold / Maroon]</t>
  </si>
  <si>
    <t>Variance vs budget</t>
  </si>
  <si>
    <t>Main coordinator</t>
  </si>
  <si>
    <t>Status</t>
  </si>
  <si>
    <t>Coordinator phone</t>
  </si>
  <si>
    <t>Emergency contact (day-of)</t>
  </si>
  <si>
    <t>BG001</t>
  </si>
  <si>
    <t>Emergency phone</t>
  </si>
  <si>
    <t>VENUE &amp; HOTEL</t>
  </si>
  <si>
    <t>Venue hire - ceremony &amp; reception hall</t>
  </si>
  <si>
    <t>MONEY</t>
  </si>
  <si>
    <t>TOTAL WEDDING BUDGET (LKR)</t>
  </si>
  <si>
    <t>Not Applicable</t>
  </si>
  <si>
    <t>Contingency reserve %</t>
  </si>
  <si>
    <t>Guests invited (pax)</t>
  </si>
  <si>
    <t>Guests confirmed (pax)</t>
  </si>
  <si>
    <t>panadura gold house</t>
  </si>
  <si>
    <t>Indicative budget - replace with your own figures</t>
  </si>
  <si>
    <t>Final Payment</t>
  </si>
  <si>
    <t>Budgeted (originally planned)</t>
  </si>
  <si>
    <t>GUESTS INVITED</t>
  </si>
  <si>
    <t>GUESTS CONFIRMED</t>
  </si>
  <si>
    <t>RSVP RESPONSE RATE</t>
  </si>
  <si>
    <t>Quoted by vendors</t>
  </si>
  <si>
    <t>TASKS COMPLETE</t>
  </si>
  <si>
    <t>VENDORS CONFIRMED</t>
  </si>
  <si>
    <t>NET COST AFTER GIFTS</t>
  </si>
  <si>
    <t>Card</t>
  </si>
  <si>
    <t>Negotiated / agreed</t>
  </si>
  <si>
    <t>Yes</t>
  </si>
  <si>
    <t>With me</t>
  </si>
  <si>
    <t>Actual invoiced</t>
  </si>
  <si>
    <t>Not Started</t>
  </si>
  <si>
    <t>BG002</t>
  </si>
  <si>
    <t>Paid to date</t>
  </si>
  <si>
    <t>Garden / outdoor area</t>
  </si>
  <si>
    <t>BG082</t>
  </si>
  <si>
    <t>Outstanding still to pay</t>
  </si>
  <si>
    <t>Refundable deposits out</t>
  </si>
  <si>
    <t>Remaining against budget</t>
  </si>
  <si>
    <t>Budget utilisation</t>
  </si>
  <si>
    <t>BG003</t>
  </si>
  <si>
    <t>Bridal suite (wedding night)</t>
  </si>
  <si>
    <t>Required</t>
  </si>
  <si>
    <t>Groom</t>
  </si>
  <si>
    <t>WHERE THE MONEY IS GOING</t>
  </si>
  <si>
    <t>WHERE THE MONEY COMES FROM</t>
  </si>
  <si>
    <t>Family &amp; couple contributions agreed</t>
  </si>
  <si>
    <t>Contributions received</t>
  </si>
  <si>
    <t>Expected cash gifts from guests</t>
  </si>
  <si>
    <t>Cash gifts received</t>
  </si>
  <si>
    <t>Forecast</t>
  </si>
  <si>
    <t>BG004</t>
  </si>
  <si>
    <t>NET COST AFTER GIFTS &amp; CONTRIBUTIONS</t>
  </si>
  <si>
    <t>Groom's getting-ready room</t>
  </si>
  <si>
    <t>Variance</t>
  </si>
  <si>
    <t>BG083</t>
  </si>
  <si>
    <t>Shortfall still to fund</t>
  </si>
  <si>
    <t>ASSUMPTIONS YOU SHOULD CHECK</t>
  </si>
  <si>
    <t>-   Wedding date 03/09/2027 (a Friday) was supplied by you. No homecoming event - this is a one-day wedding.</t>
  </si>
  <si>
    <t>-   Poruwa, marriage registration and Kandyan dancers/drummers are pre-set as REQUIRED. Church/temple service is Optional.</t>
  </si>
  <si>
    <t>-   ASSUMPTION: all 84 guest groups carried over from your old sheet are marked GROOM'S side. Change column F on 09 Guests where that is wrong.</t>
  </si>
  <si>
    <t>BG005</t>
  </si>
  <si>
    <t>-   ASSUMPTION: budget amounts are indicative market estimates for a c.200-guest hotel wedding, not quotes. Replace with your own figures.</t>
  </si>
  <si>
    <t>-   Items marked VERIFY on 13 Ceremony &amp; Legal must be confirmed with your Divisional Secretariat / Registrar - rules vary by district and religion.</t>
  </si>
  <si>
    <t>Service charge (10%)</t>
  </si>
  <si>
    <t>FOOD &amp; BEVERAGE</t>
  </si>
  <si>
    <t>BG006</t>
  </si>
  <si>
    <t>Government taxes (VAT / SSCL / TDL) (18%)</t>
  </si>
  <si>
    <t>CAKE</t>
  </si>
  <si>
    <t>BG007</t>
  </si>
  <si>
    <t>Corkage</t>
  </si>
  <si>
    <t>PHOTOGRAPHY</t>
  </si>
  <si>
    <t>BG008</t>
  </si>
  <si>
    <t>Overtime / extra hours</t>
  </si>
  <si>
    <t>BG009</t>
  </si>
  <si>
    <t>Generator / power backup</t>
  </si>
  <si>
    <t>VIDEOGRAPHY</t>
  </si>
  <si>
    <t>BG010</t>
  </si>
  <si>
    <t>Parking</t>
  </si>
  <si>
    <t>BRIDE - ATTIRE &amp; BEAUTY</t>
  </si>
  <si>
    <t>BG011</t>
  </si>
  <si>
    <t>Security</t>
  </si>
  <si>
    <t>GROOM - ATTIRE &amp; GROOMING</t>
  </si>
  <si>
    <t>BG012</t>
  </si>
  <si>
    <t>Cleaning</t>
  </si>
  <si>
    <t>JEWELLERY</t>
  </si>
  <si>
    <t>BG013</t>
  </si>
  <si>
    <t>Additional venue equipment hire</t>
  </si>
  <si>
    <t>VENDOR MASTER</t>
  </si>
  <si>
    <t>BG014</t>
  </si>
  <si>
    <t>Enter every supplier ONCE here. Compare your shortlist and work through the questions on 05a Vendor Compare first, then record the winner here - the rest of the workbook reads from this sheet.</t>
  </si>
  <si>
    <t>Reception buffet - adults (per head x pax)</t>
  </si>
  <si>
    <t>BRIDAL PARTY</t>
  </si>
  <si>
    <t>BG015</t>
  </si>
  <si>
    <t>Children's meals</t>
  </si>
  <si>
    <t>Vendor name</t>
  </si>
  <si>
    <t>Contact person</t>
  </si>
  <si>
    <t>Phone</t>
  </si>
  <si>
    <t>WhatsApp</t>
  </si>
  <si>
    <t>Email</t>
  </si>
  <si>
    <t>Address</t>
  </si>
  <si>
    <t>Package / inclusions</t>
  </si>
  <si>
    <t>DECOR &amp; FLORALS</t>
  </si>
  <si>
    <t>BG016</t>
  </si>
  <si>
    <t>Deposit paid</t>
  </si>
  <si>
    <t>Welcome drinks</t>
  </si>
  <si>
    <t>Total paid</t>
  </si>
  <si>
    <t>Balance owing</t>
  </si>
  <si>
    <t>Overdue payments</t>
  </si>
  <si>
    <t>Contract signed?</t>
  </si>
  <si>
    <t>Contract kept where</t>
  </si>
  <si>
    <t>Booking status</t>
  </si>
  <si>
    <t>Arrival time</t>
  </si>
  <si>
    <t>Setup done by</t>
  </si>
  <si>
    <t>Finish time</t>
  </si>
  <si>
    <t>Overtime rate</t>
  </si>
  <si>
    <t>Key deliverables</t>
  </si>
  <si>
    <t>Final confirmation date</t>
  </si>
  <si>
    <t>Rating /5</t>
  </si>
  <si>
    <t>V001</t>
  </si>
  <si>
    <t>Venue / Hotel</t>
  </si>
  <si>
    <t>[Hotel name]</t>
  </si>
  <si>
    <t>BG017</t>
  </si>
  <si>
    <t>Canapes / short eats on arrival</t>
  </si>
  <si>
    <t>LIGHTING, SOUND &amp; AV</t>
  </si>
  <si>
    <t>BG018</t>
  </si>
  <si>
    <t>Dessert counter</t>
  </si>
  <si>
    <t>ENTERTAINMENT</t>
  </si>
  <si>
    <t>BG019</t>
  </si>
  <si>
    <t>Tea / coffee station</t>
  </si>
  <si>
    <t>Confirmed</t>
  </si>
  <si>
    <t>Groom's Family</t>
  </si>
  <si>
    <t>V002</t>
  </si>
  <si>
    <t>Caterer</t>
  </si>
  <si>
    <t>[In-house catering]</t>
  </si>
  <si>
    <t>BG020</t>
  </si>
  <si>
    <t>Bottled water</t>
  </si>
  <si>
    <t>TRANSPORT</t>
  </si>
  <si>
    <t>BG021</t>
  </si>
  <si>
    <t>Soft drinks</t>
  </si>
  <si>
    <t>V003</t>
  </si>
  <si>
    <t>ACCOMMODATION</t>
  </si>
  <si>
    <t>Photographer</t>
  </si>
  <si>
    <t>[Studio name]</t>
  </si>
  <si>
    <t>BG022</t>
  </si>
  <si>
    <t>Alcohol - bar stock</t>
  </si>
  <si>
    <t>BG023</t>
  </si>
  <si>
    <t>Bar service / bartender</t>
  </si>
  <si>
    <t>PRINTING &amp; STATIONERY</t>
  </si>
  <si>
    <t>Shortlisted</t>
  </si>
  <si>
    <t>V004</t>
  </si>
  <si>
    <t>Videographer</t>
  </si>
  <si>
    <t>BG024</t>
  </si>
  <si>
    <t>Ice</t>
  </si>
  <si>
    <t>Optional</t>
  </si>
  <si>
    <t>CEREMONY &amp; RELIGIOUS</t>
  </si>
  <si>
    <t>BG025</t>
  </si>
  <si>
    <t>Vendor &amp; crew meals</t>
  </si>
  <si>
    <t>V005</t>
  </si>
  <si>
    <t>Makeup Artist</t>
  </si>
  <si>
    <t>[Bridal dresser]</t>
  </si>
  <si>
    <t>BG026</t>
  </si>
  <si>
    <t>Kiribath &amp; sweets for the Poruwa</t>
  </si>
  <si>
    <t>REGISTRATION &amp; LEGAL</t>
  </si>
  <si>
    <t>BG027</t>
  </si>
  <si>
    <t>Late-night snack</t>
  </si>
  <si>
    <t>V006</t>
  </si>
  <si>
    <t>Saree / Dress Designer</t>
  </si>
  <si>
    <t>GIFTS &amp; FAVOURS</t>
  </si>
  <si>
    <t>[Designer]</t>
  </si>
  <si>
    <t>BG028</t>
  </si>
  <si>
    <t>Wedding cake (tiers)</t>
  </si>
  <si>
    <t>Shared</t>
  </si>
  <si>
    <t>Researching</t>
  </si>
  <si>
    <t>PRE-WEDDING EVENTS (optional)</t>
  </si>
  <si>
    <t>BG029</t>
  </si>
  <si>
    <t>Boxed cake pieces for guests</t>
  </si>
  <si>
    <t>V007</t>
  </si>
  <si>
    <t>Jewellery</t>
  </si>
  <si>
    <t>Panadura Gold House</t>
  </si>
  <si>
    <t>Ismi</t>
  </si>
  <si>
    <t>pghjewel@gmail.com</t>
  </si>
  <si>
    <t>panadura</t>
  </si>
  <si>
    <t>BG030</t>
  </si>
  <si>
    <t>MISCELLANEOUS</t>
  </si>
  <si>
    <t>Cake stand &amp; knife hire</t>
  </si>
  <si>
    <t>with me</t>
  </si>
  <si>
    <t>Completed</t>
  </si>
  <si>
    <t>BG031</t>
  </si>
  <si>
    <t>Cake topper</t>
  </si>
  <si>
    <t>V008</t>
  </si>
  <si>
    <t>TOTAL</t>
  </si>
  <si>
    <t>Decorator</t>
  </si>
  <si>
    <t>[Decorator]</t>
  </si>
  <si>
    <t>BG032</t>
  </si>
  <si>
    <t>Cake delivery &amp; setup</t>
  </si>
  <si>
    <t>V009</t>
  </si>
  <si>
    <t>BG033</t>
  </si>
  <si>
    <t>Cake</t>
  </si>
  <si>
    <t>[Bakery]</t>
  </si>
  <si>
    <t>Pre-shoot photography</t>
  </si>
  <si>
    <t>WEDDING READINESS  -  based on completed tasks in 07 Tasks</t>
  </si>
  <si>
    <t>Area</t>
  </si>
  <si>
    <t>Done</t>
  </si>
  <si>
    <t>BG034</t>
  </si>
  <si>
    <t>Total tasks</t>
  </si>
  <si>
    <t>Wedding-day photography</t>
  </si>
  <si>
    <t>Complete</t>
  </si>
  <si>
    <t>Progress</t>
  </si>
  <si>
    <t>Venue</t>
  </si>
  <si>
    <t>V010</t>
  </si>
  <si>
    <t>Kandyan Dancers</t>
  </si>
  <si>
    <t>[Dance troupe]</t>
  </si>
  <si>
    <t>BG035</t>
  </si>
  <si>
    <t>Second photographer</t>
  </si>
  <si>
    <t>Food &amp; Beverage</t>
  </si>
  <si>
    <t>BG036</t>
  </si>
  <si>
    <t>Assistant</t>
  </si>
  <si>
    <t>V011</t>
  </si>
  <si>
    <t>Drummers</t>
  </si>
  <si>
    <t>[Hewisi group]</t>
  </si>
  <si>
    <t>BG037</t>
  </si>
  <si>
    <t>Signature album</t>
  </si>
  <si>
    <t>Decor &amp; Florals</t>
  </si>
  <si>
    <t>BG038</t>
  </si>
  <si>
    <t>Parent albums (x2)</t>
  </si>
  <si>
    <t>V012</t>
  </si>
  <si>
    <t>Poruwa Officiant</t>
  </si>
  <si>
    <t>[Ashtaka chanter]</t>
  </si>
  <si>
    <t>Photography</t>
  </si>
  <si>
    <t>Videography</t>
  </si>
  <si>
    <t>BG039</t>
  </si>
  <si>
    <t>Enlargements &amp; frames</t>
  </si>
  <si>
    <t>Attire</t>
  </si>
  <si>
    <t>V013</t>
  </si>
  <si>
    <t>BG040</t>
  </si>
  <si>
    <t>MC</t>
  </si>
  <si>
    <t>[MC name]</t>
  </si>
  <si>
    <t>Thank you card prints</t>
  </si>
  <si>
    <t>BG041</t>
  </si>
  <si>
    <t>Drone photography</t>
  </si>
  <si>
    <t>Beauty &amp; Grooming</t>
  </si>
  <si>
    <t>V014</t>
  </si>
  <si>
    <t>DJ</t>
  </si>
  <si>
    <t>[DJ name]</t>
  </si>
  <si>
    <t>BG042</t>
  </si>
  <si>
    <t>Raw files / USB delivery</t>
  </si>
  <si>
    <t>Invitations</t>
  </si>
  <si>
    <t>BG043</t>
  </si>
  <si>
    <t>Same-day edit slideshow</t>
  </si>
  <si>
    <t>Guests &amp; RSVP</t>
  </si>
  <si>
    <t>V015</t>
  </si>
  <si>
    <t>Transport</t>
  </si>
  <si>
    <t>[Bridal car hire]</t>
  </si>
  <si>
    <t>BG044</t>
  </si>
  <si>
    <t>Extra hours</t>
  </si>
  <si>
    <t>Accommodation</t>
  </si>
  <si>
    <t>BG045</t>
  </si>
  <si>
    <t>V016</t>
  </si>
  <si>
    <t>Pre-shoot video</t>
  </si>
  <si>
    <t>Printing / Invitations</t>
  </si>
  <si>
    <t>[Printer]</t>
  </si>
  <si>
    <t>Entertainment</t>
  </si>
  <si>
    <t>Ceremony</t>
  </si>
  <si>
    <t>BG046</t>
  </si>
  <si>
    <t>Wedding-day videography</t>
  </si>
  <si>
    <t>V017</t>
  </si>
  <si>
    <t>Sound &amp; AV</t>
  </si>
  <si>
    <t>[AV supplier]</t>
  </si>
  <si>
    <t>Registration &amp; Legal</t>
  </si>
  <si>
    <t>Reception</t>
  </si>
  <si>
    <t>BG047</t>
  </si>
  <si>
    <t>Second videographer</t>
  </si>
  <si>
    <t>V018</t>
  </si>
  <si>
    <t>Coordinator</t>
  </si>
  <si>
    <t>[Coordinator]</t>
  </si>
  <si>
    <t>Gifts &amp; Favours</t>
  </si>
  <si>
    <t>Finance</t>
  </si>
  <si>
    <t>BG048</t>
  </si>
  <si>
    <t>Cinematic highlight films</t>
  </si>
  <si>
    <t>Logistics</t>
  </si>
  <si>
    <t>BG049</t>
  </si>
  <si>
    <t>Full-length edit</t>
  </si>
  <si>
    <t>ATTENTION REQUIRED  -  read this every time you open the workbook</t>
  </si>
  <si>
    <t>Count</t>
  </si>
  <si>
    <t>Severity</t>
  </si>
  <si>
    <t>What needs your attention</t>
  </si>
  <si>
    <t>CRITICAL</t>
  </si>
  <si>
    <t>BG050</t>
  </si>
  <si>
    <t>Vendor payment(s) are OVERDUE - open 04 Payments and filter STATUS = Overdue</t>
  </si>
  <si>
    <t>Drone video</t>
  </si>
  <si>
    <t>HIGH</t>
  </si>
  <si>
    <t>Vendor payment(s) fall due in the next 30 days</t>
  </si>
  <si>
    <t>Vendor(s) are not yet CONFIRMED on 05 Vendors</t>
  </si>
  <si>
    <t>BG051</t>
  </si>
  <si>
    <t>Live stream for overseas family</t>
  </si>
  <si>
    <t>Vendor(s) have no signed contract recorded</t>
  </si>
  <si>
    <t>MEDIUM</t>
  </si>
  <si>
    <t>Vendor(s) have no phone number - you cannot reach them on the day</t>
  </si>
  <si>
    <t>BG052</t>
  </si>
  <si>
    <t>Raw footage / storage drive</t>
  </si>
  <si>
    <t>Vendor(s) have no arrival time set - fill in 21 Vendor Schedule</t>
  </si>
  <si>
    <t>Task(s) are OVERDUE on 07 Tasks</t>
  </si>
  <si>
    <t>Task(s) are due today or this week</t>
  </si>
  <si>
    <t>BG053</t>
  </si>
  <si>
    <t>CRITICAL task(s) due within 30 days are still not finished</t>
  </si>
  <si>
    <t>Task(s) have nobody responsible - assign an owner</t>
  </si>
  <si>
    <t>BG054</t>
  </si>
  <si>
    <t>Kandyan / Poruwa saree (osari)</t>
  </si>
  <si>
    <t>Bride's Family</t>
  </si>
  <si>
    <t>Guest group(s) were invited but have not replied - chase them</t>
  </si>
  <si>
    <t>Confirmed guest(s) have no table assigned on 10 RSVP &amp; Seating</t>
  </si>
  <si>
    <t>BG055</t>
  </si>
  <si>
    <t>Reception / going-away outfit</t>
  </si>
  <si>
    <t>Table(s) are OVER CAPACITY - people will have nowhere to sit</t>
  </si>
  <si>
    <t>LOW</t>
  </si>
  <si>
    <t>Guest group(s) have no side (bride/groom) recorded</t>
  </si>
  <si>
    <t>BG056</t>
  </si>
  <si>
    <t>Bridal shoes</t>
  </si>
  <si>
    <t>Budget line(s) are forecast to come in OVER their budgeted amount</t>
  </si>
  <si>
    <t>BG057</t>
  </si>
  <si>
    <t>Veil</t>
  </si>
  <si>
    <t>The FORECAST FINAL COST now exceeds your total budget</t>
  </si>
  <si>
    <t>Payment(s) marked Paid have no receipt recorded</t>
  </si>
  <si>
    <t>BG058</t>
  </si>
  <si>
    <t>Bridal bouquet</t>
  </si>
  <si>
    <t>Legal / registration item(s) still say VERIFY - confirm them with your Registrar</t>
  </si>
  <si>
    <t>Rented jewellery item(s) have not been returned (shows after the wedding)</t>
  </si>
  <si>
    <t>BG059</t>
  </si>
  <si>
    <t>Bridal dressing - hair &amp; makeup (day)</t>
  </si>
  <si>
    <t>Item(s) on 23 Procurement &amp; Packing still not bought (shows inside 45 days)</t>
  </si>
  <si>
    <t>BG060</t>
  </si>
  <si>
    <t>Hair &amp; makeup trial</t>
  </si>
  <si>
    <t>Item(s) needed on the day are still NOT PACKED (shows inside 14 days)</t>
  </si>
  <si>
    <t>Must-have photograph(s) not ticked off (shows after the wedding)</t>
  </si>
  <si>
    <t>BG061</t>
  </si>
  <si>
    <t>Nails</t>
  </si>
  <si>
    <t>Vendor decision(s) made on 05a Vendor Compare but not yet recorded in 05 Vendors</t>
  </si>
  <si>
    <t>BG062</t>
  </si>
  <si>
    <t>Facial / skin treatment course</t>
  </si>
  <si>
    <t>BG063</t>
  </si>
  <si>
    <t>Hair treatment</t>
  </si>
  <si>
    <t>BG064</t>
  </si>
  <si>
    <t>Undergarments &amp; fittings</t>
  </si>
  <si>
    <t>BG065</t>
  </si>
  <si>
    <t>Saree draping / dresser assistant</t>
  </si>
  <si>
    <t>BG066</t>
  </si>
  <si>
    <t>Bridal emergency kit</t>
  </si>
  <si>
    <t>BG067</t>
  </si>
  <si>
    <t>Wedding suit / national dress</t>
  </si>
  <si>
    <t>BG068</t>
  </si>
  <si>
    <t>Shirt</t>
  </si>
  <si>
    <t>BG069</t>
  </si>
  <si>
    <t>Tie / bow tie</t>
  </si>
  <si>
    <t>BG070</t>
  </si>
  <si>
    <t>Shoes</t>
  </si>
  <si>
    <t>BG071</t>
  </si>
  <si>
    <t>Belt</t>
  </si>
  <si>
    <t>BG072</t>
  </si>
  <si>
    <t>Cufflinks &amp; accessories</t>
  </si>
  <si>
    <t>BG073</t>
  </si>
  <si>
    <t>Watch</t>
  </si>
  <si>
    <t>BG074</t>
  </si>
  <si>
    <t>Grooming &amp; dressing on the day</t>
  </si>
  <si>
    <t>BG075</t>
  </si>
  <si>
    <t>Haircut</t>
  </si>
  <si>
    <t>BG076</t>
  </si>
  <si>
    <t>Facial / grooming treatment</t>
  </si>
  <si>
    <t>Bridal necklace set</t>
  </si>
  <si>
    <t>BG078</t>
  </si>
  <si>
    <t>Earrings</t>
  </si>
  <si>
    <t>VENDOR COMPARISON  &amp;  QUESTIONS TO ASK</t>
  </si>
  <si>
    <t>Shortlist up to three options per vendor type, compare them side by side, and work through the questions before you commit. The DECISION row at the end of each section is what you then record in 05 Vendors.</t>
  </si>
  <si>
    <t>JUMP TO A SECTION   -   and see every decision at a glance</t>
  </si>
  <si>
    <t>#</t>
  </si>
  <si>
    <t>Row</t>
  </si>
  <si>
    <t>BG079</t>
  </si>
  <si>
    <t>Vendor type</t>
  </si>
  <si>
    <t>Options entered</t>
  </si>
  <si>
    <t>DECISION</t>
  </si>
  <si>
    <t>Bangles</t>
  </si>
  <si>
    <t>Chosen vendor</t>
  </si>
  <si>
    <t>Agreed price</t>
  </si>
  <si>
    <t>In 05 Vendors?</t>
  </si>
  <si>
    <t>VENUE / HOTEL</t>
  </si>
  <si>
    <t>CATERER  (only if separate from the hotel)</t>
  </si>
  <si>
    <t>BG080</t>
  </si>
  <si>
    <t>Hair jewellery (nalalpata / konda mal)</t>
  </si>
  <si>
    <t>PHOTOGRAPHER</t>
  </si>
  <si>
    <t>VIDEOGRAPHER</t>
  </si>
  <si>
    <t>BG081</t>
  </si>
  <si>
    <t>Anklets</t>
  </si>
  <si>
    <t>DECORATOR / FLORIST</t>
  </si>
  <si>
    <t>BRIDAL DRESSER  (hair &amp; makeup)</t>
  </si>
  <si>
    <t>Wedding rings (pair)</t>
  </si>
  <si>
    <t>SAREE / DRESS DESIGNER</t>
  </si>
  <si>
    <t>Bride's brother ring</t>
  </si>
  <si>
    <t>BG084</t>
  </si>
  <si>
    <t>Jewellery rental deposit (refundable)</t>
  </si>
  <si>
    <t>KANDYAN DANCERS &amp; DRUMMERS</t>
  </si>
  <si>
    <t>BG085</t>
  </si>
  <si>
    <t>Jewellery insurance / security escort</t>
  </si>
  <si>
    <t>PORUWA OFFICIANT  (Ashtaka chanter)</t>
  </si>
  <si>
    <t>MC / COMPERE</t>
  </si>
  <si>
    <t>BG086</t>
  </si>
  <si>
    <t>Safe storage &amp; transport</t>
  </si>
  <si>
    <t>DJ / BAND</t>
  </si>
  <si>
    <t>BG087</t>
  </si>
  <si>
    <t>Bridesmaids' outfits</t>
  </si>
  <si>
    <t>PRINTING / INVITATIONS</t>
  </si>
  <si>
    <t>BG088</t>
  </si>
  <si>
    <t>SOUND, AV &amp; LIGHTING</t>
  </si>
  <si>
    <t>Groomsmen's outfits</t>
  </si>
  <si>
    <t>BG089</t>
  </si>
  <si>
    <t>Flower girl / page boy outfits</t>
  </si>
  <si>
    <t>01  ·  VENUE / HOTEL</t>
  </si>
  <si>
    <t>back to index: row 5</t>
  </si>
  <si>
    <t>Group</t>
  </si>
  <si>
    <t>BG090</t>
  </si>
  <si>
    <t>What to ask / compare</t>
  </si>
  <si>
    <t>Why it matters  -  what to watch for</t>
  </si>
  <si>
    <t>Bridesmaids' hair &amp; makeup</t>
  </si>
  <si>
    <t>OPTION A</t>
  </si>
  <si>
    <t>OPTION B</t>
  </si>
  <si>
    <t>OPTION C</t>
  </si>
  <si>
    <t>Your notes</t>
  </si>
  <si>
    <t>Vendor / company name</t>
  </si>
  <si>
    <t>BG091</t>
  </si>
  <si>
    <t>Bridal party bouquets</t>
  </si>
  <si>
    <t>Phone / WhatsApp</t>
  </si>
  <si>
    <t>Package or option quoted</t>
  </si>
  <si>
    <t>Total quoted (LKR)</t>
  </si>
  <si>
    <t>BG092</t>
  </si>
  <si>
    <t>After negotiation (LKR)</t>
  </si>
  <si>
    <t xml:space="preserve">Boutonnieres (groomsmen's blazer flower) </t>
  </si>
  <si>
    <t>Deposit required (LKR)</t>
  </si>
  <si>
    <t>Met them / site visit done?</t>
  </si>
  <si>
    <t>Your rating out of 5</t>
  </si>
  <si>
    <t>BG093</t>
  </si>
  <si>
    <t>Bridal party gifts</t>
  </si>
  <si>
    <t>QUESTIONS TO CONFIRM BEFORE YOU BOOK</t>
  </si>
  <si>
    <t>Package rate per head for adults - and exactly what does it cover?</t>
  </si>
  <si>
    <t>BG094</t>
  </si>
  <si>
    <t>The headline number is meaningless until you know what is inside it.</t>
  </si>
  <si>
    <t>Poruwa structure &amp; decoration</t>
  </si>
  <si>
    <t>Minimum guaranteed guests you must pay for, even if fewer come</t>
  </si>
  <si>
    <t>You pay this whether they turn up or not. It sets your real floor price.</t>
  </si>
  <si>
    <t>Rate for children, and up to what age is a child a child?</t>
  </si>
  <si>
    <t>Some hotels charge full price from age 6, others from 12.</t>
  </si>
  <si>
    <t>Are service charge and taxes (VAT / SSCL / TDL) included or added on top?</t>
  </si>
  <si>
    <t>Adding these later can lift a quote by 25-30%.</t>
  </si>
  <si>
    <t>BG095</t>
  </si>
  <si>
    <t>Ceremony backdrop</t>
  </si>
  <si>
    <t>Charge per extra hour beyond the agreed finish time</t>
  </si>
  <si>
    <t>Sri Lankan receptions run late. Agree this before, not at midnight.</t>
  </si>
  <si>
    <t>Corkage per bottle - hard liquor, beer and wine separately</t>
  </si>
  <si>
    <t>Corkage can cost more than the alcohol itself.</t>
  </si>
  <si>
    <t>Is there a minimum bar spend?</t>
  </si>
  <si>
    <t>BG096</t>
  </si>
  <si>
    <t>A minimum can force you to buy drink you do not need.</t>
  </si>
  <si>
    <t>Stage &amp; head table decor</t>
  </si>
  <si>
    <t>Do vendors and crew count in the head count, and what is the crew meal rate?</t>
  </si>
  <si>
    <t>20 crew at full guest rate is a large hidden line.</t>
  </si>
  <si>
    <t>INCLUDED</t>
  </si>
  <si>
    <t>Which halls / areas, and the exact seated capacity WITH a Poruwa and dance floor</t>
  </si>
  <si>
    <t>Stated capacity is usually theatre style, not a seated wedding.</t>
  </si>
  <si>
    <t>BG097</t>
  </si>
  <si>
    <t>Entrance / welcome arch</t>
  </si>
  <si>
    <t>Is the bridal suite included? Check-in time on the day and check-out next day</t>
  </si>
  <si>
    <t>You need the room from mid-morning for dressing, not from 2pm.</t>
  </si>
  <si>
    <t>Is a getting-ready room for the groom included or charged?</t>
  </si>
  <si>
    <t>Often forgotten and then charged on the day.</t>
  </si>
  <si>
    <t>How many complimentary rooms, and the group rate for extra rooms?</t>
  </si>
  <si>
    <t>Matters if you have outstation or overseas family.</t>
  </si>
  <si>
    <t>BG098</t>
  </si>
  <si>
    <t>Are tables, chairs, linen and chair covers included, or does the decorator supply them?</t>
  </si>
  <si>
    <t>Double-charging here is common.</t>
  </si>
  <si>
    <t>Aisle decor</t>
  </si>
  <si>
    <t>Is a menu tasting included, and for how many people?</t>
  </si>
  <si>
    <t>Ask before signing - afterwards it becomes a paid extra.</t>
  </si>
  <si>
    <t>LOGISTICS</t>
  </si>
  <si>
    <t>Is there another wedding at the hotel the same day, and in which hall?</t>
  </si>
  <si>
    <t>Shared lobbies, shared parking and clashing music.</t>
  </si>
  <si>
    <t>From what time can the decorator start? Is there an event in the hall that morning?</t>
  </si>
  <si>
    <t>A Poruwa needs hours. A morning event can kill your setup window.</t>
  </si>
  <si>
    <t>BG099</t>
  </si>
  <si>
    <t>Guest table centrepieces</t>
  </si>
  <si>
    <t>Is a Poruwa allowed in the hall - any limits on size, height or fixings?</t>
  </si>
  <si>
    <t>Some ballrooms forbid anything fixed to the floor or ceiling.</t>
  </si>
  <si>
    <t>Are Hewisi drummers and Kandyan dancers allowed indoors? Any sound limit?</t>
  </si>
  <si>
    <t>Some hotels restrict drums indoors or after a certain hour.</t>
  </si>
  <si>
    <t>What time must music stop?</t>
  </si>
  <si>
    <t>Drives your whole reception running order.</t>
  </si>
  <si>
    <t>BG100</t>
  </si>
  <si>
    <t>Cake table decor</t>
  </si>
  <si>
    <t>Generator backup - is switchover automatic, and how many seconds?</t>
  </si>
  <si>
    <t>A manual generator means minutes of darkness mid-ceremony.</t>
  </si>
  <si>
    <t>Air conditioning - included, and running until what time?</t>
  </si>
  <si>
    <t>AC being switched off at 11pm empties a dance floor fast.</t>
  </si>
  <si>
    <t>How many parking spaces, and is parking charged to guests?</t>
  </si>
  <si>
    <t>Guests paying for parking at your wedding reflects on you.</t>
  </si>
  <si>
    <t>BG101</t>
  </si>
  <si>
    <t>Gift table decor</t>
  </si>
  <si>
    <t>Is an outside caterer or outside cake allowed, and is there a charge?</t>
  </si>
  <si>
    <t>Decides whether you can use your own baker at all.</t>
  </si>
  <si>
    <t>RISK</t>
  </si>
  <si>
    <t>Booking deposit - how much, and is any of it refundable?</t>
  </si>
  <si>
    <t>Usually not. Know the number before you commit the date.</t>
  </si>
  <si>
    <t>Cancellation and postponement policy - what if the date has to move?</t>
  </si>
  <si>
    <t>BG102</t>
  </si>
  <si>
    <t>The single most important clause in the contract.</t>
  </si>
  <si>
    <t>Registration / signing table</t>
  </si>
  <si>
    <t>By when must the final guest number be confirmed, and can it go down?</t>
  </si>
  <si>
    <t>Most venues let it go up but never down.</t>
  </si>
  <si>
    <t>Is the quotation itemised and in writing, with the taxes shown separately?</t>
  </si>
  <si>
    <t>A one-line quote is where disputes start.</t>
  </si>
  <si>
    <t>DECISION  -  which option are you going with?</t>
  </si>
  <si>
    <t>Record the chosen vendor on 05 Vendors, then the rest of the workbook picks them up.</t>
  </si>
  <si>
    <t>Not decided</t>
  </si>
  <si>
    <t>BG103</t>
  </si>
  <si>
    <t>Welcome &amp; directional signage</t>
  </si>
  <si>
    <t>BG104</t>
  </si>
  <si>
    <t>Seating chart board</t>
  </si>
  <si>
    <t>BG105</t>
  </si>
  <si>
    <t>Photo booth / selfie corner</t>
  </si>
  <si>
    <t>02  ·  CATERER  (only if separate from the hotel)</t>
  </si>
  <si>
    <t>BG106</t>
  </si>
  <si>
    <t>Lounge setup</t>
  </si>
  <si>
    <t>BG107</t>
  </si>
  <si>
    <t>Ceiling drapery</t>
  </si>
  <si>
    <t>BG108</t>
  </si>
  <si>
    <t>Fairy lights &amp; fittings</t>
  </si>
  <si>
    <t>BG109</t>
  </si>
  <si>
    <t>Candles &amp; lanterns</t>
  </si>
  <si>
    <t>Rate per head, and the exact menu at that rate</t>
  </si>
  <si>
    <t>BG110</t>
  </si>
  <si>
    <t>Menus get quietly downgraded between quote and wedding.</t>
  </si>
  <si>
    <t>Fresh flowers - bulk</t>
  </si>
  <si>
    <t>Minimum number of guests</t>
  </si>
  <si>
    <t>Sets your floor price.</t>
  </si>
  <si>
    <t>Crew and vendor meal rate</t>
  </si>
  <si>
    <t>Photographers, dancers and drivers all need feeding.</t>
  </si>
  <si>
    <t>Transport charge to the venue</t>
  </si>
  <si>
    <t>Often excluded from the per-head rate.</t>
  </si>
  <si>
    <t>BG111</t>
  </si>
  <si>
    <t>Oil lamp (pahana) &amp; wicks</t>
  </si>
  <si>
    <t>Does it include rice, at least three vegetarian mains, dhal, mallum and papadam?</t>
  </si>
  <si>
    <t>The staples are what guests actually judge.</t>
  </si>
  <si>
    <t>Is a live station (hoppers or kottu) included or extra?</t>
  </si>
  <si>
    <t>Popular, and almost always an extra.</t>
  </si>
  <si>
    <t>How many desserts, and is watalappan included?</t>
  </si>
  <si>
    <t>A Sri Lankan wedding without watalappan gets noticed.</t>
  </si>
  <si>
    <t>BG112</t>
  </si>
  <si>
    <t>Kalasa pots &amp; betel tray (bulath thattuwa)</t>
  </si>
  <si>
    <t>Do they supply crockery, cutlery, linen and chafing dishes?</t>
  </si>
  <si>
    <t>If not, you are hiring them separately.</t>
  </si>
  <si>
    <t>How many service staff per 100 guests?</t>
  </si>
  <si>
    <t>Under-staffing shows as long buffet queues.</t>
  </si>
  <si>
    <t>Are welcome drinks and short eats included?</t>
  </si>
  <si>
    <t>Guests arrive up to an hour before the ceremony.</t>
  </si>
  <si>
    <t>BG113</t>
  </si>
  <si>
    <t>PA / sound system</t>
  </si>
  <si>
    <t>Is a tasting included - when, and for how many people?</t>
  </si>
  <si>
    <t>Taste before you pay the balance, not after.</t>
  </si>
  <si>
    <t>What time do they arrive, and how long do they need to set up?</t>
  </si>
  <si>
    <t>Feeds straight into 21 Vendor Schedule.</t>
  </si>
  <si>
    <t>How are vegetarian, halal and allergy meals kept separate and labelled?</t>
  </si>
  <si>
    <t>Cross-contamination is a real risk at a buffet.</t>
  </si>
  <si>
    <t>BG114</t>
  </si>
  <si>
    <t>Microphones - MC, officiant, speeches</t>
  </si>
  <si>
    <t>Who clears up, and by what time?</t>
  </si>
  <si>
    <t>The venue will charge you if the caterer leaves a mess.</t>
  </si>
  <si>
    <t>What happens if more guests arrive than confirmed?</t>
  </si>
  <si>
    <t>Ask what buffer they hold and at what price.</t>
  </si>
  <si>
    <t>BG115</t>
  </si>
  <si>
    <t>Stage &amp; uplighting</t>
  </si>
  <si>
    <t>Deposit, payment schedule and cancellation terms</t>
  </si>
  <si>
    <t>Get it in writing.</t>
  </si>
  <si>
    <t>BG116</t>
  </si>
  <si>
    <t>LED screen / projector</t>
  </si>
  <si>
    <t>BG117</t>
  </si>
  <si>
    <t>AV technician charges</t>
  </si>
  <si>
    <t>BG118</t>
  </si>
  <si>
    <t>Extra power distribution</t>
  </si>
  <si>
    <t>BG119</t>
  </si>
  <si>
    <t>03  ·  PHOTOGRAPHER</t>
  </si>
  <si>
    <t>Kandyan dancers troupe</t>
  </si>
  <si>
    <t>BG120</t>
  </si>
  <si>
    <t>Hewisi drummers</t>
  </si>
  <si>
    <t>BG121</t>
  </si>
  <si>
    <t>Jayamangala Gatha singers</t>
  </si>
  <si>
    <t>BG122</t>
  </si>
  <si>
    <t>Ashtaka chanter / Poruwa officiant</t>
  </si>
  <si>
    <t>BG123</t>
  </si>
  <si>
    <t>MC / compere</t>
  </si>
  <si>
    <t>Total price and exactly how many hours of coverage it buys</t>
  </si>
  <si>
    <t>Coverage hours are the thing people forget to check.</t>
  </si>
  <si>
    <t>Charge per extra hour</t>
  </si>
  <si>
    <t>BG124</t>
  </si>
  <si>
    <t>You will almost certainly run over.</t>
  </si>
  <si>
    <t>Is the pre-shoot included? Any travel charge for the location?</t>
  </si>
  <si>
    <t>Out-of-Colombo locations attract travel and stay costs.</t>
  </si>
  <si>
    <t>Cost of parent albums and enlargements</t>
  </si>
  <si>
    <t>Both sets of parents will want one.</t>
  </si>
  <si>
    <t>Cost to receive the raw / unedited files</t>
  </si>
  <si>
    <t>Some studios never release them. Ask now.</t>
  </si>
  <si>
    <t>BG125</t>
  </si>
  <si>
    <t>Live band</t>
  </si>
  <si>
    <t>How many photographers and assistants are included on the day?</t>
  </si>
  <si>
    <t>One person cannot cover a Poruwa and a groom's entrance.</t>
  </si>
  <si>
    <t>How many edited images do we receive, and how are they delivered?</t>
  </si>
  <si>
    <t>'Selected images' can mean 200 or 2,000.</t>
  </si>
  <si>
    <t>Album specification - size, number of spreads, cover, print lab</t>
  </si>
  <si>
    <t>This is the thing you keep for 40 years.</t>
  </si>
  <si>
    <t>BG126</t>
  </si>
  <si>
    <t>Traditional musicians</t>
  </si>
  <si>
    <t>Is a same-day edit offered, and what does the venue need to provide?</t>
  </si>
  <si>
    <t>Needs a screen and a slot in the running order.</t>
  </si>
  <si>
    <t>Drone - do they have one and a licensed operator?</t>
  </si>
  <si>
    <t>Many venues and all airport-adjacent areas restrict drones.</t>
  </si>
  <si>
    <t>Who exactly will shoot our wedding - the person we are meeting?</t>
  </si>
  <si>
    <t>Big studios assign whoever is free. Get the name in the contract.</t>
  </si>
  <si>
    <t>Can we see TWO complete weddings, start to finish - not just highlights?</t>
  </si>
  <si>
    <t>A 30-image highlight reel hides a weak photographer.</t>
  </si>
  <si>
    <t>BG127</t>
  </si>
  <si>
    <t>Cold pyro / sparkler entrance</t>
  </si>
  <si>
    <t>Will they work to our shot list on 18 Photo &amp; Video Plan?</t>
  </si>
  <si>
    <t>Family group shots get missed unless they are written down.</t>
  </si>
  <si>
    <t>How do they work alongside the videographer?</t>
  </si>
  <si>
    <t>Two teams competing for position ruins both sets of results.</t>
  </si>
  <si>
    <t>Do they need a meal and somewhere to change?</t>
  </si>
  <si>
    <t>Plan it rather than be asked on the night.</t>
  </si>
  <si>
    <t>Delivery timeline - previews, full gallery, and the finished album</t>
  </si>
  <si>
    <t>Six months is normal; twelve is not. Put it in writing.</t>
  </si>
  <si>
    <t>BG128</t>
  </si>
  <si>
    <t>Photo booth operator</t>
  </si>
  <si>
    <t>Backup equipment - two bodies, and cameras with dual card slots?</t>
  </si>
  <si>
    <t>A single card failure loses your wedding.</t>
  </si>
  <si>
    <t>How and where do they back up the files, and for how long do they keep them?</t>
  </si>
  <si>
    <t>Ask how long before they delete your wedding.</t>
  </si>
  <si>
    <t>What happens if they fall ill - is there a named substitute?</t>
  </si>
  <si>
    <t>Ask before, not on the morning.</t>
  </si>
  <si>
    <t>BG129</t>
  </si>
  <si>
    <t>Bridal car (decorated)</t>
  </si>
  <si>
    <t>BG130</t>
  </si>
  <si>
    <t>Groom's car</t>
  </si>
  <si>
    <t>04  ·  VIDEOGRAPHER</t>
  </si>
  <si>
    <t>BG131</t>
  </si>
  <si>
    <t>Bride's family cars</t>
  </si>
  <si>
    <t>BG132</t>
  </si>
  <si>
    <t>Groom's family cars</t>
  </si>
  <si>
    <t>BG133</t>
  </si>
  <si>
    <t>Guest bus / van hire</t>
  </si>
  <si>
    <t>BG134</t>
  </si>
  <si>
    <t>Vendor &amp; equipment transport</t>
  </si>
  <si>
    <t>Total price, hours of coverage, and the extra-hour rate</t>
  </si>
  <si>
    <t>Same trap as photography.</t>
  </si>
  <si>
    <t>Cost of the full-length edit if only a highlight film is quoted</t>
  </si>
  <si>
    <t>Most packages quote the highlight only.</t>
  </si>
  <si>
    <t>Cost of raw footage and the storage drive</t>
  </si>
  <si>
    <t>Raw footage is large and usually charged.</t>
  </si>
  <si>
    <t>BG135</t>
  </si>
  <si>
    <t>Airport transfers - overseas guests</t>
  </si>
  <si>
    <t>Live streaming for overseas family - cost and what it needs</t>
  </si>
  <si>
    <t>Common for Sri Lankan families abroad. Needs bandwidth.</t>
  </si>
  <si>
    <t>How many videographers and cameras on the day?</t>
  </si>
  <si>
    <t>One camera cannot cover a Poruwa properly.</t>
  </si>
  <si>
    <t>Highlight film length, and is a full ceremony edit included?</t>
  </si>
  <si>
    <t>Ask to see both, not just the trailer.</t>
  </si>
  <si>
    <t>How do they record the Ashtaka and the vows - which microphones?</t>
  </si>
  <si>
    <t>Poruwa chanting recorded from ten metres away is unusable.</t>
  </si>
  <si>
    <t>BG136</t>
  </si>
  <si>
    <t>Driver charges &amp; tips</t>
  </si>
  <si>
    <t>Will they mic the officiant and the MC?</t>
  </si>
  <si>
    <t>The audio is what makes the film watchable later.</t>
  </si>
  <si>
    <t>Drone footage - included or extra?</t>
  </si>
  <si>
    <t>Ask about venue restrictions at the same time.</t>
  </si>
  <si>
    <t>Can we watch TWO full films end to end, not a three-minute reel?</t>
  </si>
  <si>
    <t>Reels are cut from the best ten seconds of a whole day.</t>
  </si>
  <si>
    <t>What lighting do they bring, and will it be intrusive during the ceremony?</t>
  </si>
  <si>
    <t>Harsh video lights ruin the photographs and the mood.</t>
  </si>
  <si>
    <t>BG137</t>
  </si>
  <si>
    <t>Fuel</t>
  </si>
  <si>
    <t>Who is the lead shooter on our day?</t>
  </si>
  <si>
    <t>Get the name written into the contract.</t>
  </si>
  <si>
    <t>Delivery format and timeline</t>
  </si>
  <si>
    <t>Ask for a date, not 'a few months'.</t>
  </si>
  <si>
    <t>Do they record to two cards or two devices simultaneously?</t>
  </si>
  <si>
    <t>Audio and video backup matter more here than in photography.</t>
  </si>
  <si>
    <t>Is the music in the film properly licensed?</t>
  </si>
  <si>
    <t>Unlicensed tracks get films muted on social media.</t>
  </si>
  <si>
    <t>BG138</t>
  </si>
  <si>
    <t>Parking &amp; tolls</t>
  </si>
  <si>
    <t>BG139</t>
  </si>
  <si>
    <t>Vehicle overtime</t>
  </si>
  <si>
    <t>BG140</t>
  </si>
  <si>
    <t>Bride's immediate family rooms</t>
  </si>
  <si>
    <t>05  ·  DECORATOR / FLORIST</t>
  </si>
  <si>
    <t>BG141</t>
  </si>
  <si>
    <t>Groom's immediate family rooms</t>
  </si>
  <si>
    <t>BG142</t>
  </si>
  <si>
    <t>Outstation guest rooms</t>
  </si>
  <si>
    <t>BG143</t>
  </si>
  <si>
    <t>VIP guest rooms</t>
  </si>
  <si>
    <t>BG144</t>
  </si>
  <si>
    <t>Vendor accommodation</t>
  </si>
  <si>
    <t>Is the quoted price for the exact design shown, or 'something similar'?</t>
  </si>
  <si>
    <t>This is the single biggest source of decor disappointment.</t>
  </si>
  <si>
    <t>BG145</t>
  </si>
  <si>
    <t>Extra night / late checkout</t>
  </si>
  <si>
    <t>How many guest table centrepieces are included?</t>
  </si>
  <si>
    <t>Priced per table - check it matches your table count.</t>
  </si>
  <si>
    <t>Are chair covers and sashes included, or charged per chair?</t>
  </si>
  <si>
    <t>200 chairs at even a small rate adds up fast.</t>
  </si>
  <si>
    <t>Cost of lighting - uplighting, fairy lights, spotlight on the Poruwa</t>
  </si>
  <si>
    <t>Lighting is usually a separate line and it transforms a room.</t>
  </si>
  <si>
    <t>BG146</t>
  </si>
  <si>
    <t>Save-the-date cards</t>
  </si>
  <si>
    <t>Can we see photos of Poruwas they have actually built themselves?</t>
  </si>
  <si>
    <t>Ask for their own work, not Pinterest references.</t>
  </si>
  <si>
    <t>Is the Poruwa structure theirs or hired in? What are its dimensions?</t>
  </si>
  <si>
    <t>The venue needs the dimensions; some halls restrict them.</t>
  </si>
  <si>
    <t>Which parts are fresh flowers and which are artificial?</t>
  </si>
  <si>
    <t>Be told now rather than notice on the day.</t>
  </si>
  <si>
    <t>BG147</t>
  </si>
  <si>
    <t>Wedding invitations - printed</t>
  </si>
  <si>
    <t>Which specific flowers - and what is the substitute if they are unavailable?</t>
  </si>
  <si>
    <t>Seasonal and import availability changes.</t>
  </si>
  <si>
    <t>Are the backdrop, stage and head table included?</t>
  </si>
  <si>
    <t>Frequently quoted separately.</t>
  </si>
  <si>
    <t>Entrance arch, welcome board, seating chart board and signage - included?</t>
  </si>
  <si>
    <t>Small items that add up if excluded.</t>
  </si>
  <si>
    <t>BG148</t>
  </si>
  <si>
    <t>Digital invitation design</t>
  </si>
  <si>
    <t>Who supplies the oil lamp, kalasa pots, betel tray and white cloth?</t>
  </si>
  <si>
    <t>Decorator or family - agree it, or nobody brings them.</t>
  </si>
  <si>
    <t>Who supplies the ceremony items - coconut, thread, kiribath tray?</t>
  </si>
  <si>
    <t>Usually the family. Confirm so it lands on 23 Procurement.</t>
  </si>
  <si>
    <t>What time do they start setting up, and when will it be finished?</t>
  </si>
  <si>
    <t>Set a sign-off deadline before guests arrive.</t>
  </si>
  <si>
    <t>BG149</t>
  </si>
  <si>
    <t>Invitation postage / hand delivery</t>
  </si>
  <si>
    <t>Have they worked at this venue before? Have they done a site visit?</t>
  </si>
  <si>
    <t>Someone who knows the hall makes fewer mistakes.</t>
  </si>
  <si>
    <t>Who removes everything, and when?</t>
  </si>
  <si>
    <t>Breakdown overruns get charged to you by the venue.</t>
  </si>
  <si>
    <t>BG150</t>
  </si>
  <si>
    <t>What is the plan if it rains and part of the decor is outdoors?</t>
  </si>
  <si>
    <t>RSVP cards</t>
  </si>
  <si>
    <t>Have the answer in writing before you pay.</t>
  </si>
  <si>
    <t>Any damage deposit held by the venue, and who is liable?</t>
  </si>
  <si>
    <t>Clarify between decorator and venue, not after.</t>
  </si>
  <si>
    <t>Deposit, payment schedule and final design sign-off date</t>
  </si>
  <si>
    <t>Lock the design so it cannot drift.</t>
  </si>
  <si>
    <t>BG151</t>
  </si>
  <si>
    <t>Menu cards</t>
  </si>
  <si>
    <t>BG152</t>
  </si>
  <si>
    <t>Table numbers</t>
  </si>
  <si>
    <t>BG153</t>
  </si>
  <si>
    <t>Place cards</t>
  </si>
  <si>
    <t>BG154</t>
  </si>
  <si>
    <t>06  ·  BRIDAL DRESSER  (hair &amp; makeup)</t>
  </si>
  <si>
    <t>Welcome board</t>
  </si>
  <si>
    <t>BG155</t>
  </si>
  <si>
    <t>Seating chart print</t>
  </si>
  <si>
    <t>BG156</t>
  </si>
  <si>
    <t>Direction boards</t>
  </si>
  <si>
    <t>BG157</t>
  </si>
  <si>
    <t>Order of ceremony cards</t>
  </si>
  <si>
    <t>BG158</t>
  </si>
  <si>
    <t>Thank-you cards</t>
  </si>
  <si>
    <t>Total price - and is the trial included or charged separately?</t>
  </si>
  <si>
    <t>Trials are often billed as an extra.</t>
  </si>
  <si>
    <t>Rate per additional person for bridesmaids and mothers</t>
  </si>
  <si>
    <t>Adds up quickly across a bridal party.</t>
  </si>
  <si>
    <t>Travel charge to the hotel, and do they need a room?</t>
  </si>
  <si>
    <t>If they need a room, someone has to pay for it.</t>
  </si>
  <si>
    <t>BG159</t>
  </si>
  <si>
    <t>Kandyan bridal dressing, western, or both? Can they do both looks?</t>
  </si>
  <si>
    <t>Poruwa items - betel, coconut flower, thread</t>
  </si>
  <si>
    <t>Not every artist does traditional osari dressing well.</t>
  </si>
  <si>
    <t>Do they drape the saree, or do we need a separate dresser?</t>
  </si>
  <si>
    <t>A very common gap - the makeup artist may not drape.</t>
  </si>
  <si>
    <t>Do they supply the nalalpata and hair jewellery, or must we?</t>
  </si>
  <si>
    <t>If not, it goes on the jewellery list.</t>
  </si>
  <si>
    <t>Do they stay for touch-ups through the evening, and until when?</t>
  </si>
  <si>
    <t>Photographs at 10pm look very different without touch-ups.</t>
  </si>
  <si>
    <t>BG160</t>
  </si>
  <si>
    <t>Will they change the bride into the going-away outfit?</t>
  </si>
  <si>
    <t>Needs time in the running order either way.</t>
  </si>
  <si>
    <t>Kiribath &amp; sweets tray</t>
  </si>
  <si>
    <t>Who actually does the bride - the named artist or an assistant?</t>
  </si>
  <si>
    <t>Studios rotate staff. Name them in the booking.</t>
  </si>
  <si>
    <t>How long do they need for the bride, and what time will they arrive?</t>
  </si>
  <si>
    <t>Bridal dressing running late delays the entire day.</t>
  </si>
  <si>
    <t>How many weddings do they take on the same day?</t>
  </si>
  <si>
    <t>Three bookings in one day means you get rushed.</t>
  </si>
  <si>
    <t>Can we see photographs of brides with a similar skin tone?</t>
  </si>
  <si>
    <t>Colour matching is the most common complaint.</t>
  </si>
  <si>
    <t>BG161</t>
  </si>
  <si>
    <t>Oil lamp &amp; wicks</t>
  </si>
  <si>
    <t>Which products do they use - any known allergies or sensitivities?</t>
  </si>
  <si>
    <t>Test at the trial, not on the morning.</t>
  </si>
  <si>
    <t>What happens if they are ill - is there a named substitute?</t>
  </si>
  <si>
    <t>Nobody plans for this and it does happen.</t>
  </si>
  <si>
    <t>Deposit and cancellation terms</t>
  </si>
  <si>
    <t>BG162</t>
  </si>
  <si>
    <t>Ashtaka / chanting offering</t>
  </si>
  <si>
    <t>BG163</t>
  </si>
  <si>
    <t>Nilame &amp; attendants</t>
  </si>
  <si>
    <t>BG164</t>
  </si>
  <si>
    <t>Temple offering / pooja / dana</t>
  </si>
  <si>
    <t>07  ·  SAREE / DRESS DESIGNER</t>
  </si>
  <si>
    <t>BG165</t>
  </si>
  <si>
    <t>Blessing service (pirith / church)</t>
  </si>
  <si>
    <t>BG166</t>
  </si>
  <si>
    <t>Officiant / priest offering</t>
  </si>
  <si>
    <t>BG167</t>
  </si>
  <si>
    <t>Ceremony item rentals</t>
  </si>
  <si>
    <t>BG168</t>
  </si>
  <si>
    <t>Marriage registrar fee</t>
  </si>
  <si>
    <t>Is this price to buy or to hire? What is the difference?</t>
  </si>
  <si>
    <t>Hiring can be a third of the price - and comes with conditions.</t>
  </si>
  <si>
    <t>Alteration charge after the final fitting</t>
  </si>
  <si>
    <t>Weight changes happen. Know the cost.</t>
  </si>
  <si>
    <t>BG169</t>
  </si>
  <si>
    <t>Notice of marriage fee</t>
  </si>
  <si>
    <t>If hiring - security deposit, return date, late fee and damage charges</t>
  </si>
  <si>
    <t>Get every number in writing before you take it away.</t>
  </si>
  <si>
    <t>Price for the going-away outfit as a package</t>
  </si>
  <si>
    <t>Usually cheaper bundled.</t>
  </si>
  <si>
    <t>Exactly which fabric - can we see and feel it before ordering?</t>
  </si>
  <si>
    <t>BG170</t>
  </si>
  <si>
    <t>Photographs hide fabric weight and drape.</t>
  </si>
  <si>
    <t>Marriage certificate copies</t>
  </si>
  <si>
    <t>Is the blouse included, with the beading and stone work shown?</t>
  </si>
  <si>
    <t>Frequently a separate charge.</t>
  </si>
  <si>
    <t>How many fittings are included, and when are they scheduled?</t>
  </si>
  <si>
    <t>Three is normal. One is not enough.</t>
  </si>
  <si>
    <t>Do they supply the petticoat, falls and pins?</t>
  </si>
  <si>
    <t>Small items, but you need them on the morning.</t>
  </si>
  <si>
    <t>BG171</t>
  </si>
  <si>
    <t>Document translation / attestation</t>
  </si>
  <si>
    <t>Can they make the bridesmaids' outfits to match?</t>
  </si>
  <si>
    <t>Matching dye lots are much easier from one supplier.</t>
  </si>
  <si>
    <t>Delivery date - how many days before the wedding?</t>
  </si>
  <si>
    <t>Insist on at least 7 days, not the night before.</t>
  </si>
  <si>
    <t>Do they provide a dresser on the day, or coordinate with the makeup artist?</t>
  </si>
  <si>
    <t>Someone must actually drape it.</t>
  </si>
  <si>
    <t>BG172</t>
  </si>
  <si>
    <t>Witness arrangements</t>
  </si>
  <si>
    <t>Can we see a finished piece from a recent bride, in person?</t>
  </si>
  <si>
    <t>Studio samples are not what gets delivered.</t>
  </si>
  <si>
    <t>What happens if it is not ready on time?</t>
  </si>
  <si>
    <t>Ask directly and note the answer.</t>
  </si>
  <si>
    <t>Payment schedule, and how much is due before delivery</t>
  </si>
  <si>
    <t>Never pay the full amount before the final fitting.</t>
  </si>
  <si>
    <t>BG173</t>
  </si>
  <si>
    <t>Registrar transport</t>
  </si>
  <si>
    <t>BG174</t>
  </si>
  <si>
    <t>Guest wedding favours</t>
  </si>
  <si>
    <t>BG175</t>
  </si>
  <si>
    <t>Parents' gifts</t>
  </si>
  <si>
    <t>BG176</t>
  </si>
  <si>
    <t>08  ·  JEWELLERY</t>
  </si>
  <si>
    <t>Traditional family gifts (sarees / cloth)</t>
  </si>
  <si>
    <t>Panadura Gold house</t>
  </si>
  <si>
    <t>BG177</t>
  </si>
  <si>
    <t>Vendor tips</t>
  </si>
  <si>
    <t>BG178</t>
  </si>
  <si>
    <t>Gift table &amp; guest book</t>
  </si>
  <si>
    <t>BG179</t>
  </si>
  <si>
    <t>Thank-you gifts for helpers</t>
  </si>
  <si>
    <t>BG180</t>
  </si>
  <si>
    <t>Engagement</t>
  </si>
  <si>
    <t>Price to buy, to hire, and the difference</t>
  </si>
  <si>
    <t>Hiring a bridal set is normal and much cheaper.</t>
  </si>
  <si>
    <t>If hiring - deposit, return deadline, late fee and loss liability</t>
  </si>
  <si>
    <t>You are liable for a large sum. Know the exact terms.</t>
  </si>
  <si>
    <t>BG181</t>
  </si>
  <si>
    <t>Pre-shoot location fees &amp; costumes</t>
  </si>
  <si>
    <t>Buy-back or exchange policy if purchasing</t>
  </si>
  <si>
    <t>Affects the real cost of buying over hiring.</t>
  </si>
  <si>
    <t>Real gold, gold plated or costume? What karat?</t>
  </si>
  <si>
    <t>Get this in writing on the invoice.</t>
  </si>
  <si>
    <t>Is there a certificate or valuation?</t>
  </si>
  <si>
    <t>Needed for insurance and for resale.</t>
  </si>
  <si>
    <t>BG182</t>
  </si>
  <si>
    <t>Bridal shower</t>
  </si>
  <si>
    <t>Does the set include the nalalpata, konda mal and waist chain?</t>
  </si>
  <si>
    <t>'Bridal set' means different things to different jewellers.</t>
  </si>
  <si>
    <t>Can we try the full set on with the saree before deciding?</t>
  </si>
  <si>
    <t>Weight and scale only make sense on the actual outfit.</t>
  </si>
  <si>
    <t>Collection date and return date - in writing</t>
  </si>
  <si>
    <t>Feeds the jewellery register on 12 Attire &amp; Jewellery.</t>
  </si>
  <si>
    <t>BG183</t>
  </si>
  <si>
    <t>Bachelor / bachelorette</t>
  </si>
  <si>
    <t>Do they deliver to the venue, or must we collect?</t>
  </si>
  <si>
    <t>Moving high-value jewellery on the morning needs a plan.</t>
  </si>
  <si>
    <t>Who insures the pieces during the hire period?</t>
  </si>
  <si>
    <t>Assume it is you unless told otherwise.</t>
  </si>
  <si>
    <t>Do they provide a security escort for a high-value set?</t>
  </si>
  <si>
    <t>Some jewellers do. Worth asking.</t>
  </si>
  <si>
    <t>BG184</t>
  </si>
  <si>
    <t>Mehendi / henna night</t>
  </si>
  <si>
    <t>What is the charge for damage, and what counts as damage?</t>
  </si>
  <si>
    <t>Loose stones happen. Agree the definition now.</t>
  </si>
  <si>
    <t>BG185</t>
  </si>
  <si>
    <t>Dress fittings - travel</t>
  </si>
  <si>
    <t>Option A</t>
  </si>
  <si>
    <t>BG186</t>
  </si>
  <si>
    <t>Vendor tasting sessions</t>
  </si>
  <si>
    <t>BG187</t>
  </si>
  <si>
    <t>09  ·  CAKE</t>
  </si>
  <si>
    <t>Family meetings / hospitality</t>
  </si>
  <si>
    <t>BG188</t>
  </si>
  <si>
    <t>Wedding coordinator fee</t>
  </si>
  <si>
    <t>BG189</t>
  </si>
  <si>
    <t>Wedding-day emergency kit</t>
  </si>
  <si>
    <t>BG190</t>
  </si>
  <si>
    <t>Guest welcome kits</t>
  </si>
  <si>
    <t>Priced per kilo or per slice - and what does that include?</t>
  </si>
  <si>
    <t>The two are not comparable until you convert them.</t>
  </si>
  <si>
    <t>BG191</t>
  </si>
  <si>
    <t>First-aid &amp; essentials</t>
  </si>
  <si>
    <t>Price per boxed piece for guests, including the box and ribbon</t>
  </si>
  <si>
    <t>For 200 guests this is often more than the cake itself.</t>
  </si>
  <si>
    <t>Cake stand and knife - supplied, hired, or is there a deposit?</t>
  </si>
  <si>
    <t>Small item, frequently forgotten until the day.</t>
  </si>
  <si>
    <t>Is it real cake all the way up, or are some tiers dummies?</t>
  </si>
  <si>
    <t>Dummy tiers are fine - but you should know.</t>
  </si>
  <si>
    <t>BG192</t>
  </si>
  <si>
    <t>Is Sri Lankan rich cake included, and how far ahead is it made?</t>
  </si>
  <si>
    <t>Communication / data</t>
  </si>
  <si>
    <t>Rich cake is made weeks ahead. Ask when.</t>
  </si>
  <si>
    <t>Can we taste the flavours before deciding?</t>
  </si>
  <si>
    <t>Insist on this.</t>
  </si>
  <si>
    <t>What time do they deliver and set up?</t>
  </si>
  <si>
    <t>Feeds 21 Vendor Schedule.</t>
  </si>
  <si>
    <t>How long can it stand in the hall without refrigeration?</t>
  </si>
  <si>
    <t>Buttercream in a warm hall is a real risk in Sri Lanka.</t>
  </si>
  <si>
    <t>BG193</t>
  </si>
  <si>
    <t>Miscellaneous petty cash</t>
  </si>
  <si>
    <t>Final design and flavour confirmation date</t>
  </si>
  <si>
    <t>Lock it so it cannot drift.</t>
  </si>
  <si>
    <t>Who is responsible if the cake is damaged in transit?</t>
  </si>
  <si>
    <t>Ask before, and get the answer in writing.</t>
  </si>
  <si>
    <t>How are nut, egg and dairy allergies handled and labelled?</t>
  </si>
  <si>
    <t>Guests will ask on the night.</t>
  </si>
  <si>
    <t>BG999</t>
  </si>
  <si>
    <t>Deposit and final payment terms</t>
  </si>
  <si>
    <t>Contingency reserve (auto = % of budgeted above)</t>
  </si>
  <si>
    <t>Couple</t>
  </si>
  <si>
    <t>10  ·  KANDYAN DANCERS &amp; DRUMMERS</t>
  </si>
  <si>
    <t>How many dancers and how many drummers are in this price?</t>
  </si>
  <si>
    <t>'A troupe' can be six people or sixteen.</t>
  </si>
  <si>
    <t>Charge for extra time beyond the agreed slot</t>
  </si>
  <si>
    <t>Ceremonies run late.</t>
  </si>
  <si>
    <t>Do they need meals, and is transport included?</t>
  </si>
  <si>
    <t>Usually expected. Budget for it.</t>
  </si>
  <si>
    <t>Which items do they perform, and for how long in total?</t>
  </si>
  <si>
    <t>Pin down the actual running time.</t>
  </si>
  <si>
    <t>Do they do the entrance procession, or only a stage item?</t>
  </si>
  <si>
    <t>These are priced differently.</t>
  </si>
  <si>
    <t>Do they bring their own costumes and instruments?</t>
  </si>
  <si>
    <t>Assume yes, but confirm.</t>
  </si>
  <si>
    <t>What time do they arrive, and how long do they stay?</t>
  </si>
  <si>
    <t>Do they need a changing room at the venue?</t>
  </si>
  <si>
    <t>Must be arranged with the hotel in advance.</t>
  </si>
  <si>
    <t>Have they performed at this venue? Any indoor drumming restriction?</t>
  </si>
  <si>
    <t>Some ballrooms restrict Hewisi indoors.</t>
  </si>
  <si>
    <t>Can we see video of a real performance, not a promo edit?</t>
  </si>
  <si>
    <t>Standards vary enormously.</t>
  </si>
  <si>
    <t>11  ·  PORUWA OFFICIANT  (Ashtaka chanter)</t>
  </si>
  <si>
    <t>The fee or offering, and whether transport is included</t>
  </si>
  <si>
    <t>Agree it plainly so nobody is embarrassed on the day.</t>
  </si>
  <si>
    <t>Is the Jayamangala Gatha group included or booked separately?</t>
  </si>
  <si>
    <t>Very often separate. Do not assume.</t>
  </si>
  <si>
    <t>Which tradition do they follow - will they explain each step to us?</t>
  </si>
  <si>
    <t>You should understand your own ceremony.</t>
  </si>
  <si>
    <t>Which items do they bring, and which must the family provide?</t>
  </si>
  <si>
    <t>Split it explicitly so nothing is missing.</t>
  </si>
  <si>
    <t>How long does the full ceremony take?</t>
  </si>
  <si>
    <t>Drives your entire evening running order.</t>
  </si>
  <si>
    <t>Do they need the Poruwa built to a particular size or orientation?</t>
  </si>
  <si>
    <t>Tell the decorator before it is built.</t>
  </si>
  <si>
    <t>Will they brief both families beforehand on where to stand?</t>
  </si>
  <si>
    <t>Prevents the awkward shuffle in front of 200 guests.</t>
  </si>
  <si>
    <t>What time do they need to arrive?</t>
  </si>
  <si>
    <t>Do they coordinate with the MC and the photographer?</t>
  </si>
  <si>
    <t>Photographers need to know what happens next.</t>
  </si>
  <si>
    <t>Have we confirmed the auspicious time (nekath) they should work to?</t>
  </si>
  <si>
    <t>Fix the nekath before booking anything else on the day.</t>
  </si>
  <si>
    <t>12  ·  MC / COMPERE</t>
  </si>
  <si>
    <t>Fee, hours included, and the extra-time charge</t>
  </si>
  <si>
    <t>Receptions overrun.</t>
  </si>
  <si>
    <t>Which languages, and in what mix?</t>
  </si>
  <si>
    <t>Get this right for a mixed-language guest list.</t>
  </si>
  <si>
    <t>Do they bring their own microphone or use the venue's?</t>
  </si>
  <si>
    <t>Avoids a gap on the night.</t>
  </si>
  <si>
    <t>Can we hear a recording of them at a real wedding?</t>
  </si>
  <si>
    <t>Style varies from formal to very informal.</t>
  </si>
  <si>
    <t>Will they follow our running order exactly, or improvise?</t>
  </si>
  <si>
    <t>You want the former.</t>
  </si>
  <si>
    <t>Do they check name pronunciations with us in advance?</t>
  </si>
  <si>
    <t>Mispronouncing family names is remembered.</t>
  </si>
  <si>
    <t>Do they run games or audience participation - can we opt out?</t>
  </si>
  <si>
    <t>Decide now, not when it is happening.</t>
  </si>
  <si>
    <t>How do they coordinate with the DJ and the coordinator?</t>
  </si>
  <si>
    <t>The MC drives the cues for everyone else.</t>
  </si>
  <si>
    <t>What happens if they cannot come - is there a substitute?</t>
  </si>
  <si>
    <t>Ask before.</t>
  </si>
  <si>
    <t>13  ·  DJ / BAND</t>
  </si>
  <si>
    <t>Total price, hours included, and the extra-hour rate</t>
  </si>
  <si>
    <t>Standard trap.</t>
  </si>
  <si>
    <t>Do they need a meal and parking?</t>
  </si>
  <si>
    <t>Small costs, easily forgotten.</t>
  </si>
  <si>
    <t>What equipment is included - speakers, mixer, lighting?</t>
  </si>
  <si>
    <t>Decides whether you also need a separate AV supplier.</t>
  </si>
  <si>
    <t>Do they supply microphones for speeches and the ceremony?</t>
  </si>
  <si>
    <t>Often the cheapest way to cover this.</t>
  </si>
  <si>
    <t>Do they have Sinhala, Baila, Hindi and English catalogues?</t>
  </si>
  <si>
    <t>A mixed guest list needs all of them.</t>
  </si>
  <si>
    <t>Can we give a must-play and a do-not-play list?</t>
  </si>
  <si>
    <t>Feeds the music cue list on 20 Day Timeline.</t>
  </si>
  <si>
    <t>Will they take requests from guests?</t>
  </si>
  <si>
    <t>Decide your policy in advance.</t>
  </si>
  <si>
    <t>Who is the actual DJ on the night?</t>
  </si>
  <si>
    <t>Agencies rotate. Name them.</t>
  </si>
  <si>
    <t>Setup time needed, and how much power?</t>
  </si>
  <si>
    <t>The venue needs to know the load.</t>
  </si>
  <si>
    <t>Volume limits at this venue - have they played there before?</t>
  </si>
  <si>
    <t>Avoids being turned down mid-set.</t>
  </si>
  <si>
    <t>Is there backup equipment on site if something fails?</t>
  </si>
  <si>
    <t>Silence at a reception is very loud.</t>
  </si>
  <si>
    <t>14  ·  TRANSPORT</t>
  </si>
  <si>
    <t>Hours included, and the charge per extra hour</t>
  </si>
  <si>
    <t>Weddings always run over.</t>
  </si>
  <si>
    <t>Is fuel included, and is there a mileage limit?</t>
  </si>
  <si>
    <t>Mileage limits catch out-of-town venues.</t>
  </si>
  <si>
    <t>Driver's charge - included, and is a tip expected?</t>
  </si>
  <si>
    <t>Agree it so there is no awkwardness on the night.</t>
  </si>
  <si>
    <t>Waiting time charge</t>
  </si>
  <si>
    <t>The car waits a long time at a wedding.</t>
  </si>
  <si>
    <t>Is the decoration included, and who decorates the bridal car?</t>
  </si>
  <si>
    <t>Often an extra, and often forgotten.</t>
  </si>
  <si>
    <t>For buses and vans - seating capacity and air conditioning</t>
  </si>
  <si>
    <t>Match it to your guest transport list.</t>
  </si>
  <si>
    <t>Can we see the actual vehicle, not a stock photograph?</t>
  </si>
  <si>
    <t>The car that arrives is not always the car advertised.</t>
  </si>
  <si>
    <t>Exact model and year of the vehicle</t>
  </si>
  <si>
    <t>Put it in the contract.</t>
  </si>
  <si>
    <t>Pickup points and times confirmed in writing</t>
  </si>
  <si>
    <t>Feeds 17 Transport &amp; Stay.</t>
  </si>
  <si>
    <t>Is the driver in uniform, and does he know the route?</t>
  </si>
  <si>
    <t>A lost driver on the wedding morning is a disaster.</t>
  </si>
  <si>
    <t>What happens if the vehicle breaks down - is there a backup?</t>
  </si>
  <si>
    <t>The one question people never ask.</t>
  </si>
  <si>
    <t>Is the vehicle insured for this use?</t>
  </si>
  <si>
    <t>Confirm it.</t>
  </si>
  <si>
    <t>15  ·  PRINTING / INVITATIONS</t>
  </si>
  <si>
    <t>Price per card and the minimum order quantity</t>
  </si>
  <si>
    <t>Unit price drops sharply with volume.</t>
  </si>
  <si>
    <t>Charge for a reprint or for extra cards ordered later</t>
  </si>
  <si>
    <t>You will need more than you think.</t>
  </si>
  <si>
    <t>Package price if they also do menus, table numbers, seating board and thank-you cards</t>
  </si>
  <si>
    <t>Bundling is usually much cheaper.</t>
  </si>
  <si>
    <t>Paper stock and printing method - digital, offset, foil or letterpress</t>
  </si>
  <si>
    <t>Drives both look and price.</t>
  </si>
  <si>
    <t>Are envelopes, inserts and RSVP cards included?</t>
  </si>
  <si>
    <t>How many design revisions and proofs are included?</t>
  </si>
  <si>
    <t>Extra rounds get charged.</t>
  </si>
  <si>
    <t>Can they print in Sinhala or Tamil as well as English?</t>
  </si>
  <si>
    <t>Needed for many family lists.</t>
  </si>
  <si>
    <t>Turnaround time from final approval to delivery</t>
  </si>
  <si>
    <t>Work back from your invitation distribution date.</t>
  </si>
  <si>
    <t>Do they deliver, or must we collect?</t>
  </si>
  <si>
    <t>Matters for a large heavy order.</t>
  </si>
  <si>
    <t>Who pays if a spelling mistake is printed - and who signs off the proof?</t>
  </si>
  <si>
    <t>Get the sign-off process agreed in writing.</t>
  </si>
  <si>
    <t>Payment schedule</t>
  </si>
  <si>
    <t>Never pay in full before seeing a physical proof.</t>
  </si>
  <si>
    <t>16  ·  SOUND, AV &amp; LIGHTING</t>
  </si>
  <si>
    <t>What exactly is in the package - speakers, mixer, mics, uplighting, screen?</t>
  </si>
  <si>
    <t>AV quotes are the hardest to compare like for like.</t>
  </si>
  <si>
    <t>LED screen or projector - size and cost</t>
  </si>
  <si>
    <t>Only worth it if you have content to show.</t>
  </si>
  <si>
    <t>How many wireless microphones, and are there spares?</t>
  </si>
  <si>
    <t>You need mics for the officiant, MC and speeches at once.</t>
  </si>
  <si>
    <t>Will they mic the Poruwa officiant and the Jayamangala Gatha singers?</t>
  </si>
  <si>
    <t>The ceremony is the part guests strain to hear.</t>
  </si>
  <si>
    <t>Is a technician included for the whole evening?</t>
  </si>
  <si>
    <t>Equipment without an operator is a liability.</t>
  </si>
  <si>
    <t>Uplighting - how many fixtures, and can we choose the colour?</t>
  </si>
  <si>
    <t>Match it to your palette.</t>
  </si>
  <si>
    <t>Setup and sound-check time needed</t>
  </si>
  <si>
    <t>Sound check must happen before guests arrive.</t>
  </si>
  <si>
    <t>Power requirement - does the venue generator cover it?</t>
  </si>
  <si>
    <t>Check with the venue, not just the supplier.</t>
  </si>
  <si>
    <t>Have they worked at this venue before?</t>
  </si>
  <si>
    <t>Room acoustics vary hugely.</t>
  </si>
  <si>
    <t>Is cabling covered and taped down safely?</t>
  </si>
  <si>
    <t>A trip hazard in a saree is a serious risk.</t>
  </si>
  <si>
    <t>Is there backup equipment on site?</t>
  </si>
  <si>
    <t>Ask what happens if the mixer dies.</t>
  </si>
  <si>
    <t>FAMILY &amp; COUPLE CONTRIBUTIONS</t>
  </si>
  <si>
    <t>Who has agreed to fund what, and how much has actually arrived. Nothing is assumed - fill this in to match your own family arrangement.</t>
  </si>
  <si>
    <t>Contributor</t>
  </si>
  <si>
    <t>Relationship</t>
  </si>
  <si>
    <t>Purpose / category</t>
  </si>
  <si>
    <t>Agreed on</t>
  </si>
  <si>
    <t>Agreed amount</t>
  </si>
  <si>
    <t>Received to date</t>
  </si>
  <si>
    <t>Still to come</t>
  </si>
  <si>
    <t>Last received on</t>
  </si>
  <si>
    <t>C01</t>
  </si>
  <si>
    <t>Groom's family</t>
  </si>
  <si>
    <t>Groom's parents</t>
  </si>
  <si>
    <t>General wedding fund</t>
  </si>
  <si>
    <t>C02</t>
  </si>
  <si>
    <t>Bride's family</t>
  </si>
  <si>
    <t>Bride's parents</t>
  </si>
  <si>
    <t>C03</t>
  </si>
  <si>
    <t>Couple - joint savings</t>
  </si>
  <si>
    <t>Bride &amp; Groom</t>
  </si>
  <si>
    <t>C04</t>
  </si>
  <si>
    <t>Jewellery &amp; rings</t>
  </si>
  <si>
    <t>C05</t>
  </si>
  <si>
    <t>Other</t>
  </si>
  <si>
    <t>MASTER TASK LIST</t>
  </si>
  <si>
    <t>Due dates are formulas counted back from the wedding date - change the date on 01 START HERE and the whole plan re-dates itself. Sort or filter by Flag to see what is overdue.</t>
  </si>
  <si>
    <t>TASK SUMMARY</t>
  </si>
  <si>
    <t>FINAL COUNTDOWN CHECKLIST</t>
  </si>
  <si>
    <t>The last month, day by day, then the day after. Dates recalculate from the wedding date. There is no homecoming, so nothing here refers to one.</t>
  </si>
  <si>
    <t>Window</t>
  </si>
  <si>
    <t>Date</t>
  </si>
  <si>
    <t>Check</t>
  </si>
  <si>
    <t>Owner</t>
  </si>
  <si>
    <t>Done?</t>
  </si>
  <si>
    <t>30 days before</t>
  </si>
  <si>
    <t>Task</t>
  </si>
  <si>
    <t>Backup</t>
  </si>
  <si>
    <t>Priority</t>
  </si>
  <si>
    <t>Start date</t>
  </si>
  <si>
    <t>Days left</t>
  </si>
  <si>
    <t>Flag</t>
  </si>
  <si>
    <t>Depends on</t>
  </si>
  <si>
    <t>Cost</t>
  </si>
  <si>
    <t>Payment needed?</t>
  </si>
  <si>
    <t>Completed on</t>
  </si>
  <si>
    <t>T001</t>
  </si>
  <si>
    <t>Agree the total wedding budget and who contributes what</t>
  </si>
  <si>
    <t>Close the guest list - no more additions after today</t>
  </si>
  <si>
    <t>Critical</t>
  </si>
  <si>
    <t>No</t>
  </si>
  <si>
    <t>Give the venue a provisional headcount</t>
  </si>
  <si>
    <t>Confirm every vendor balance and the date each is due</t>
  </si>
  <si>
    <t>Confirm the registrar's attendance in writing</t>
  </si>
  <si>
    <t>Start the seating plan</t>
  </si>
  <si>
    <t>Confirm the Poruwa design and dimensions with the decorator</t>
  </si>
  <si>
    <t>T002</t>
  </si>
  <si>
    <t>Open a dedicated wedding savings account</t>
  </si>
  <si>
    <t>21 days before</t>
  </si>
  <si>
    <t>High</t>
  </si>
  <si>
    <t>Build the wedding-day timeline and circulate it to the family</t>
  </si>
  <si>
    <t>Confirm arrival, setup and finish times with every vendor</t>
  </si>
  <si>
    <t>T003</t>
  </si>
  <si>
    <t>Shortlist and visit 3-4 hotels / banquet halls</t>
  </si>
  <si>
    <t>Confirm vegetarian, child and special meal numbers</t>
  </si>
  <si>
    <t>Final bridal fitting - stop all alterations after this</t>
  </si>
  <si>
    <t>Bride</t>
  </si>
  <si>
    <t>T004</t>
  </si>
  <si>
    <t>Final groom's fitting</t>
  </si>
  <si>
    <t>Confirm the auspicious time (nekath) with the astrologer</t>
  </si>
  <si>
    <t>Confirm the fresh flower order</t>
  </si>
  <si>
    <t>14 days before</t>
  </si>
  <si>
    <t>T005</t>
  </si>
  <si>
    <t>Block the date and pay the venue booking deposit</t>
  </si>
  <si>
    <t>Chase every outstanding RSVP by phone</t>
  </si>
  <si>
    <t>Finalise the seating plan and print the seating board</t>
  </si>
  <si>
    <t>T006</t>
  </si>
  <si>
    <t>Print table numbers and place cards</t>
  </si>
  <si>
    <t>Agree the guest ceiling with both families</t>
  </si>
  <si>
    <t>Print the wedding-day contact sheet and timeline</t>
  </si>
  <si>
    <t>Confirm the bridal car, family cars and guest buses</t>
  </si>
  <si>
    <t>T007</t>
  </si>
  <si>
    <t>Sign the venue contract and read the cancellation clause</t>
  </si>
  <si>
    <t>Bride's final facial</t>
  </si>
  <si>
    <t>Confirm the cake design, weight and delivery time</t>
  </si>
  <si>
    <t>7 days before</t>
  </si>
  <si>
    <t>T008</t>
  </si>
  <si>
    <t>Shortlist photographers and review full wedding albums</t>
  </si>
  <si>
    <t>Give the venue the final headcount</t>
  </si>
  <si>
    <t>Collect NICs, birth certificates and registration papers in one folder</t>
  </si>
  <si>
    <t>Groom's haircut</t>
  </si>
  <si>
    <t>T009</t>
  </si>
  <si>
    <t>Shortlist videographers and watch full highlight films</t>
  </si>
  <si>
    <t>Confirm the MC's running order and name pronunciations</t>
  </si>
  <si>
    <t>Give the DJ the must-play and do-not-play list</t>
  </si>
  <si>
    <t>Buy the Poruwa items and check nothing is missing</t>
  </si>
  <si>
    <t>T010</t>
  </si>
  <si>
    <t>Book the photographer and pay the deposit</t>
  </si>
  <si>
    <t>Check the weather forecast and confirm the wet-weather plan</t>
  </si>
  <si>
    <t>3 days before</t>
  </si>
  <si>
    <t>Confirm pick-up times with every driver</t>
  </si>
  <si>
    <t>Draw the cash needed for tips and day-of payments</t>
  </si>
  <si>
    <t>T011</t>
  </si>
  <si>
    <t>Book the videographer and pay the deposit</t>
  </si>
  <si>
    <t>Bride's nails</t>
  </si>
  <si>
    <t>Brief the bridal party on where to be and when</t>
  </si>
  <si>
    <t>T012</t>
  </si>
  <si>
    <t>Book the bridal saree designer / osari maker</t>
  </si>
  <si>
    <t>Confirm the photographer's and videographer's arrival times</t>
  </si>
  <si>
    <t>2 days before</t>
  </si>
  <si>
    <t>Pack everything on 23 Procurement &amp; Packing</t>
  </si>
  <si>
    <t>T013</t>
  </si>
  <si>
    <t>Book the bridal dresser (hair &amp; makeup) for the day</t>
  </si>
  <si>
    <t>Lay out the saree, suit, shoes and accessories</t>
  </si>
  <si>
    <t>Check the emergency kit is complete</t>
  </si>
  <si>
    <t>Confirm the bridal suite check-in time</t>
  </si>
  <si>
    <t>T014</t>
  </si>
  <si>
    <t>Rest - no late nights from here</t>
  </si>
  <si>
    <t>Decide the ceremony format - Poruwa, registration, blessing</t>
  </si>
  <si>
    <t>1 day before</t>
  </si>
  <si>
    <t>Collect the jewellery from the vault or jeweller</t>
  </si>
  <si>
    <t>Charge every phone, camera and power bank</t>
  </si>
  <si>
    <t>T015</t>
  </si>
  <si>
    <t>Book the Ashtaka chanter / Poruwa officiant</t>
  </si>
  <si>
    <t>Load the cars - jewellery, documents, emergency kit, gifts, favours</t>
  </si>
  <si>
    <t>Final call to the venue banquet manager</t>
  </si>
  <si>
    <t>Hand the timeline and contact sheet to the coordinator</t>
  </si>
  <si>
    <t>Confirm the dresser's arrival time at the bridal suite</t>
  </si>
  <si>
    <t>T016</t>
  </si>
  <si>
    <t>Book the Kandyan dancers and Hewisi drummers</t>
  </si>
  <si>
    <t>Eat properly and sleep early</t>
  </si>
  <si>
    <t>WEDDING DAY</t>
  </si>
  <si>
    <t>Eat breakfast - both of you</t>
  </si>
  <si>
    <t>T017</t>
  </si>
  <si>
    <t>Bride's dressing starts on time (see 20 Day Timeline)</t>
  </si>
  <si>
    <t>Shortlist decorators and review Poruwa portfolios</t>
  </si>
  <si>
    <t>Hand the ring box to the best man / maid of honour</t>
  </si>
  <si>
    <t>Hand the registration folder to the coordinator</t>
  </si>
  <si>
    <t>T018</t>
  </si>
  <si>
    <t>Confirm the decorator and agree the Poruwa design</t>
  </si>
  <si>
    <t>Coordinator checks each vendor in on arrival</t>
  </si>
  <si>
    <t>Check the Poruwa, stage and cake table before guests arrive</t>
  </si>
  <si>
    <t>T019</t>
  </si>
  <si>
    <t>Assign one person to guard the gift table all evening</t>
  </si>
  <si>
    <t>Build the full guest list with both families</t>
  </si>
  <si>
    <t>Assign one person to collect the jewellery at the end of the night</t>
  </si>
  <si>
    <t>Pay any day-of balances and tips</t>
  </si>
  <si>
    <t>T020</t>
  </si>
  <si>
    <t>Book the groom's suit / national dress tailor</t>
  </si>
  <si>
    <t>Day after</t>
  </si>
  <si>
    <t>Collect all personal belongings from the venue and suite</t>
  </si>
  <si>
    <t>T021</t>
  </si>
  <si>
    <t>Count and log the gifts received</t>
  </si>
  <si>
    <t>Decide bought vs rented for the bridal jewellery set</t>
  </si>
  <si>
    <t>Settle any remaining vendor balances</t>
  </si>
  <si>
    <t>Return rented jewellery and reclaim the deposit</t>
  </si>
  <si>
    <t>T022</t>
  </si>
  <si>
    <t>VERIFY registration requirements with the Registrar</t>
  </si>
  <si>
    <t>Return rented decor, AV and hired items</t>
  </si>
  <si>
    <t>Check out of the hotel and reclaim any room deposit</t>
  </si>
  <si>
    <t>T023</t>
  </si>
  <si>
    <t>Thank the vendors and the family who helped</t>
  </si>
  <si>
    <t>Taste and select the wedding cake baker</t>
  </si>
  <si>
    <t>Medium</t>
  </si>
  <si>
    <t>T024</t>
  </si>
  <si>
    <t>Book the MC and the DJ / band</t>
  </si>
  <si>
    <t>T025</t>
  </si>
  <si>
    <t>Book the bridal car and family vehicles</t>
  </si>
  <si>
    <t>T026</t>
  </si>
  <si>
    <t>Block a room allocation for outstation guests</t>
  </si>
  <si>
    <t>T027</t>
  </si>
  <si>
    <t>Choose the invitation design and printer</t>
  </si>
  <si>
    <t>T028</t>
  </si>
  <si>
    <t>Plan and book the pre-shoot (location, date, outfits)</t>
  </si>
  <si>
    <t>T029</t>
  </si>
  <si>
    <t>First bridal saree fitting</t>
  </si>
  <si>
    <t>T030</t>
  </si>
  <si>
    <t>Start the bridal facial / skin treatment course</t>
  </si>
  <si>
    <t>T031</t>
  </si>
  <si>
    <t>Collect addresses and phone numbers for all guests</t>
  </si>
  <si>
    <t>GUEST MASTER</t>
  </si>
  <si>
    <t>T032</t>
  </si>
  <si>
    <t>Attend the menu tasting and finalise the buffet</t>
  </si>
  <si>
    <t>Your 84 guest groups have been carried across and structured. One row per household. The cash-gift columns feed the net-cost figure on 01 START HERE.</t>
  </si>
  <si>
    <t>T033</t>
  </si>
  <si>
    <t>Decide on alcohol - corkage vs hotel bar</t>
  </si>
  <si>
    <t>T034</t>
  </si>
  <si>
    <t>Proofread the invitation text (both families check names)</t>
  </si>
  <si>
    <t>T035</t>
  </si>
  <si>
    <t>Print the invitations</t>
  </si>
  <si>
    <t>T036</t>
  </si>
  <si>
    <t>Order or reserve the bridal jewellery set</t>
  </si>
  <si>
    <t>Household / guest name</t>
  </si>
  <si>
    <t>Side</t>
  </si>
  <si>
    <t>VIP?</t>
  </si>
  <si>
    <t>Adults invited</t>
  </si>
  <si>
    <t>Children invited</t>
  </si>
  <si>
    <t>Total invited</t>
  </si>
  <si>
    <t>T037</t>
  </si>
  <si>
    <t>Order the wedding rings and confirm sizing</t>
  </si>
  <si>
    <t>City</t>
  </si>
  <si>
    <t>District</t>
  </si>
  <si>
    <t>Country</t>
  </si>
  <si>
    <t>Invitation type</t>
  </si>
  <si>
    <t>Invitation sent?</t>
  </si>
  <si>
    <t>Sent on</t>
  </si>
  <si>
    <t>RSVP</t>
  </si>
  <si>
    <t>RSVP on</t>
  </si>
  <si>
    <t>Adults attending</t>
  </si>
  <si>
    <t>Children attending</t>
  </si>
  <si>
    <t>Total attending</t>
  </si>
  <si>
    <t>T038</t>
  </si>
  <si>
    <t>Dietary</t>
  </si>
  <si>
    <t>Needs room?</t>
  </si>
  <si>
    <t>Do the pre-shoot</t>
  </si>
  <si>
    <t>Needs transport?</t>
  </si>
  <si>
    <t>Transport type</t>
  </si>
  <si>
    <t>Table #</t>
  </si>
  <si>
    <t>Expected cash gift</t>
  </si>
  <si>
    <t>Cash gift received</t>
  </si>
  <si>
    <t>Gift description</t>
  </si>
  <si>
    <t>Thank-you sent?</t>
  </si>
  <si>
    <t>G001</t>
  </si>
  <si>
    <t>Family &amp; Relatives</t>
  </si>
  <si>
    <t>Nayana nanda</t>
  </si>
  <si>
    <t>Relatives</t>
  </si>
  <si>
    <t>T039</t>
  </si>
  <si>
    <t>Choose bridesmaids' and groomsmen's outfits</t>
  </si>
  <si>
    <t>T040</t>
  </si>
  <si>
    <t>Bridal hair and makeup trial</t>
  </si>
  <si>
    <t>T041</t>
  </si>
  <si>
    <t>Start distributing invitations (hand delivery first)</t>
  </si>
  <si>
    <t>Pending</t>
  </si>
  <si>
    <t>T042</t>
  </si>
  <si>
    <t>Log every invitation as sent in 09 Guests</t>
  </si>
  <si>
    <t>G002</t>
  </si>
  <si>
    <t>Anusha nanda</t>
  </si>
  <si>
    <t>T043</t>
  </si>
  <si>
    <t>Approve the final decor drawings and colour samples</t>
  </si>
  <si>
    <t>T044</t>
  </si>
  <si>
    <t>Submit the notice of marriage</t>
  </si>
  <si>
    <t>G003</t>
  </si>
  <si>
    <t>Rangini Nanda</t>
  </si>
  <si>
    <t>T045</t>
  </si>
  <si>
    <t>Confirm the registrar's attendance and fee</t>
  </si>
  <si>
    <t>G004</t>
  </si>
  <si>
    <t>Udeni akka</t>
  </si>
  <si>
    <t>T046</t>
  </si>
  <si>
    <t>Confirm two witnesses and check their NICs are valid</t>
  </si>
  <si>
    <t>G005</t>
  </si>
  <si>
    <t>sudda</t>
  </si>
  <si>
    <t>T047</t>
  </si>
  <si>
    <t>Arrange guest buses / vans from key pick-up points</t>
  </si>
  <si>
    <t>T048</t>
  </si>
  <si>
    <t>G006</t>
  </si>
  <si>
    <t>Draft the reception running order with the MC</t>
  </si>
  <si>
    <t>kasun</t>
  </si>
  <si>
    <t>T049</t>
  </si>
  <si>
    <t>G007</t>
  </si>
  <si>
    <t>chuti aunty</t>
  </si>
  <si>
    <t>T050</t>
  </si>
  <si>
    <t>Begin RSVP follow-up calls for anyone who has not replied</t>
  </si>
  <si>
    <t>G008</t>
  </si>
  <si>
    <t>namali aunty</t>
  </si>
  <si>
    <t>T051</t>
  </si>
  <si>
    <t>Second bridal saree fitting</t>
  </si>
  <si>
    <t>G009</t>
  </si>
  <si>
    <t>darshana uncle</t>
  </si>
  <si>
    <t>T052</t>
  </si>
  <si>
    <t>Order guest favours and family gifts</t>
  </si>
  <si>
    <t>G010</t>
  </si>
  <si>
    <t>kalu mama</t>
  </si>
  <si>
    <t>T053</t>
  </si>
  <si>
    <t>Agree the shot list with the photographer (18 Photo &amp; Video)</t>
  </si>
  <si>
    <t>T054</t>
  </si>
  <si>
    <t>Confirm the bridal suite and family rooms</t>
  </si>
  <si>
    <t>G011</t>
  </si>
  <si>
    <t>sigithi</t>
  </si>
  <si>
    <t>T055</t>
  </si>
  <si>
    <t>Book bridesmaids' hair and makeup</t>
  </si>
  <si>
    <t>G012</t>
  </si>
  <si>
    <t>jayantha mama(sarath)</t>
  </si>
  <si>
    <t>T056</t>
  </si>
  <si>
    <t>Confirm the cake design, tiers and delivery time</t>
  </si>
  <si>
    <t>T057</t>
  </si>
  <si>
    <t>Close the RSVP list and give the venue a provisional number</t>
  </si>
  <si>
    <t>G013</t>
  </si>
  <si>
    <t>jayantha mama(dibbadda)</t>
  </si>
  <si>
    <t>RSVP SUMMARY &amp; SEATING PLAN</t>
  </si>
  <si>
    <t>T058</t>
  </si>
  <si>
    <t>Draft the seating plan (10 RSVP &amp; Seating)</t>
  </si>
  <si>
    <t>Everything here reads from 09 Guests. Assign a table number in column AD of 09 Guests and the seat counts below fill in automatically.</t>
  </si>
  <si>
    <t>G014</t>
  </si>
  <si>
    <t>piyantha mama</t>
  </si>
  <si>
    <t>T059</t>
  </si>
  <si>
    <t>Confirm arrival and setup times with every vendor</t>
  </si>
  <si>
    <t>RSVP POSITION</t>
  </si>
  <si>
    <t>Guest groups invited</t>
  </si>
  <si>
    <t>T060</t>
  </si>
  <si>
    <t>Review 03 Budget line by line and settle any overspend</t>
  </si>
  <si>
    <t>People invited (pax)</t>
  </si>
  <si>
    <t>G015</t>
  </si>
  <si>
    <t>chaminda mama(dibbadda)</t>
  </si>
  <si>
    <t>T061</t>
  </si>
  <si>
    <t>Final bridal fitting - no more alterations after this</t>
  </si>
  <si>
    <t>Groups accepted</t>
  </si>
  <si>
    <t>People attending (confirmed)</t>
  </si>
  <si>
    <t>T062</t>
  </si>
  <si>
    <t>Groups declined</t>
  </si>
  <si>
    <t>G016</t>
  </si>
  <si>
    <t>T063</t>
  </si>
  <si>
    <t>siril uncle(dibbadda)</t>
  </si>
  <si>
    <t>Build the wedding-day timeline (20 Day Timeline)</t>
  </si>
  <si>
    <t>Groups pending / no response</t>
  </si>
  <si>
    <t>T064</t>
  </si>
  <si>
    <t>Give the venue the confirmed guest number</t>
  </si>
  <si>
    <t>RSVP response rate</t>
  </si>
  <si>
    <t>G017</t>
  </si>
  <si>
    <t>chandini nanda</t>
  </si>
  <si>
    <t>T065</t>
  </si>
  <si>
    <t>Confirm vegetarian, child and special meal counts</t>
  </si>
  <si>
    <t>Acceptance rate (of those who replied)</t>
  </si>
  <si>
    <t>T066</t>
  </si>
  <si>
    <t>Confirm the fresh flower order and colours</t>
  </si>
  <si>
    <t>G018</t>
  </si>
  <si>
    <t>gayani nanda</t>
  </si>
  <si>
    <t>T067</t>
  </si>
  <si>
    <t>Bride's side attending</t>
  </si>
  <si>
    <t>Print table numbers, place cards and the seating board</t>
  </si>
  <si>
    <t>Groom's side attending</t>
  </si>
  <si>
    <t>G019</t>
  </si>
  <si>
    <t>loku mama</t>
  </si>
  <si>
    <t>T068</t>
  </si>
  <si>
    <t>Print the wedding-day contact sheet (22 Contact Sheet)</t>
  </si>
  <si>
    <t>VIP guests attending</t>
  </si>
  <si>
    <t>Outstation guests needing a room</t>
  </si>
  <si>
    <t>T069</t>
  </si>
  <si>
    <t>Chase the last outstanding RSVPs by phone</t>
  </si>
  <si>
    <t>G020</t>
  </si>
  <si>
    <t>santha mama(migamu)</t>
  </si>
  <si>
    <t>Guests needing transport</t>
  </si>
  <si>
    <t>Vegetarian meals required</t>
  </si>
  <si>
    <t>T070</t>
  </si>
  <si>
    <t>Bride's final facial / skin treatment</t>
  </si>
  <si>
    <t>Special / allergy meals</t>
  </si>
  <si>
    <t>Child meals required</t>
  </si>
  <si>
    <t>G021</t>
  </si>
  <si>
    <t>wasantha mama</t>
  </si>
  <si>
    <t>T071</t>
  </si>
  <si>
    <t>ATTENDING BUT NOT YET SEATED</t>
  </si>
  <si>
    <t>Confirm every vendor's final balance and payment date</t>
  </si>
  <si>
    <t>T072</t>
  </si>
  <si>
    <t>Invitations sent but no reply</t>
  </si>
  <si>
    <t>Buy the Poruwa items - betel, coconut flower, thread, oil lamp</t>
  </si>
  <si>
    <t>G022</t>
  </si>
  <si>
    <t>dammi nanda</t>
  </si>
  <si>
    <t>T073</t>
  </si>
  <si>
    <t>Confirm the Jayamangala Gatha singers and rehearse the entrance</t>
  </si>
  <si>
    <t>G023</t>
  </si>
  <si>
    <t>akka &amp; aiya</t>
  </si>
  <si>
    <t>Immediate Family</t>
  </si>
  <si>
    <t>TABLE PLAN</t>
  </si>
  <si>
    <t>T074</t>
  </si>
  <si>
    <t>Confirm transport pick-up times with every driver</t>
  </si>
  <si>
    <t>G024</t>
  </si>
  <si>
    <t>T075</t>
  </si>
  <si>
    <t>our family</t>
  </si>
  <si>
    <t>Collect NICs / passports and birth certificates in one folder</t>
  </si>
  <si>
    <t>Table type</t>
  </si>
  <si>
    <t>Capacity</t>
  </si>
  <si>
    <t>Seated</t>
  </si>
  <si>
    <t>Free seats</t>
  </si>
  <si>
    <t>Bride side</t>
  </si>
  <si>
    <t>Groom side</t>
  </si>
  <si>
    <t>Warning</t>
  </si>
  <si>
    <t>Head Table</t>
  </si>
  <si>
    <t>T076</t>
  </si>
  <si>
    <t>Round</t>
  </si>
  <si>
    <t>G025</t>
  </si>
  <si>
    <t>nangi's family</t>
  </si>
  <si>
    <t>T077</t>
  </si>
  <si>
    <t>Bride's nails and final hair treatment</t>
  </si>
  <si>
    <t>G026</t>
  </si>
  <si>
    <t>T078</t>
  </si>
  <si>
    <t>dompe</t>
  </si>
  <si>
    <t>T079</t>
  </si>
  <si>
    <t>Give the venue the final headcount and seating chart</t>
  </si>
  <si>
    <t>G027</t>
  </si>
  <si>
    <t>Family Table 1</t>
  </si>
  <si>
    <t>mourin mama</t>
  </si>
  <si>
    <t>T080</t>
  </si>
  <si>
    <t>G028</t>
  </si>
  <si>
    <t>ravi uncle</t>
  </si>
  <si>
    <t>T081</t>
  </si>
  <si>
    <t>Family Table 2</t>
  </si>
  <si>
    <t>Brief the coordinator and the family on the timeline</t>
  </si>
  <si>
    <t>G029</t>
  </si>
  <si>
    <t>sujeewa aunty</t>
  </si>
  <si>
    <t>T082</t>
  </si>
  <si>
    <t>T083</t>
  </si>
  <si>
    <t>Load the cars - jewellery, documents, emergency kit, gifts</t>
  </si>
  <si>
    <t>G030</t>
  </si>
  <si>
    <t>sujeewa aunty's eha gedara</t>
  </si>
  <si>
    <t>VIP Table</t>
  </si>
  <si>
    <t>T084</t>
  </si>
  <si>
    <t>Collect the jewellery from the vault / jeweller</t>
  </si>
  <si>
    <t>Waiting</t>
  </si>
  <si>
    <t>G031</t>
  </si>
  <si>
    <t>dayani nanda</t>
  </si>
  <si>
    <t>T085</t>
  </si>
  <si>
    <t>Bridal Party</t>
  </si>
  <si>
    <t>T086</t>
  </si>
  <si>
    <t>Settle all final vendor balances</t>
  </si>
  <si>
    <t>G032</t>
  </si>
  <si>
    <t>sunil mama</t>
  </si>
  <si>
    <t>T087</t>
  </si>
  <si>
    <t>G033</t>
  </si>
  <si>
    <t>aloke api</t>
  </si>
  <si>
    <t>T088</t>
  </si>
  <si>
    <t>Table 1</t>
  </si>
  <si>
    <t>G034</t>
  </si>
  <si>
    <t>old navy</t>
  </si>
  <si>
    <t>T089</t>
  </si>
  <si>
    <t>Record every gift received in 09 Guests</t>
  </si>
  <si>
    <t>T090</t>
  </si>
  <si>
    <t>G035</t>
  </si>
  <si>
    <t>Dry-clean and store the saree and suit</t>
  </si>
  <si>
    <t>galle (sarath mamage kattiya)</t>
  </si>
  <si>
    <t>Table 2</t>
  </si>
  <si>
    <t>T091</t>
  </si>
  <si>
    <t>Follow up on the photo album and video delivery</t>
  </si>
  <si>
    <t>G036</t>
  </si>
  <si>
    <t>asanka aiyage thaththa</t>
  </si>
  <si>
    <t>T092</t>
  </si>
  <si>
    <t>Send thank-you cards</t>
  </si>
  <si>
    <t>G037</t>
  </si>
  <si>
    <t>ranga aiya</t>
  </si>
  <si>
    <t>Table 3</t>
  </si>
  <si>
    <t>T093</t>
  </si>
  <si>
    <t>Reconcile the final wedding cost (25 Post-Wedding)</t>
  </si>
  <si>
    <t>G038</t>
  </si>
  <si>
    <t>prasad aiya</t>
  </si>
  <si>
    <t>G039</t>
  </si>
  <si>
    <t>anil uncle</t>
  </si>
  <si>
    <t>Table 4</t>
  </si>
  <si>
    <t>G040</t>
  </si>
  <si>
    <t>missing guest</t>
  </si>
  <si>
    <t>Table 5</t>
  </si>
  <si>
    <t>G041</t>
  </si>
  <si>
    <t>Friends</t>
  </si>
  <si>
    <t>pasiya</t>
  </si>
  <si>
    <t>Friends / Work</t>
  </si>
  <si>
    <t>G042</t>
  </si>
  <si>
    <t>heshi</t>
  </si>
  <si>
    <t>Table 6</t>
  </si>
  <si>
    <t>G043</t>
  </si>
  <si>
    <t>juki</t>
  </si>
  <si>
    <t>G044</t>
  </si>
  <si>
    <t>sisi</t>
  </si>
  <si>
    <t>Table 7</t>
  </si>
  <si>
    <t>G045</t>
  </si>
  <si>
    <t>malinga</t>
  </si>
  <si>
    <t>Table 8</t>
  </si>
  <si>
    <t>G046</t>
  </si>
  <si>
    <t>janani</t>
  </si>
  <si>
    <t>G047</t>
  </si>
  <si>
    <t>ashan</t>
  </si>
  <si>
    <t>Table 9</t>
  </si>
  <si>
    <t>G048</t>
  </si>
  <si>
    <t>hashan</t>
  </si>
  <si>
    <t>Table 10</t>
  </si>
  <si>
    <t>G049</t>
  </si>
  <si>
    <t>chamodh</t>
  </si>
  <si>
    <t>G050</t>
  </si>
  <si>
    <t>dushan</t>
  </si>
  <si>
    <t>Table 11</t>
  </si>
  <si>
    <t>G051</t>
  </si>
  <si>
    <t>ali buldo</t>
  </si>
  <si>
    <t>G052</t>
  </si>
  <si>
    <t>ridma</t>
  </si>
  <si>
    <t>Table 12</t>
  </si>
  <si>
    <t>G053</t>
  </si>
  <si>
    <t>tharindu</t>
  </si>
  <si>
    <t>G054</t>
  </si>
  <si>
    <t>samindya</t>
  </si>
  <si>
    <t>Table 13</t>
  </si>
  <si>
    <t>G055</t>
  </si>
  <si>
    <t>Madushi</t>
  </si>
  <si>
    <t>G056</t>
  </si>
  <si>
    <t>Friends - SCL</t>
  </si>
  <si>
    <t>malith</t>
  </si>
  <si>
    <t>Table 14</t>
  </si>
  <si>
    <t>G057</t>
  </si>
  <si>
    <t>kaveesha</t>
  </si>
  <si>
    <t>G058</t>
  </si>
  <si>
    <t>supun</t>
  </si>
  <si>
    <t>G059</t>
  </si>
  <si>
    <t>Table 15</t>
  </si>
  <si>
    <t>santha</t>
  </si>
  <si>
    <t>G060</t>
  </si>
  <si>
    <t>Friends - Ceyentra</t>
  </si>
  <si>
    <t>dineth</t>
  </si>
  <si>
    <t>Table 16</t>
  </si>
  <si>
    <t>G061</t>
  </si>
  <si>
    <t>manesh</t>
  </si>
  <si>
    <t>G062</t>
  </si>
  <si>
    <t>lakshan</t>
  </si>
  <si>
    <t>G063</t>
  </si>
  <si>
    <t>Table 17</t>
  </si>
  <si>
    <t>heshan</t>
  </si>
  <si>
    <t>G064</t>
  </si>
  <si>
    <t>nimaya akka</t>
  </si>
  <si>
    <t>G065</t>
  </si>
  <si>
    <t>Table 18</t>
  </si>
  <si>
    <t>lakshmi akka</t>
  </si>
  <si>
    <t>G066</t>
  </si>
  <si>
    <t>alistor</t>
  </si>
  <si>
    <t>G067</t>
  </si>
  <si>
    <t>kavinda</t>
  </si>
  <si>
    <t>Table 19</t>
  </si>
  <si>
    <t>G068</t>
  </si>
  <si>
    <t>bole</t>
  </si>
  <si>
    <t>G069</t>
  </si>
  <si>
    <t>binu</t>
  </si>
  <si>
    <t>Table 20</t>
  </si>
  <si>
    <t>G070</t>
  </si>
  <si>
    <t>Friends - IFS</t>
  </si>
  <si>
    <t>lahiru</t>
  </si>
  <si>
    <t>G071</t>
  </si>
  <si>
    <t>amandi</t>
  </si>
  <si>
    <t>Table 21</t>
  </si>
  <si>
    <t>G072</t>
  </si>
  <si>
    <t>gayan</t>
  </si>
  <si>
    <t>G073</t>
  </si>
  <si>
    <t>dileesha</t>
  </si>
  <si>
    <t>Table 22</t>
  </si>
  <si>
    <t>G074</t>
  </si>
  <si>
    <t>costa</t>
  </si>
  <si>
    <t>G075</t>
  </si>
  <si>
    <t>ishani</t>
  </si>
  <si>
    <t>Table 23</t>
  </si>
  <si>
    <t>G076</t>
  </si>
  <si>
    <t>keshia</t>
  </si>
  <si>
    <t>G077</t>
  </si>
  <si>
    <t>madhawa</t>
  </si>
  <si>
    <t>Table 24</t>
  </si>
  <si>
    <t>G078</t>
  </si>
  <si>
    <t>maheshika</t>
  </si>
  <si>
    <t>G079</t>
  </si>
  <si>
    <t>shashika</t>
  </si>
  <si>
    <t>Table 25</t>
  </si>
  <si>
    <t>G080</t>
  </si>
  <si>
    <t>yohan</t>
  </si>
  <si>
    <t>WEDDING PARTY &amp; KEY PEOPLE</t>
  </si>
  <si>
    <t>Everyone with a job on the day. 'Be at venue by' feeds nothing automatically - copy the times into 20 Day Timeline so there is one version of the truth.</t>
  </si>
  <si>
    <t>Role</t>
  </si>
  <si>
    <t>Name</t>
  </si>
  <si>
    <t>Outfit / what to wear</t>
  </si>
  <si>
    <t>Outfit ready?</t>
  </si>
  <si>
    <t>Accessories</t>
  </si>
  <si>
    <t>Responsibilities on the day</t>
  </si>
  <si>
    <t>Be at venue by</t>
  </si>
  <si>
    <t>Room needed?</t>
  </si>
  <si>
    <t>Gift given?</t>
  </si>
  <si>
    <t>Bride's father</t>
  </si>
  <si>
    <t>Bride's mother</t>
  </si>
  <si>
    <t>Groom's father</t>
  </si>
  <si>
    <t>Groom's mother</t>
  </si>
  <si>
    <t>Maid / Matron of Honour</t>
  </si>
  <si>
    <t>Best Man</t>
  </si>
  <si>
    <t>Bridesmaid 1</t>
  </si>
  <si>
    <t>Bridesmaid 2</t>
  </si>
  <si>
    <t>Bridesmaid 3</t>
  </si>
  <si>
    <t>Groomsman 1</t>
  </si>
  <si>
    <t>Groomsman 2</t>
  </si>
  <si>
    <t>Groomsman 3</t>
  </si>
  <si>
    <t>Flower girl</t>
  </si>
  <si>
    <t>Page boy</t>
  </si>
  <si>
    <t>Usher 1</t>
  </si>
  <si>
    <t>Usher 2</t>
  </si>
  <si>
    <t>Registration witness 1</t>
  </si>
  <si>
    <t>Registration witness 2</t>
  </si>
  <si>
    <t>Ring bearer</t>
  </si>
  <si>
    <t>Gift table attendant</t>
  </si>
  <si>
    <t>Jewellery custodian (end of night)</t>
  </si>
  <si>
    <t>Family representative - bride's side</t>
  </si>
  <si>
    <t>Family representative - groom's side</t>
  </si>
  <si>
    <t>Speech - speaker 1</t>
  </si>
  <si>
    <t>Speech - speaker 2</t>
  </si>
  <si>
    <t>ATTIRE &amp; JEWELLERY</t>
  </si>
  <si>
    <t>Two registers. The jewellery register is a security document - fill in who holds each item and when it must go back.</t>
  </si>
  <si>
    <t>ATTIRE REGISTER</t>
  </si>
  <si>
    <t>Who</t>
  </si>
  <si>
    <t>Item</t>
  </si>
  <si>
    <t>Required?</t>
  </si>
  <si>
    <t>Shop / designer</t>
  </si>
  <si>
    <t>Fitting 1</t>
  </si>
  <si>
    <t>Fitting 2</t>
  </si>
  <si>
    <t>Final fitting</t>
  </si>
  <si>
    <t>Alterations?</t>
  </si>
  <si>
    <t>Collect by</t>
  </si>
  <si>
    <t>Saree blouse</t>
  </si>
  <si>
    <t>Undergarments &amp; shapewear</t>
  </si>
  <si>
    <t>Saree pins, falls and petticoat</t>
  </si>
  <si>
    <t>Socks</t>
  </si>
  <si>
    <t>Cufflinks</t>
  </si>
  <si>
    <t>Outfit + shoes</t>
  </si>
  <si>
    <t>Saree</t>
  </si>
  <si>
    <t>Suit / national dress</t>
  </si>
  <si>
    <t>BEAUTY &amp; GROOMING SCHEDULE</t>
  </si>
  <si>
    <t>Dates count back from the wedding date. Nothing new on the face within 7 days of the wedding - keep the last week to touch-ups only.</t>
  </si>
  <si>
    <t>Treatment / appointment</t>
  </si>
  <si>
    <t>Provider</t>
  </si>
  <si>
    <t>Time</t>
  </si>
  <si>
    <t>Location</t>
  </si>
  <si>
    <t>Duration</t>
  </si>
  <si>
    <t>Paid?</t>
  </si>
  <si>
    <t>Skin consultation with a dermatologist / salon</t>
  </si>
  <si>
    <t>Facial course - session 1</t>
  </si>
  <si>
    <t>JEWELLERY REGISTER  -  security document</t>
  </si>
  <si>
    <t>Facial course - session 2</t>
  </si>
  <si>
    <t>Hair treatment / trim</t>
  </si>
  <si>
    <t>Description</t>
  </si>
  <si>
    <t>Owner / source</t>
  </si>
  <si>
    <t>Bought / rented</t>
  </si>
  <si>
    <t>Value (LKR)</t>
  </si>
  <si>
    <t>Makeup and hair trial (wear the trial for a full evening)</t>
  </si>
  <si>
    <t>Stored where</t>
  </si>
  <si>
    <t>Who is responsible</t>
  </si>
  <si>
    <t>Collect on</t>
  </si>
  <si>
    <t>Return by</t>
  </si>
  <si>
    <t>Returned?</t>
  </si>
  <si>
    <t>Deposit back?</t>
  </si>
  <si>
    <t>Facial course - session 3</t>
  </si>
  <si>
    <t>N/A</t>
  </si>
  <si>
    <t>Second makeup trial if the first was not right</t>
  </si>
  <si>
    <t>Facial course - session 4</t>
  </si>
  <si>
    <t>Nalalpata (forehead ornament)</t>
  </si>
  <si>
    <t>Hair colour / gloss</t>
  </si>
  <si>
    <t>Konda mal / hair jewellery</t>
  </si>
  <si>
    <t>Final facial - nothing new after this</t>
  </si>
  <si>
    <t>Waist chain (hawadiya)</t>
  </si>
  <si>
    <t>Threading / waxing</t>
  </si>
  <si>
    <t>Manicure and pedicure</t>
  </si>
  <si>
    <t>Bride's wedding ring</t>
  </si>
  <si>
    <t>WEDDING DAY - dresser arrives, hair &amp; makeup</t>
  </si>
  <si>
    <t>Groom's wedding ring</t>
  </si>
  <si>
    <t>Engagement ring</t>
  </si>
  <si>
    <t>Groom's chain</t>
  </si>
  <si>
    <t>Haircut - practice cut</t>
  </si>
  <si>
    <t>Bride's mother's jewellery</t>
  </si>
  <si>
    <t>Haircut - final</t>
  </si>
  <si>
    <t>Borrowed family heirloom</t>
  </si>
  <si>
    <t>Beard shape / clean shave</t>
  </si>
  <si>
    <t>WEDDING DAY - grooming and dressing</t>
  </si>
  <si>
    <t>Bridesmaids</t>
  </si>
  <si>
    <t>Hair &amp; makeup trial (optional, group booking)</t>
  </si>
  <si>
    <t>WEDDING DAY - hair &amp; makeup</t>
  </si>
  <si>
    <t>CEREMONY COMPONENTS &amp; LEGAL REGISTRATION</t>
  </si>
  <si>
    <t>Switch components on or off in the 'Applies?' column - nothing is assumed. Items marked VERIFY must be confirmed with your Registrar / Divisional Secretariat.</t>
  </si>
  <si>
    <t>CEREMONY RUNNING ORDER</t>
  </si>
  <si>
    <t>Order</t>
  </si>
  <si>
    <t>Component</t>
  </si>
  <si>
    <t>Who leads</t>
  </si>
  <si>
    <t>Items needed</t>
  </si>
  <si>
    <t>Duration (min)</t>
  </si>
  <si>
    <t>Guests seated, Hewisi drummers at the entrance</t>
  </si>
  <si>
    <t>Drums, seating ushers</t>
  </si>
  <si>
    <t>Kandyan dancers lead the groom's procession in</t>
  </si>
  <si>
    <t>Dance troupe, drummers</t>
  </si>
  <si>
    <t>Groom takes his place at the Poruwa</t>
  </si>
  <si>
    <t>Poruwa</t>
  </si>
  <si>
    <t>-</t>
  </si>
  <si>
    <t>Bride enters with her father / brother</t>
  </si>
  <si>
    <t>Bouquet, veil</t>
  </si>
  <si>
    <t>Couple step onto the Poruwa - right foot first</t>
  </si>
  <si>
    <t>Poruwa, white cloth</t>
  </si>
  <si>
    <t>Ashtaka chanting</t>
  </si>
  <si>
    <t>DECOR &amp; DESIGN CHECKLIST</t>
  </si>
  <si>
    <t>Ashtaka chanter</t>
  </si>
  <si>
    <t>Every physical item that has to appear in the room, who brings it, and when it goes up and comes down. Print this for the decorator on setup day.</t>
  </si>
  <si>
    <t>Betel leaves offered to the four corners</t>
  </si>
  <si>
    <t>Bulath thattuwa (betel tray)</t>
  </si>
  <si>
    <t>Exchange of rings</t>
  </si>
  <si>
    <t>Ring box, ring bearer</t>
  </si>
  <si>
    <t>Qty</t>
  </si>
  <si>
    <t>Supplier</t>
  </si>
  <si>
    <t>Setup by</t>
  </si>
  <si>
    <t>Remove after</t>
  </si>
  <si>
    <t>Responsible</t>
  </si>
  <si>
    <t>Bride's little finger tied to groom's with gold thread</t>
  </si>
  <si>
    <t>Checked on the day?</t>
  </si>
  <si>
    <t>Entrance</t>
  </si>
  <si>
    <t>Gold thread</t>
  </si>
  <si>
    <t>Welcome arch / entrance decoration</t>
  </si>
  <si>
    <t>Water poured over the tied hands</t>
  </si>
  <si>
    <t>Kalasa pot, water</t>
  </si>
  <si>
    <t>Welcome board with the couple's names</t>
  </si>
  <si>
    <t>Jayamangala Gatha sung</t>
  </si>
  <si>
    <t>Singers</t>
  </si>
  <si>
    <t>Directional signage from the car park</t>
  </si>
  <si>
    <t>Groom gifts the white cloth to the bride's mother</t>
  </si>
  <si>
    <t>White cloth</t>
  </si>
  <si>
    <t>Oil lamp (pahana) at the door</t>
  </si>
  <si>
    <t>Couple step off the Poruwa - coconut split</t>
  </si>
  <si>
    <t>Welcome area</t>
  </si>
  <si>
    <t>Coconut, knife, mat</t>
  </si>
  <si>
    <t>Guest book and pen table</t>
  </si>
  <si>
    <t>Milk rice (kiribath) and sweets fed to the couple</t>
  </si>
  <si>
    <t>Gift table (with a lockable box)</t>
  </si>
  <si>
    <t>Kiribath, sweets tray</t>
  </si>
  <si>
    <t>Oil lamp lit by both families</t>
  </si>
  <si>
    <t>Pahana, wicks, matches</t>
  </si>
  <si>
    <t>MARRIAGE REGISTRATION - signing the register</t>
  </si>
  <si>
    <t>Signing table</t>
  </si>
  <si>
    <t>Welcome drinks station decor</t>
  </si>
  <si>
    <t>Registrar, register, NICs, witnesses</t>
  </si>
  <si>
    <t>Witnesses sign</t>
  </si>
  <si>
    <t>Two witnesses + NICs</t>
  </si>
  <si>
    <t>PORUWA structure</t>
  </si>
  <si>
    <t>Blessings from elders / parents</t>
  </si>
  <si>
    <t>Poruwa floral decoration</t>
  </si>
  <si>
    <t>Family group photographs</t>
  </si>
  <si>
    <t>Photographer, list of groups</t>
  </si>
  <si>
    <t>White cloth for the Poruwa steps</t>
  </si>
  <si>
    <t>Church / temple service</t>
  </si>
  <si>
    <t>Off-site</t>
  </si>
  <si>
    <t>Officiant</t>
  </si>
  <si>
    <t>Kalasa pots</t>
  </si>
  <si>
    <t>Pirith chanting / religious blessing</t>
  </si>
  <si>
    <t>Monks / officiant</t>
  </si>
  <si>
    <t>Betel tray (bulath thattuwa)</t>
  </si>
  <si>
    <t>Readings or a poem</t>
  </si>
  <si>
    <t>Printed reading</t>
  </si>
  <si>
    <t>Coconut and cutting mat</t>
  </si>
  <si>
    <t>Traditional dance performance</t>
  </si>
  <si>
    <t>Dance troupe</t>
  </si>
  <si>
    <t>Kiribath and sweets tray</t>
  </si>
  <si>
    <t>Recessional - couple exit</t>
  </si>
  <si>
    <t>Aisle decor / petals</t>
  </si>
  <si>
    <t>Registration / signing table and chairs</t>
  </si>
  <si>
    <t>Stage backdrop</t>
  </si>
  <si>
    <t>Head table decoration</t>
  </si>
  <si>
    <t>MARRIAGE REGISTRATION CHECKLIST  -  VERIFY EVERY ITEM WITH YOUR REGISTRAR</t>
  </si>
  <si>
    <t>Couple's chairs</t>
  </si>
  <si>
    <t>Requirement</t>
  </si>
  <si>
    <t>Documents needed</t>
  </si>
  <si>
    <t>Where / office</t>
  </si>
  <si>
    <t>Target date</t>
  </si>
  <si>
    <t>Done on</t>
  </si>
  <si>
    <t>VERIFY?</t>
  </si>
  <si>
    <t>Confirm which registrar covers your venue's division</t>
  </si>
  <si>
    <t>Venue address</t>
  </si>
  <si>
    <t>Divisional Secretariat</t>
  </si>
  <si>
    <t>VERIFY</t>
  </si>
  <si>
    <t>Confirm the fee schedule for a registrar attending the venue</t>
  </si>
  <si>
    <t>Registrar</t>
  </si>
  <si>
    <t>Give notice of marriage</t>
  </si>
  <si>
    <t>NICs / passports, birth certificates</t>
  </si>
  <si>
    <t>Registrar's office</t>
  </si>
  <si>
    <t>Chair covers and sashes</t>
  </si>
  <si>
    <t>Pay the notice fee and keep the receipt</t>
  </si>
  <si>
    <t>Receipt</t>
  </si>
  <si>
    <t>Table linen and runners</t>
  </si>
  <si>
    <t>Confirm the waiting period before the marriage may be registered</t>
  </si>
  <si>
    <t>Cake &amp; gifts</t>
  </si>
  <si>
    <t>Cake table decoration</t>
  </si>
  <si>
    <t>Confirm the registrar's attendance at the venue in writing</t>
  </si>
  <si>
    <t>Written confirmation</t>
  </si>
  <si>
    <t>Cake stand</t>
  </si>
  <si>
    <t>Identify two witnesses aged 18+ with valid NICs</t>
  </si>
  <si>
    <t>Witness NICs</t>
  </si>
  <si>
    <t>Cake knife (ribboned)</t>
  </si>
  <si>
    <t>Check both NICs / passports are valid and names match the birth certificates</t>
  </si>
  <si>
    <t>NIC, passport, birth certificate</t>
  </si>
  <si>
    <t>Favour display</t>
  </si>
  <si>
    <t>Obtain certified English translations if any document is not in Sinhala/Tamil/English</t>
  </si>
  <si>
    <t>Original + translation</t>
  </si>
  <si>
    <t>Registrar / translator</t>
  </si>
  <si>
    <t>Lighting</t>
  </si>
  <si>
    <t>Stage uplighting</t>
  </si>
  <si>
    <t>If either party was previously married - obtain the divorce decree or death certificate</t>
  </si>
  <si>
    <t>Decree absolute / death certificate</t>
  </si>
  <si>
    <t>Courts</t>
  </si>
  <si>
    <t>Fairy lights / ceiling drape</t>
  </si>
  <si>
    <t>If either party is a foreign national - confirm the additional documents required</t>
  </si>
  <si>
    <t>Passport, certificate of no impediment</t>
  </si>
  <si>
    <t>Candles and lanterns</t>
  </si>
  <si>
    <t>Registrar / Embassy</t>
  </si>
  <si>
    <t>Confirm whether the General or Kandyan marriage law applies to you</t>
  </si>
  <si>
    <t>Spotlight on the Poruwa</t>
  </si>
  <si>
    <t>Confirm any religious registration requirement (Muslim / other)</t>
  </si>
  <si>
    <t>Extras</t>
  </si>
  <si>
    <t>Relevant registrar</t>
  </si>
  <si>
    <t>Assemble every document in ONE labelled folder</t>
  </si>
  <si>
    <t>Lounge seating</t>
  </si>
  <si>
    <t>All of the above</t>
  </si>
  <si>
    <t>Hand the folder to the coordinator on the morning</t>
  </si>
  <si>
    <t>Restroom flowers / basket</t>
  </si>
  <si>
    <t>Folder</t>
  </si>
  <si>
    <t>Apply for certified copies of the marriage certificate</t>
  </si>
  <si>
    <t>Registration reference</t>
  </si>
  <si>
    <t>Outdoor / garden lighting</t>
  </si>
  <si>
    <t>Update NIC, passport and bank records if changing name</t>
  </si>
  <si>
    <t>Marriage certificate</t>
  </si>
  <si>
    <t>Relevant offices</t>
  </si>
  <si>
    <t>Wet-weather cover (check the forecast)</t>
  </si>
  <si>
    <t>FOOD, BEVERAGE &amp; CAKE</t>
  </si>
  <si>
    <t>Headcounts pull from 09 Guests so the catering number is never out of date. Confirm the final number with the venue 3 days out.</t>
  </si>
  <si>
    <t>HEADCOUNT (live from 09 Guests)</t>
  </si>
  <si>
    <t>Adults confirmed</t>
  </si>
  <si>
    <t>Children confirmed</t>
  </si>
  <si>
    <t>TOTAL invited</t>
  </si>
  <si>
    <t>TOTAL confirmed</t>
  </si>
  <si>
    <t>Vegetarian meals</t>
  </si>
  <si>
    <t>Vegan meals</t>
  </si>
  <si>
    <t>Halal meals</t>
  </si>
  <si>
    <t>TRANSPORT &amp; ACCOMMODATION</t>
  </si>
  <si>
    <t>No pork / no beef</t>
  </si>
  <si>
    <t>Two registers: every vehicle movement on the day, and every room booked. Print the transport table for the drivers.</t>
  </si>
  <si>
    <t>Allergy meals - check notes</t>
  </si>
  <si>
    <t>Child meals</t>
  </si>
  <si>
    <t>TRANSPORT - WEDDING DAY MOVEMENTS</t>
  </si>
  <si>
    <t>Vendor &amp; crew meals (enter manually)</t>
  </si>
  <si>
    <t>CATER FOR (confirmed + crew + 5% buffer)</t>
  </si>
  <si>
    <t>Leg</t>
  </si>
  <si>
    <t>Vehicle / type</t>
  </si>
  <si>
    <t>Driver</t>
  </si>
  <si>
    <t>Driver phone</t>
  </si>
  <si>
    <t>Passengers</t>
  </si>
  <si>
    <t>Pick up from</t>
  </si>
  <si>
    <t>Pick up at</t>
  </si>
  <si>
    <t>Destination</t>
  </si>
  <si>
    <t>Arrive by</t>
  </si>
  <si>
    <t>WEDDING CAKE</t>
  </si>
  <si>
    <t>Return trip?</t>
  </si>
  <si>
    <t>MENU &amp; SERVICE</t>
  </si>
  <si>
    <t>Backup contact</t>
  </si>
  <si>
    <t>Baker / vendor</t>
  </si>
  <si>
    <t>Dresser to bridal suite</t>
  </si>
  <si>
    <t>Van</t>
  </si>
  <si>
    <t>Course / service</t>
  </si>
  <si>
    <t>Confirmed with caterer?</t>
  </si>
  <si>
    <t>Serve at</t>
  </si>
  <si>
    <t>Design / style</t>
  </si>
  <si>
    <t>Welcome</t>
  </si>
  <si>
    <t>Welcome drinks (non-alcoholic)</t>
  </si>
  <si>
    <t>Photographer to bridal suite</t>
  </si>
  <si>
    <t>Car</t>
  </si>
  <si>
    <t>Flavour</t>
  </si>
  <si>
    <t>Welcome drinks (alcoholic)</t>
  </si>
  <si>
    <t>Number of tiers</t>
  </si>
  <si>
    <t>Bride's family to venue</t>
  </si>
  <si>
    <t>Canapes / short eats passed around</t>
  </si>
  <si>
    <t>Total weight (kg)</t>
  </si>
  <si>
    <t>Kiribath and sweets for the Poruwa</t>
  </si>
  <si>
    <t>Groom's family to venue</t>
  </si>
  <si>
    <t>Number of slices needed</t>
  </si>
  <si>
    <t>Buffet</t>
  </si>
  <si>
    <t>Rice - white / yellow / basmati</t>
  </si>
  <si>
    <t>Groom to venue</t>
  </si>
  <si>
    <t>Boxed pieces for guests?</t>
  </si>
  <si>
    <t>Chicken curry</t>
  </si>
  <si>
    <t>Bride to venue (bridal car)</t>
  </si>
  <si>
    <t>Cake stand arranged?</t>
  </si>
  <si>
    <t>Decorated car</t>
  </si>
  <si>
    <t>Fish / seafood dish</t>
  </si>
  <si>
    <t>Cake knife arranged?</t>
  </si>
  <si>
    <t>Beef or mutton dish</t>
  </si>
  <si>
    <t>Bridal party to venue</t>
  </si>
  <si>
    <t>Vegetarian mains (at least 3)</t>
  </si>
  <si>
    <t>Guest bus - pick-up point 1</t>
  </si>
  <si>
    <t>Bus</t>
  </si>
  <si>
    <t>Delivery time to venue</t>
  </si>
  <si>
    <t>Dhal, mallum, papadam, chutney</t>
  </si>
  <si>
    <t>Setup complete by</t>
  </si>
  <si>
    <t>Guest bus - pick-up point 2</t>
  </si>
  <si>
    <t>Noodles / pasta / western option</t>
  </si>
  <si>
    <t>Cutting time</t>
  </si>
  <si>
    <t>Kandyan dancers &amp; drummers</t>
  </si>
  <si>
    <t>Salad bar</t>
  </si>
  <si>
    <t>Registrar to venue</t>
  </si>
  <si>
    <t>Live cooking station (hoppers / kottu)</t>
  </si>
  <si>
    <t>Bread and butter</t>
  </si>
  <si>
    <t>Cake delivery</t>
  </si>
  <si>
    <t>Dessert</t>
  </si>
  <si>
    <t>Watalappan</t>
  </si>
  <si>
    <t>Decor team &amp; equipment</t>
  </si>
  <si>
    <t>Lorry</t>
  </si>
  <si>
    <t>Curd and treacle</t>
  </si>
  <si>
    <t>Ice cream / western desserts</t>
  </si>
  <si>
    <t>Elderly relatives - door to door</t>
  </si>
  <si>
    <t>Fresh fruit</t>
  </si>
  <si>
    <t>Wedding cake pieces</t>
  </si>
  <si>
    <t>Guest bus - return</t>
  </si>
  <si>
    <t>Beverage</t>
  </si>
  <si>
    <t>Bottled water on every table</t>
  </si>
  <si>
    <t>Couple to bridal suite</t>
  </si>
  <si>
    <t>Fresh juice</t>
  </si>
  <si>
    <t>Jewellery back to safe custody</t>
  </si>
  <si>
    <t>Beer / arrack / spirits</t>
  </si>
  <si>
    <t>Wine</t>
  </si>
  <si>
    <t>Airport transfer - overseas guests</t>
  </si>
  <si>
    <t>Service</t>
  </si>
  <si>
    <t>Vendor and crew meals</t>
  </si>
  <si>
    <t>Head table served first</t>
  </si>
  <si>
    <t>Elderly / VIP tables served first</t>
  </si>
  <si>
    <t>Take-away boxes for the family</t>
  </si>
  <si>
    <t>Guest / party</t>
  </si>
  <si>
    <t>Hotel</t>
  </si>
  <si>
    <t>Room type</t>
  </si>
  <si>
    <t>Room #</t>
  </si>
  <si>
    <t>Check in</t>
  </si>
  <si>
    <t>Check out</t>
  </si>
  <si>
    <t>Nights</t>
  </si>
  <si>
    <t>Rate per night</t>
  </si>
  <si>
    <t>Total</t>
  </si>
  <si>
    <t>Booking reference</t>
  </si>
  <si>
    <t>Confirmed?</t>
  </si>
  <si>
    <t>Special requests</t>
  </si>
  <si>
    <t>Transport needed?</t>
  </si>
  <si>
    <t>Bride &amp; Groom - bridal suite</t>
  </si>
  <si>
    <t>Suite</t>
  </si>
  <si>
    <t>Bride - getting ready</t>
  </si>
  <si>
    <t>Deluxe</t>
  </si>
  <si>
    <t>Groom - getting ready</t>
  </si>
  <si>
    <t>Double</t>
  </si>
  <si>
    <t>Bride's siblings</t>
  </si>
  <si>
    <t>Groom's siblings</t>
  </si>
  <si>
    <t>Outstation family 1</t>
  </si>
  <si>
    <t>Outstation family 2</t>
  </si>
  <si>
    <t>Outstation family 3</t>
  </si>
  <si>
    <t>VIP guest</t>
  </si>
  <si>
    <t>Bridal dresser (if staying)</t>
  </si>
  <si>
    <t>Single</t>
  </si>
  <si>
    <t>PHOTOGRAPHY &amp; VIDEOGRAPHY SHOT LIST</t>
  </si>
  <si>
    <t>Print this and give a copy to the photographer, the videographer and one family member on each side who can round people up. Tick 'Got it' on the night.</t>
  </si>
  <si>
    <t>Section</t>
  </si>
  <si>
    <t>Shot</t>
  </si>
  <si>
    <t>People needed</t>
  </si>
  <si>
    <t>Planned time</t>
  </si>
  <si>
    <t>Assigned to</t>
  </si>
  <si>
    <t>Got it?</t>
  </si>
  <si>
    <t>Preparation</t>
  </si>
  <si>
    <t>Bride's dress / saree hanging</t>
  </si>
  <si>
    <t>Must</t>
  </si>
  <si>
    <t>Bridal suite</t>
  </si>
  <si>
    <t>Jewellery, rings and shoes flat-lay</t>
  </si>
  <si>
    <t>Invitation card detail shot</t>
  </si>
  <si>
    <t>Nice</t>
  </si>
  <si>
    <t>Bride having hair &amp; makeup done</t>
  </si>
  <si>
    <t>Bride's mother helping with the saree</t>
  </si>
  <si>
    <t>Bride + mother</t>
  </si>
  <si>
    <t>Bride's father seeing her for the first time</t>
  </si>
  <si>
    <t>Bride + father</t>
  </si>
  <si>
    <t>Bride with bridesmaids</t>
  </si>
  <si>
    <t>Bride + bridesmaids</t>
  </si>
  <si>
    <t>Bride alone - full length portrait</t>
  </si>
  <si>
    <t>Groom getting ready / tying the tie</t>
  </si>
  <si>
    <t>Groom's room</t>
  </si>
  <si>
    <t>Groom with his father</t>
  </si>
  <si>
    <t>Groom + father</t>
  </si>
  <si>
    <t>Groom with his mother</t>
  </si>
  <si>
    <t>Groom + mother</t>
  </si>
  <si>
    <t>Groom with groomsmen</t>
  </si>
  <si>
    <t>Groom + groomsmen</t>
  </si>
  <si>
    <t>Arrival</t>
  </si>
  <si>
    <t>Kandyan dancers and drummers at the entrance</t>
  </si>
  <si>
    <t>Troupe</t>
  </si>
  <si>
    <t>Groom's procession in</t>
  </si>
  <si>
    <t>Bride entering with her father</t>
  </si>
  <si>
    <t>Couple stepping onto the Poruwa</t>
  </si>
  <si>
    <t>Ashtaka chanting - wide shot</t>
  </si>
  <si>
    <t>Betel offering</t>
  </si>
  <si>
    <t>Ring exchange - close up on the hands</t>
  </si>
  <si>
    <t>Thread tying - close up</t>
  </si>
  <si>
    <t>Water pouring over the tied hands</t>
  </si>
  <si>
    <t>White cloth given to the bride's mother</t>
  </si>
  <si>
    <t>Coconut splitting</t>
  </si>
  <si>
    <t>Kiribath being fed to the couple</t>
  </si>
  <si>
    <t>Oil lamp lighting</t>
  </si>
  <si>
    <t>Both families</t>
  </si>
  <si>
    <t>Signing the marriage register</t>
  </si>
  <si>
    <t>Couple + registrar</t>
  </si>
  <si>
    <t>Witnesses signing</t>
  </si>
  <si>
    <t>Witnesses</t>
  </si>
  <si>
    <t>Parents' faces during the ceremony</t>
  </si>
  <si>
    <t>Parents</t>
  </si>
  <si>
    <t>Family</t>
  </si>
  <si>
    <t>Couple with bride's parents</t>
  </si>
  <si>
    <t>Couple + parents</t>
  </si>
  <si>
    <t>Stage</t>
  </si>
  <si>
    <t>Couple with groom's parents</t>
  </si>
  <si>
    <t>Couple with both sets of parents</t>
  </si>
  <si>
    <t>Couple with bride's siblings</t>
  </si>
  <si>
    <t>Couple + siblings</t>
  </si>
  <si>
    <t>Couple with groom's siblings</t>
  </si>
  <si>
    <t>Couple with grandparents</t>
  </si>
  <si>
    <t>RESPONSIBILITY MATRIX (RACI)</t>
  </si>
  <si>
    <t>Couple + grandparents</t>
  </si>
  <si>
    <t>R = does the work.  A = accountable if it goes wrong.  C = consulted.  I = kept informed. Fill in real names in the 'Person' column so nobody assumes someone else has it.</t>
  </si>
  <si>
    <t>Bride's extended family</t>
  </si>
  <si>
    <t>Groom's extended family</t>
  </si>
  <si>
    <t>Full wedding party</t>
  </si>
  <si>
    <t>Activity</t>
  </si>
  <si>
    <t>Responsible (does it)</t>
  </si>
  <si>
    <t>Wedding party</t>
  </si>
  <si>
    <t>Accountable (owns it)</t>
  </si>
  <si>
    <t>Consulted</t>
  </si>
  <si>
    <t>Informed</t>
  </si>
  <si>
    <t>Person (name)</t>
  </si>
  <si>
    <t>Deadline</t>
  </si>
  <si>
    <t>Bride with her bridesmaids</t>
  </si>
  <si>
    <t>Money</t>
  </si>
  <si>
    <t>Approving any spend above the budget line</t>
  </si>
  <si>
    <t>Groom with his groomsmen</t>
  </si>
  <si>
    <t>Paying vendor deposits and balances</t>
  </si>
  <si>
    <t>VIP / special guests</t>
  </si>
  <si>
    <t>VIPs</t>
  </si>
  <si>
    <t>Couple portraits - golden hour outdoors</t>
  </si>
  <si>
    <t>Carrying day-of cash and paying tips</t>
  </si>
  <si>
    <t>Garden</t>
  </si>
  <si>
    <t>Couple portraits - indoor / stage</t>
  </si>
  <si>
    <t>Guarding the gift table and cash gifts</t>
  </si>
  <si>
    <t>Detail shot of the rings on hands</t>
  </si>
  <si>
    <t>Anywhere</t>
  </si>
  <si>
    <t>Guests</t>
  </si>
  <si>
    <t>Owning the guest list and RSVPs</t>
  </si>
  <si>
    <t>Candid laughing / quiet moment</t>
  </si>
  <si>
    <t>Welcoming and seating guests</t>
  </si>
  <si>
    <t>Room and decor before guests enter</t>
  </si>
  <si>
    <t>Ushers</t>
  </si>
  <si>
    <t>Poruwa and stage empty (wide)</t>
  </si>
  <si>
    <t>Looking after elderly relatives</t>
  </si>
  <si>
    <t>Family reps</t>
  </si>
  <si>
    <t>Cake table and cake detail</t>
  </si>
  <si>
    <t>Looking after overseas / outstation guests</t>
  </si>
  <si>
    <t>Couple's grand entrance</t>
  </si>
  <si>
    <t>Poruwa items - buying and bringing them</t>
  </si>
  <si>
    <t>Cake cutting</t>
  </si>
  <si>
    <t>Cake table</t>
  </si>
  <si>
    <t>Toast / speeches</t>
  </si>
  <si>
    <t>Registration folder - NICs, certificates</t>
  </si>
  <si>
    <t>Speakers</t>
  </si>
  <si>
    <t>First dance</t>
  </si>
  <si>
    <t>Producing the two witnesses on time</t>
  </si>
  <si>
    <t>Dance floor</t>
  </si>
  <si>
    <t>Ring custody until the exchange</t>
  </si>
  <si>
    <t>Maid of Honour</t>
  </si>
  <si>
    <t>Guests at each table (table rounds)</t>
  </si>
  <si>
    <t>All guests</t>
  </si>
  <si>
    <t>Cueing the Jayamangala Gatha singers</t>
  </si>
  <si>
    <t>Dance floor candids</t>
  </si>
  <si>
    <t>Buffet and food detail</t>
  </si>
  <si>
    <t>Vendors</t>
  </si>
  <si>
    <t>Checking each vendor in on arrival</t>
  </si>
  <si>
    <t>Guest book and gift table</t>
  </si>
  <si>
    <t>Signing off decor before guests enter</t>
  </si>
  <si>
    <t>Send-off / final shot of the night</t>
  </si>
  <si>
    <t>Video</t>
  </si>
  <si>
    <t>Drone shot of the venue</t>
  </si>
  <si>
    <t>Feeding the vendors and crew</t>
  </si>
  <si>
    <t>Outdoors</t>
  </si>
  <si>
    <t>Interviews / messages from family</t>
  </si>
  <si>
    <t>Lounge</t>
  </si>
  <si>
    <t>Managing overtime decisions after midnight</t>
  </si>
  <si>
    <t>Live stream check for overseas family</t>
  </si>
  <si>
    <t>Bringing the emergency kit</t>
  </si>
  <si>
    <t>Same-day edit handover to the DJ</t>
  </si>
  <si>
    <t>AV desk</t>
  </si>
  <si>
    <t>Jewellery custody and safe return</t>
  </si>
  <si>
    <t>Jewellery custodian</t>
  </si>
  <si>
    <t>Jeweller</t>
  </si>
  <si>
    <t>Collecting personal belongings at the end</t>
  </si>
  <si>
    <t>Returning rented items the next day</t>
  </si>
  <si>
    <t>Wet-weather decision</t>
  </si>
  <si>
    <t>Programme</t>
  </si>
  <si>
    <t>Keeping the timeline on track</t>
  </si>
  <si>
    <t>MC script and name pronunciations</t>
  </si>
  <si>
    <t>Music cues and volume</t>
  </si>
  <si>
    <t>Speeches - keeping them to time</t>
  </si>
  <si>
    <t>Rounding people up for family photos</t>
  </si>
  <si>
    <t>Holding the shot list on the night</t>
  </si>
  <si>
    <t>After</t>
  </si>
  <si>
    <t>Settling final balances</t>
  </si>
  <si>
    <t>Logging gifts and sending thank-yous</t>
  </si>
  <si>
    <t>WEDDING-DAY MASTER TIMELINE</t>
  </si>
  <si>
    <t>The single running order for the day. Every other schedule must agree with this one. Print it. Times are a realistic starting draft for a 7.00pm Poruwa - adjust to your nekath and your venue.</t>
  </si>
  <si>
    <t>Phase</t>
  </si>
  <si>
    <t>Ends</t>
  </si>
  <si>
    <t>Mins</t>
  </si>
  <si>
    <t>What happens</t>
  </si>
  <si>
    <t>Where</t>
  </si>
  <si>
    <t>Setup</t>
  </si>
  <si>
    <t>Venue opens - coordinator arrives, collects keys and floor plan</t>
  </si>
  <si>
    <t>Decor team arrives, unloads, marks out the room</t>
  </si>
  <si>
    <t>PORUWA build and decoration</t>
  </si>
  <si>
    <t>Table layout, linen, chair covers</t>
  </si>
  <si>
    <t>Sound, lighting and AV rig</t>
  </si>
  <si>
    <t>Stage, backdrop and head table</t>
  </si>
  <si>
    <t>Bridal dresser arrives at the suite</t>
  </si>
  <si>
    <t>BRIDE - hair and makeup</t>
  </si>
  <si>
    <t>VENDOR ARRIVAL &amp; SETUP SCHEDULE</t>
  </si>
  <si>
    <t>Operational sheet for the coordinator - sorted by arrival time. Tick each vendor in on arrival and out at the end. Contact details pull from 05 Vendors.</t>
  </si>
  <si>
    <t>Bridesmaids - hair and makeup</t>
  </si>
  <si>
    <t>Photographer and videographer arrive at the suite</t>
  </si>
  <si>
    <t>Detail shots - saree, jewellery, rings, shoes, invitation</t>
  </si>
  <si>
    <t>Setup starts</t>
  </si>
  <si>
    <t>On duty from</t>
  </si>
  <si>
    <t>On duty until</t>
  </si>
  <si>
    <t>WEDDING-DAY CONTACT SHEET</t>
  </si>
  <si>
    <t>Breakdown from</t>
  </si>
  <si>
    <t>Departs</t>
  </si>
  <si>
    <t>Where in the venue</t>
  </si>
  <si>
    <t>Fresh flowers delivered and placed</t>
  </si>
  <si>
    <t>PRINT THIS. One page, every number anyone might need on the day. Vendor numbers pull from 05 Vendors automatically.</t>
  </si>
  <si>
    <t>Checked IN</t>
  </si>
  <si>
    <t>Florist</t>
  </si>
  <si>
    <t>Checked OUT</t>
  </si>
  <si>
    <t>Venue opening, floor plan, keys</t>
  </si>
  <si>
    <t>Backup phone</t>
  </si>
  <si>
    <t>CAKE delivered and set on the cake table</t>
  </si>
  <si>
    <t>Whole venue</t>
  </si>
  <si>
    <t>GROOM - grooming and dressing</t>
  </si>
  <si>
    <t>Groom's portraits and shots with his family</t>
  </si>
  <si>
    <t>Signage, seating board, table numbers, place cards placed</t>
  </si>
  <si>
    <t>Family rep - bride's side</t>
  </si>
  <si>
    <t>Gift table, guest book and favour display set</t>
  </si>
  <si>
    <t>Family rep - groom's side</t>
  </si>
  <si>
    <t>Poruwa, stage, tables, backdrop</t>
  </si>
  <si>
    <t>Bride into the saree - dresser and mother</t>
  </si>
  <si>
    <t>Running the day</t>
  </si>
  <si>
    <t>Wedding coordinator</t>
  </si>
  <si>
    <t>Bride's first-look with her father</t>
  </si>
  <si>
    <t>Bride's portraits and shots with bridesmaids</t>
  </si>
  <si>
    <t>PA, mics, uplighting, screen</t>
  </si>
  <si>
    <t>Venue banquet manager</t>
  </si>
  <si>
    <t>Ballroom / AV desk</t>
  </si>
  <si>
    <t>DECOR SIGN-OFF - coordinator and couple walk the room</t>
  </si>
  <si>
    <t>Kandyan dancers and drummers arrive, change, sound check</t>
  </si>
  <si>
    <t>Backstage</t>
  </si>
  <si>
    <t>Sound check - MC, officiant and speech microphones</t>
  </si>
  <si>
    <t>Bride and bridesmaids</t>
  </si>
  <si>
    <t>Welcome drinks station ready</t>
  </si>
  <si>
    <t>Groom and his family leave for the venue</t>
  </si>
  <si>
    <t>En route</t>
  </si>
  <si>
    <t>GUESTS ARRIVE - ushers seat them, welcome drinks served</t>
  </si>
  <si>
    <t>Bride leaves for the venue in the bridal car</t>
  </si>
  <si>
    <t>Registrar arrives - coordinator receives the document folder</t>
  </si>
  <si>
    <t>Guests seated, doors closed, phones to silent announcement</t>
  </si>
  <si>
    <t>Fresh flowers, bouquets, centrepieces</t>
  </si>
  <si>
    <t>Hewisi drummers and Kandyan dancers lead the groom in</t>
  </si>
  <si>
    <t>Ballroom / suite</t>
  </si>
  <si>
    <t>Bride enters with her father</t>
  </si>
  <si>
    <t>Poruwa officiant / Ashtaka chanter</t>
  </si>
  <si>
    <t>PORUWA CEREMONY - see 14 Ceremony &amp; Legal for the full order</t>
  </si>
  <si>
    <t>MARRIAGE REGISTRATION - couple and witnesses sign</t>
  </si>
  <si>
    <t>Blessings from the elders</t>
  </si>
  <si>
    <t>Marriage registrar</t>
  </si>
  <si>
    <t>Full day coverage</t>
  </si>
  <si>
    <t>FAMILY GROUP PHOTOGRAPHS - see the list on 18 Photo &amp; Video</t>
  </si>
  <si>
    <t>Witness 1</t>
  </si>
  <si>
    <t>Everywhere</t>
  </si>
  <si>
    <t>Witness 2</t>
  </si>
  <si>
    <t>Guests move through to the reception, music on</t>
  </si>
  <si>
    <t>Couple's entrance to the reception</t>
  </si>
  <si>
    <t>Welcome speech</t>
  </si>
  <si>
    <t>DINNER SERVICE - head table and elderly guests first</t>
  </si>
  <si>
    <t>Couple's portraits while guests eat</t>
  </si>
  <si>
    <t>CAKE CUTTING</t>
  </si>
  <si>
    <t>Speeches - best man, maid of honour, fathers</t>
  </si>
  <si>
    <t>Cake delivery and setup</t>
  </si>
  <si>
    <t>Music, dancing and table rounds by the couple</t>
  </si>
  <si>
    <t>Photographer covers every table</t>
  </si>
  <si>
    <t>Close</t>
  </si>
  <si>
    <t>Final announcements and thank-you from the couple</t>
  </si>
  <si>
    <t>Procession and performance</t>
  </si>
  <si>
    <t>Cake boxes and favours handed out at the door</t>
  </si>
  <si>
    <t>Backstage / ballroom</t>
  </si>
  <si>
    <t>GUESTS DEPART - buses leave</t>
  </si>
  <si>
    <t>GIFT TABLE cleared to a locked room - two people, count together</t>
  </si>
  <si>
    <t>JEWELLERY removed, checked against 12 Attire &amp; Jewellery, secured</t>
  </si>
  <si>
    <t>Hewisi at the entrance</t>
  </si>
  <si>
    <t>Personal belongings collected from both rooms and the stage</t>
  </si>
  <si>
    <t>Vendor sign-off - coordinator checks each one out</t>
  </si>
  <si>
    <t>Day-of balances and tips paid</t>
  </si>
  <si>
    <t>Decor and AV breakdown begins</t>
  </si>
  <si>
    <t>Kandyan dancers</t>
  </si>
  <si>
    <t>FINAL VENUE WALKTHROUGH - nothing left behind</t>
  </si>
  <si>
    <t>Bridal car, family cars, guest buses</t>
  </si>
  <si>
    <t>Entrance / car park</t>
  </si>
  <si>
    <t>MUSIC &amp; MC CUES  -  give this to the DJ and the MC two weeks out</t>
  </si>
  <si>
    <t>Moment</t>
  </si>
  <si>
    <t>What plays</t>
  </si>
  <si>
    <t>Artist / source</t>
  </si>
  <si>
    <t>Who cues it</t>
  </si>
  <si>
    <t>Compere the evening</t>
  </si>
  <si>
    <t>Live or recorded</t>
  </si>
  <si>
    <t>Confirmed with DJ?</t>
  </si>
  <si>
    <t>Bridal dresser / makeup</t>
  </si>
  <si>
    <t>Guests arriving / welcome drinks</t>
  </si>
  <si>
    <t>Instrumental background</t>
  </si>
  <si>
    <t>Recorded</t>
  </si>
  <si>
    <t>Hewisi drums + Kandyan dancers</t>
  </si>
  <si>
    <t>Live</t>
  </si>
  <si>
    <t>Bride's entrance</t>
  </si>
  <si>
    <t>Chosen entrance piece</t>
  </si>
  <si>
    <t>Stepping onto the Poruwa</t>
  </si>
  <si>
    <t>During the Poruwa rituals</t>
  </si>
  <si>
    <t>Music through the reception</t>
  </si>
  <si>
    <t>No music - chanting only</t>
  </si>
  <si>
    <t>Thread tying / water pouring</t>
  </si>
  <si>
    <t>Jayamangala Gatha</t>
  </si>
  <si>
    <t>Saree designer</t>
  </si>
  <si>
    <t>Signing the register</t>
  </si>
  <si>
    <t>Soft instrumental</t>
  </si>
  <si>
    <t>Family photographs</t>
  </si>
  <si>
    <t>Light background music</t>
  </si>
  <si>
    <t>Welcome drinks, buffet, service</t>
  </si>
  <si>
    <t>Upbeat entrance song</t>
  </si>
  <si>
    <t>Ballroom / kitchen</t>
  </si>
  <si>
    <t>Music off, mic on</t>
  </si>
  <si>
    <t>Troupe's own track</t>
  </si>
  <si>
    <t>Dinner service</t>
  </si>
  <si>
    <t>Background playlist - low volume</t>
  </si>
  <si>
    <t>Bridal car driver</t>
  </si>
  <si>
    <t>Chosen cake-cutting song</t>
  </si>
  <si>
    <t>Banquet team, service, security</t>
  </si>
  <si>
    <t>Groom's car driver</t>
  </si>
  <si>
    <t>Speeches</t>
  </si>
  <si>
    <t>Guest bus driver 1</t>
  </si>
  <si>
    <t>Guest bus driver 2</t>
  </si>
  <si>
    <t>Transport company</t>
  </si>
  <si>
    <t>Chosen first-dance song</t>
  </si>
  <si>
    <t>Dance floor opens</t>
  </si>
  <si>
    <t>Opening floor-filler</t>
  </si>
  <si>
    <t>Baila set</t>
  </si>
  <si>
    <t>Baila selection</t>
  </si>
  <si>
    <t>Final announcement</t>
  </si>
  <si>
    <t>Emergency</t>
  </si>
  <si>
    <t>Nearest hospital</t>
  </si>
  <si>
    <t>Ashtaka chanting, Poruwa rituals</t>
  </si>
  <si>
    <t>Doctor / clinic</t>
  </si>
  <si>
    <t>Last song of the night</t>
  </si>
  <si>
    <t>Chosen closing song</t>
  </si>
  <si>
    <t>Venue security</t>
  </si>
  <si>
    <t>Police emergency</t>
  </si>
  <si>
    <t>119</t>
  </si>
  <si>
    <t>Guests departing</t>
  </si>
  <si>
    <t>Gentle background</t>
  </si>
  <si>
    <t>Ambulance (Suwa Seriya)</t>
  </si>
  <si>
    <t>1990</t>
  </si>
  <si>
    <t>MUST PLAY 1</t>
  </si>
  <si>
    <t>Electrician / venue maintenance</t>
  </si>
  <si>
    <t>Back-up driver</t>
  </si>
  <si>
    <t>MUST PLAY 2</t>
  </si>
  <si>
    <t>Back-up coordinator</t>
  </si>
  <si>
    <t>MUST PLAY 3</t>
  </si>
  <si>
    <t>DO NOT PLAY 1</t>
  </si>
  <si>
    <t>Marriage registration</t>
  </si>
  <si>
    <t>DO NOT PLAY 2</t>
  </si>
  <si>
    <t>PROCUREMENT &amp; WEDDING-DAY PACKING LIST</t>
  </si>
  <si>
    <t>Everything that has to be bought, then physically carried to the venue. Work left to right: buy it, pack it, load it, deliver it. Do not leave this until the last night.</t>
  </si>
  <si>
    <t>Bag / box</t>
  </si>
  <si>
    <t>Needed?</t>
  </si>
  <si>
    <t>Est. cost</t>
  </si>
  <si>
    <t>Actual cost</t>
  </si>
  <si>
    <t>Where to buy</t>
  </si>
  <si>
    <t>Bought?</t>
  </si>
  <si>
    <t>Bought on</t>
  </si>
  <si>
    <t>Needed on the day?</t>
  </si>
  <si>
    <t>PACKED</t>
  </si>
  <si>
    <t>LOADED</t>
  </si>
  <si>
    <t>Bride's bag</t>
  </si>
  <si>
    <t>Emergency kit</t>
  </si>
  <si>
    <t>Safety pins - assorted sizes</t>
  </si>
  <si>
    <t>Sewing kit with matching thread</t>
  </si>
  <si>
    <t>Fashion tape / double-sided tape</t>
  </si>
  <si>
    <t>Spare saree pins</t>
  </si>
  <si>
    <t>WEDDING-DAY EMERGENCY &amp; CONTINGENCY PLAN</t>
  </si>
  <si>
    <t>Stain remover pen</t>
  </si>
  <si>
    <t>Things that realistically go wrong at Sri Lankan weddings, and what you do about each one. Agree the responsible person now, not on the night.</t>
  </si>
  <si>
    <t>Tissues and blotting paper</t>
  </si>
  <si>
    <t>Mints / breath freshener</t>
  </si>
  <si>
    <t>What could go wrong</t>
  </si>
  <si>
    <t>Likelihood</t>
  </si>
  <si>
    <t>Impact</t>
  </si>
  <si>
    <t>Score</t>
  </si>
  <si>
    <t>Prevent it by</t>
  </si>
  <si>
    <t>Deodorant</t>
  </si>
  <si>
    <t>If it happens</t>
  </si>
  <si>
    <t>Who to call</t>
  </si>
  <si>
    <t>Prevention done?</t>
  </si>
  <si>
    <t>Weather</t>
  </si>
  <si>
    <t>Heavy rain during an outdoor segment</t>
  </si>
  <si>
    <t>Basic first-aid supplies (plasters, antiseptic)</t>
  </si>
  <si>
    <t>Painkillers and any personal medication</t>
  </si>
  <si>
    <t>Blister plasters</t>
  </si>
  <si>
    <t>Book an indoor venue or a covered area from the start; confirm the wet-weather plan in writing</t>
  </si>
  <si>
    <t>Move everything indoors; umbrellas at the entrance; reroute guest drop-off under cover</t>
  </si>
  <si>
    <t>Small scissors</t>
  </si>
  <si>
    <t>Power</t>
  </si>
  <si>
    <t>Power cut during the ceremony or reception</t>
  </si>
  <si>
    <t>Super glue (for shoes / beading)</t>
  </si>
  <si>
    <t>Confirm the venue's generator and its automatic switchover time in writing</t>
  </si>
  <si>
    <t>Generator on standby; candles and torches ready; DJ has a battery speaker</t>
  </si>
  <si>
    <t>Hand fan / portable fan</t>
  </si>
  <si>
    <t>A key vendor does not turn up</t>
  </si>
  <si>
    <t>Low</t>
  </si>
  <si>
    <t>Confirm every vendor in writing 14 days out and again 3 days out</t>
  </si>
  <si>
    <t>Beauty</t>
  </si>
  <si>
    <t>Lipstick used by the makeup artist</t>
  </si>
  <si>
    <t>Keep a shortlisted back-up for photographer, DJ and MC with numbers on 22 Contact Sheet</t>
  </si>
  <si>
    <t>Photographer or videographer arrives late</t>
  </si>
  <si>
    <t>Powder / blotting compact</t>
  </si>
  <si>
    <t>Confirm arrival time in writing; ask for the second shooter's number too</t>
  </si>
  <si>
    <t>Second shooter starts; reorder the timeline so preparation shots move later</t>
  </si>
  <si>
    <t>Bridal car breaks down or the driver is late</t>
  </si>
  <si>
    <t>Hair pins, bobby pins, hair spray</t>
  </si>
  <si>
    <t>Book with an established company; confirm the driver's number the day before</t>
  </si>
  <si>
    <t>Nominate a back-up family car and driver; number on 22 Contact Sheet</t>
  </si>
  <si>
    <t>Nail file and clear polish</t>
  </si>
  <si>
    <t>Guest bus is delayed</t>
  </si>
  <si>
    <t>Confirm pick-up points and times in writing 3 days out</t>
  </si>
  <si>
    <t>Delay the ceremony start by 10 minutes; MC keeps guests entertained</t>
  </si>
  <si>
    <t>Comfortable flat shoes for later</t>
  </si>
  <si>
    <t>Bridal dressing runs over time</t>
  </si>
  <si>
    <t>Personal</t>
  </si>
  <si>
    <t>Water bottle and a straw</t>
  </si>
  <si>
    <t>Book the dresser to start 60 minutes earlier than you think you need</t>
  </si>
  <si>
    <t>Cut the bride's solo portraits; move them to after the ceremony</t>
  </si>
  <si>
    <t>Registrar is late or a document is missing</t>
  </si>
  <si>
    <t>Snacks for the getting-ready room</t>
  </si>
  <si>
    <t>Confirm attendance in writing; check every document 7 days out and again the night before</t>
  </si>
  <si>
    <t>Continue with the Poruwa; register separately at the office afterwards</t>
  </si>
  <si>
    <t>Witness does not arrive</t>
  </si>
  <si>
    <t>Phone charger and power bank</t>
  </si>
  <si>
    <t>Nominate two reserve witnesses and tell them in advance</t>
  </si>
  <si>
    <t>Reserve witness steps in - must be 18+ with a valid NIC</t>
  </si>
  <si>
    <t>Groom's bag</t>
  </si>
  <si>
    <t>Spare shirt</t>
  </si>
  <si>
    <t>A Poruwa item is missing or forgotten</t>
  </si>
  <si>
    <t>Pack the ceremony box 4 days out and check it against 23 Procurement &amp; Packing</t>
  </si>
  <si>
    <t>Venue or officiant usually keeps spares; send someone to the nearest shop</t>
  </si>
  <si>
    <t>Lint roller</t>
  </si>
  <si>
    <t>Catering</t>
  </si>
  <si>
    <t>More guests arrive than confirmed</t>
  </si>
  <si>
    <t>Cater for the confirmed number plus a 5% buffer (see 16 Food &amp; Beverage)</t>
  </si>
  <si>
    <t>Ask the venue for the agreed number of extra covers; hold back two spare tables</t>
  </si>
  <si>
    <t>Shoe shine cloth</t>
  </si>
  <si>
    <t>Food runs short at the buffet</t>
  </si>
  <si>
    <t>Agree in writing what the venue does if a dish runs out</t>
  </si>
  <si>
    <t>Venue replenishes; slow the service; open the dessert counter early</t>
  </si>
  <si>
    <t>Spare socks</t>
  </si>
  <si>
    <t>A guest has an allergic reaction</t>
  </si>
  <si>
    <t>Collect dietary requirements at RSVP; label the buffet clearly</t>
  </si>
  <si>
    <t>First aid; call the venue duty manager; hospital number is on 22 Contact Sheet</t>
  </si>
  <si>
    <t>Handkerchiefs</t>
  </si>
  <si>
    <t>AV</t>
  </si>
  <si>
    <t>Sound system or microphone fails</t>
  </si>
  <si>
    <t>Sound check at 17:30 with the actual microphones being used</t>
  </si>
  <si>
    <t>Spare handheld mic on standby; DJ system as back-up PA</t>
  </si>
  <si>
    <t>Decor</t>
  </si>
  <si>
    <t>Decor is not finished when guests arrive</t>
  </si>
  <si>
    <t>Deodorant and comb</t>
  </si>
  <si>
    <t>Set a 17:00 sign-off deadline and hold the decorator to it</t>
  </si>
  <si>
    <t>Hold guests in the welcome area with drinks; delay opening the ballroom doors</t>
  </si>
  <si>
    <t>Documents box</t>
  </si>
  <si>
    <t>Saree tears, a button pops or a heel breaks</t>
  </si>
  <si>
    <t>Documents</t>
  </si>
  <si>
    <t>NICs / passports - both</t>
  </si>
  <si>
    <t>Pack the emergency kit and keep flat shoes in the bridal bag</t>
  </si>
  <si>
    <t>Safety pins, fashion tape and the sewing kit are in the bride's bag</t>
  </si>
  <si>
    <t>Property</t>
  </si>
  <si>
    <t>Cash gifts or a gift goes missing</t>
  </si>
  <si>
    <t>Lockable gift box; one named person responsible all evening</t>
  </si>
  <si>
    <t>Two people move the box to a locked room together at 23:30 and count it</t>
  </si>
  <si>
    <t>Birth certificates - both</t>
  </si>
  <si>
    <t>Jewellery is misplaced at the end of the night</t>
  </si>
  <si>
    <t>One named custodian; check items off against 12 Attire &amp; Jewellery</t>
  </si>
  <si>
    <t>Nobody leaves until the register is checked item by item</t>
  </si>
  <si>
    <t>Notice of marriage receipt</t>
  </si>
  <si>
    <t>Seating conflict or a guest has no seat</t>
  </si>
  <si>
    <t>Finalise the seating plan 14 days out; check for unseated guests on 02 Dashboard</t>
  </si>
  <si>
    <t>Keep two spare tables laid; ushers seat quietly without discussion</t>
  </si>
  <si>
    <t>An uninvited guest arrives</t>
  </si>
  <si>
    <t>Witnesses' NIC photocopies</t>
  </si>
  <si>
    <t>Brief the ushers on who is expected</t>
  </si>
  <si>
    <t>Seat them at a spare table; never turn anyone away in front of others</t>
  </si>
  <si>
    <t>Health</t>
  </si>
  <si>
    <t>Bride, groom or a parent falls ill on the day</t>
  </si>
  <si>
    <t>Rest properly in the final week; eat before the ceremony</t>
  </si>
  <si>
    <t>First aid at the venue; doctor and hospital numbers on 22 Contact Sheet</t>
  </si>
  <si>
    <t>Venue contract and final invoice</t>
  </si>
  <si>
    <t>Timing</t>
  </si>
  <si>
    <t>The whole evening runs 30+ minutes late</t>
  </si>
  <si>
    <t>Build 15 minutes of slack into 20 Day Timeline at each phase change</t>
  </si>
  <si>
    <t>Cut the table rounds and shorten the speeches; MC keeps things moving</t>
  </si>
  <si>
    <t>Vendor contracts folder</t>
  </si>
  <si>
    <t>Venue presents unexpected extra charges</t>
  </si>
  <si>
    <t>Printed timeline (20 Day Timeline)</t>
  </si>
  <si>
    <t>Get every inclusion and exclusion in writing before signing</t>
  </si>
  <si>
    <t>Contract is in the documents box; escalate to the banquet manager, pay nothing on the spot</t>
  </si>
  <si>
    <t>Printed contact sheet (22 Contact Sheet)</t>
  </si>
  <si>
    <t>Overtime is needed after midnight</t>
  </si>
  <si>
    <t>Agree the overtime rate in the contract in advance (05 Vendors)</t>
  </si>
  <si>
    <t>Coordinator decides with the couple; contingency fund covers it</t>
  </si>
  <si>
    <t>Printed seating list</t>
  </si>
  <si>
    <t>Printed shot list for the photographer</t>
  </si>
  <si>
    <t>Cash for tips - in labelled envelopes</t>
  </si>
  <si>
    <t>Cash for day-of balances</t>
  </si>
  <si>
    <t>Jewellery case</t>
  </si>
  <si>
    <t>Bridal jewellery set (see 12 Attire &amp; Jewellery)</t>
  </si>
  <si>
    <t>Wedding rings in their box</t>
  </si>
  <si>
    <t>Nalalpata and hair jewellery</t>
  </si>
  <si>
    <t>Ceremony box</t>
  </si>
  <si>
    <t>Betel leaves (bulath)</t>
  </si>
  <si>
    <t>Coconut flower</t>
  </si>
  <si>
    <t>Coconut for splitting</t>
  </si>
  <si>
    <t>White cloth for the bride's mother</t>
  </si>
  <si>
    <t>Oil lamp (pahana), oil and wicks</t>
  </si>
  <si>
    <t>Matches / lighter</t>
  </si>
  <si>
    <t>Kalasa pot and water</t>
  </si>
  <si>
    <t>Reception box</t>
  </si>
  <si>
    <t>Guest book and two good pens</t>
  </si>
  <si>
    <t>Gift box / lockable money box</t>
  </si>
  <si>
    <t>Guest favours</t>
  </si>
  <si>
    <t>Cake knife and server (ribboned)</t>
  </si>
  <si>
    <t>POST-WEDDING CLOSURE &amp; FINAL RECONCILIATION</t>
  </si>
  <si>
    <t>DROPDOWN LISTS</t>
  </si>
  <si>
    <t>The wedding is not finished until the money is settled and everything borrowed is back. Work through this in the week after.</t>
  </si>
  <si>
    <t>Cake boxes for guests</t>
  </si>
  <si>
    <t>These feed the dropdowns across the workbook. Add options here; renaming an option does not rename entries already typed elsewhere.</t>
  </si>
  <si>
    <t>CLOSURE CHECKLIST</t>
  </si>
  <si>
    <t>Gifts</t>
  </si>
  <si>
    <t>When</t>
  </si>
  <si>
    <t>Applicability</t>
  </si>
  <si>
    <t>Amount</t>
  </si>
  <si>
    <t>VendorStatus</t>
  </si>
  <si>
    <t>Settle every remaining vendor balance (filter 04 Payments for unpaid)</t>
  </si>
  <si>
    <t>YesNo</t>
  </si>
  <si>
    <t>PayStage</t>
  </si>
  <si>
    <t>PayMethod</t>
  </si>
  <si>
    <t>Ownership</t>
  </si>
  <si>
    <t>GuestCategory</t>
  </si>
  <si>
    <t>Readiness</t>
  </si>
  <si>
    <t>TaskCategory</t>
  </si>
  <si>
    <t>VendorCategory</t>
  </si>
  <si>
    <t>Tech box</t>
  </si>
  <si>
    <t>Extension cords</t>
  </si>
  <si>
    <t>Booking Deposit</t>
  </si>
  <si>
    <t>Cash</t>
  </si>
  <si>
    <t>Purchased</t>
  </si>
  <si>
    <t>Standard</t>
  </si>
  <si>
    <t>Multi-plug adaptors</t>
  </si>
  <si>
    <t>In Progress</t>
  </si>
  <si>
    <t>Accepted</t>
  </si>
  <si>
    <t>Masking tape and cello tape</t>
  </si>
  <si>
    <t>Advance</t>
  </si>
  <si>
    <t>Bank Transfer</t>
  </si>
  <si>
    <t>Check the jewellery register - every item accounted for</t>
  </si>
  <si>
    <t>Rented</t>
  </si>
  <si>
    <t>Vegetarian</t>
  </si>
  <si>
    <t>Negotiating</t>
  </si>
  <si>
    <t>Scissors and a marker pen</t>
  </si>
  <si>
    <t>Declined</t>
  </si>
  <si>
    <t>Both</t>
  </si>
  <si>
    <t>Progress Payment</t>
  </si>
  <si>
    <t>Cheque</t>
  </si>
  <si>
    <t>Return rented decor, AV, linen and hired equipment</t>
  </si>
  <si>
    <t>Borrowed</t>
  </si>
  <si>
    <t>Vegan</t>
  </si>
  <si>
    <t>Booked</t>
  </si>
  <si>
    <t>Cable ties and string</t>
  </si>
  <si>
    <t>Tentatively Booked</t>
  </si>
  <si>
    <t>Maybe</t>
  </si>
  <si>
    <t>Family Owned</t>
  </si>
  <si>
    <t>Torch</t>
  </si>
  <si>
    <t>Halal</t>
  </si>
  <si>
    <t>Neighbours</t>
  </si>
  <si>
    <t>Cancelled</t>
  </si>
  <si>
    <t>No Response</t>
  </si>
  <si>
    <t>Extra / Overtime</t>
  </si>
  <si>
    <t>Umbrellas</t>
  </si>
  <si>
    <t>Online</t>
  </si>
  <si>
    <t>Gift</t>
  </si>
  <si>
    <t>No Pork</t>
  </si>
  <si>
    <t>Family Friends</t>
  </si>
  <si>
    <t>Spare camera batteries / memory cards</t>
  </si>
  <si>
    <t>Count the cash gifts with two people present and bank them</t>
  </si>
  <si>
    <t>Refundable Deposit</t>
  </si>
  <si>
    <t>No Beef</t>
  </si>
  <si>
    <t>Colleagues</t>
  </si>
  <si>
    <t>Hair Stylist</t>
  </si>
  <si>
    <t>Bluetooth speaker for the getting-ready room</t>
  </si>
  <si>
    <t>Collect the guest book and gifts</t>
  </si>
  <si>
    <t>Refund Received</t>
  </si>
  <si>
    <t>Child Meal</t>
  </si>
  <si>
    <t>VIP / Official</t>
  </si>
  <si>
    <t>Notepad and pens</t>
  </si>
  <si>
    <t>Week 1</t>
  </si>
  <si>
    <t>Log every gift received against the guest in 09 Guests</t>
  </si>
  <si>
    <t>Allergy - see notes</t>
  </si>
  <si>
    <t>Bin bags (for clearing up)</t>
  </si>
  <si>
    <t>Overnight bag</t>
  </si>
  <si>
    <t>Reclaim every refundable deposit (see 03 Budget column O)</t>
  </si>
  <si>
    <t>Change of clothes for both</t>
  </si>
  <si>
    <t>Toiletries and makeup remover</t>
  </si>
  <si>
    <t>Dry-clean and store the saree and the suit</t>
  </si>
  <si>
    <t>Next-day outfit</t>
  </si>
  <si>
    <t>Return borrowed family items and heirlooms</t>
  </si>
  <si>
    <t>Saree storage bag / garment cover</t>
  </si>
  <si>
    <t>Chase any missing receipts and file them</t>
  </si>
  <si>
    <t>Thank the vendors who did well - and tell them why</t>
  </si>
  <si>
    <t>Week 2-4</t>
  </si>
  <si>
    <t>Confirm the photo album delivery date in writing</t>
  </si>
  <si>
    <t>Live Band</t>
  </si>
  <si>
    <t>Confirm the video delivery date in writing</t>
  </si>
  <si>
    <t>Check the raw files / USB have been handed over and are readable</t>
  </si>
  <si>
    <t>Send thank-you cards or messages to every guest</t>
  </si>
  <si>
    <t>Rate every vendor on 05 Vendors while it is still fresh</t>
  </si>
  <si>
    <t>Month 2+</t>
  </si>
  <si>
    <t>RECONCILE the final wedding cost - fill in the box below</t>
  </si>
  <si>
    <t>Close out any disputed invoice</t>
  </si>
  <si>
    <t>Chase the album if it has not arrived</t>
  </si>
  <si>
    <t>Write down what you would do differently (lessons box below)</t>
  </si>
  <si>
    <t>FINAL FINANCIAL RECONCILIATION</t>
  </si>
  <si>
    <t>Original budget set</t>
  </si>
  <si>
    <t>Total budgeted across all lines</t>
  </si>
  <si>
    <t>Total actually invoiced / forecast</t>
  </si>
  <si>
    <t>Variance against the original budget</t>
  </si>
  <si>
    <t>Total paid out</t>
  </si>
  <si>
    <t>Still outstanding to vendors</t>
  </si>
  <si>
    <t>Refundable deposits still to come back</t>
  </si>
  <si>
    <t>TRUE COST OF THE WEDDING (paid + outstanding - refunds)</t>
  </si>
  <si>
    <t>Family &amp; couple contributions received</t>
  </si>
  <si>
    <t>Cash gifts actually received</t>
  </si>
  <si>
    <t>NET COST TO THE COUPLE</t>
  </si>
  <si>
    <t>Cost per confirmed guest</t>
  </si>
  <si>
    <t>LESSONS &amp; NOTES</t>
  </si>
  <si>
    <t>What went better than expected?</t>
  </si>
  <si>
    <t>What would you do differently?</t>
  </si>
  <si>
    <t>Which vendors would you recommend to a friend, and why?</t>
  </si>
  <si>
    <t>Which vendors would you not use again?</t>
  </si>
  <si>
    <t>What did you spend money on that was not worth it?</t>
  </si>
  <si>
    <t>What did you underestimate the cost of?</t>
  </si>
  <si>
    <t>What did you forget to plan for?</t>
  </si>
  <si>
    <t>Advice you would give a couple planning a Sri Lankan wedding: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</si>
</sst>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Rs. &quot;#,##0;[Red]-&quot;Rs. &quot;#,##0;&quot;-&quot;"/>
    <numFmt numFmtId="165" formatCode="DD/MM/YYYY"/>
    <numFmt numFmtId="166" formatCode="#,##0&quot; days&quot;"/>
    <numFmt numFmtId="167" formatCode="&quot;Rs. &quot;#,##0"/>
    <numFmt numFmtId="168" formatCode="0.0%"/>
    <numFmt numFmtId="169" formatCode="#,##0;[Red]-#,##0;&quot;-&quot;"/>
    <numFmt numFmtId="170" formatCode="0;;&quot;-&quot;"/>
    <numFmt numFmtId="171" formatCode="yyyy/mm/dd"/>
    <numFmt numFmtId="172" formatCode="#,##0;;&quot;-&quot;"/>
    <numFmt numFmtId="173" formatCode="0.0"/>
    <numFmt numFmtId="174" formatCode="#,##0;[Red]-#,##0"/>
  </numFmts>
  <fonts count="26">
    <font>
      <sz val="11.0"/>
      <color theme="1"/>
      <name val="Calibri"/>
      <scheme val="minor"/>
    </font>
    <font>
      <sz val="10.0"/>
      <color rgb="FF2B2119"/>
      <name val="Arial"/>
    </font>
    <font>
      <b/>
      <sz val="14.0"/>
      <color rgb="FFFFFFFF"/>
      <name val="Arial"/>
    </font>
    <font>
      <i/>
      <sz val="9.0"/>
      <color rgb="FF8A7B6D"/>
      <name val="Arial"/>
    </font>
    <font>
      <sz val="10.0"/>
      <color theme="1"/>
      <name val="Arial"/>
    </font>
    <font>
      <b/>
      <sz val="10.0"/>
      <color rgb="FF6E1E2E"/>
      <name val="Arial"/>
    </font>
    <font>
      <sz val="9.0"/>
      <color rgb="FF2B2119"/>
      <name val="Arial"/>
    </font>
    <font>
      <b/>
      <sz val="10.0"/>
      <color rgb="FFFFFFFF"/>
      <name val="Arial"/>
    </font>
    <font>
      <b/>
      <sz val="10.0"/>
      <color rgb="FF2B2119"/>
      <name val="Arial"/>
    </font>
    <font>
      <b/>
      <sz val="10.0"/>
      <color rgb="FF1F4E79"/>
      <name val="Arial"/>
    </font>
    <font>
      <b/>
      <sz val="9.0"/>
      <color rgb="FF2B2119"/>
      <name val="Arial"/>
    </font>
    <font>
      <b/>
      <sz val="9.0"/>
      <color rgb="FFFFFFFF"/>
      <name val="Arial"/>
    </font>
    <font>
      <b/>
      <sz val="8.0"/>
      <color rgb="FF6E1E2E"/>
      <name val="Arial"/>
    </font>
    <font/>
    <font>
      <sz val="10.0"/>
      <color rgb="FF8A7B6D"/>
      <name val="Arial"/>
    </font>
    <font>
      <b/>
      <sz val="16.0"/>
      <color rgb="FF6E1E2E"/>
      <name val="Arial"/>
    </font>
    <font>
      <sz val="9.0"/>
      <color rgb="FF8A7B6D"/>
      <name val="Arial"/>
    </font>
    <font>
      <sz val="10.0"/>
      <color rgb="FF2E6B4F"/>
      <name val="Arial"/>
    </font>
    <font>
      <sz val="10.0"/>
      <color rgb="FF1F4E79"/>
      <name val="Arial"/>
    </font>
    <font>
      <i/>
      <sz val="10.0"/>
      <color rgb="FF8A6116"/>
      <name val="Arial"/>
    </font>
    <font>
      <b/>
      <sz val="8.0"/>
      <color rgb="FF8A6116"/>
      <name val="Arial"/>
    </font>
    <font>
      <b/>
      <sz val="8.0"/>
      <color rgb="FF1F4E79"/>
      <name val="Arial"/>
    </font>
    <font>
      <b/>
      <sz val="8.0"/>
      <color rgb="FF2F6B3E"/>
      <name val="Arial"/>
    </font>
    <font>
      <b/>
      <sz val="8.0"/>
      <color rgb="FF9B2C2C"/>
      <name val="Arial"/>
    </font>
    <font>
      <b/>
      <sz val="10.0"/>
      <color rgb="FF2E6B4F"/>
      <name val="Arial"/>
    </font>
    <font>
      <b/>
      <sz val="10.0"/>
      <color rgb="FF9B2C2C"/>
      <name val="Arial"/>
    </font>
  </fonts>
  <fills count="14">
    <fill>
      <patternFill patternType="none"/>
    </fill>
    <fill>
      <patternFill patternType="lightGray"/>
    </fill>
    <fill>
      <patternFill patternType="solid">
        <fgColor rgb="FF551622"/>
        <bgColor rgb="FF551622"/>
      </patternFill>
    </fill>
    <fill>
      <patternFill patternType="solid">
        <fgColor rgb="FFF5F1EA"/>
        <bgColor rgb="FFF5F1EA"/>
      </patternFill>
    </fill>
    <fill>
      <patternFill patternType="solid">
        <fgColor rgb="FFB08D57"/>
        <bgColor rgb="FFB08D57"/>
      </patternFill>
    </fill>
    <fill>
      <patternFill patternType="solid">
        <fgColor rgb="FFFFF6D9"/>
        <bgColor rgb="FFFFF6D9"/>
      </patternFill>
    </fill>
    <fill>
      <patternFill patternType="solid">
        <fgColor rgb="FFF2EFEA"/>
        <bgColor rgb="FFF2EFEA"/>
      </patternFill>
    </fill>
    <fill>
      <patternFill patternType="solid">
        <fgColor rgb="FF6E1E2E"/>
        <bgColor rgb="FF6E1E2E"/>
      </patternFill>
    </fill>
    <fill>
      <patternFill patternType="solid">
        <fgColor rgb="FFFFFFFF"/>
        <bgColor rgb="FFFFFFFF"/>
      </patternFill>
    </fill>
    <fill>
      <patternFill patternType="solid">
        <fgColor rgb="FFFBEFCF"/>
        <bgColor rgb="FFFBEFCF"/>
      </patternFill>
    </fill>
    <fill>
      <patternFill patternType="solid">
        <fgColor rgb="FFE9F0F5"/>
        <bgColor rgb="FFE9F0F5"/>
      </patternFill>
    </fill>
    <fill>
      <patternFill patternType="solid">
        <fgColor rgb="FFE9F2EB"/>
        <bgColor rgb="FFE9F2EB"/>
      </patternFill>
    </fill>
    <fill>
      <patternFill patternType="solid">
        <fgColor rgb="FFF5DEDE"/>
        <bgColor rgb="FFF5DEDE"/>
      </patternFill>
    </fill>
    <fill>
      <patternFill patternType="solid">
        <fgColor rgb="FFDCEAD9"/>
        <bgColor rgb="FFDCEAD9"/>
      </patternFill>
    </fill>
  </fills>
  <borders count="16">
    <border/>
    <border>
      <left style="thin">
        <color rgb="FFD9D2D3"/>
      </left>
      <right style="thin">
        <color rgb="FFD9D2D3"/>
      </right>
      <top style="thin">
        <color rgb="FFD9D2D3"/>
      </top>
      <bottom style="thin">
        <color rgb="FFD9D2D3"/>
      </bottom>
    </border>
    <border>
      <left style="thin">
        <color rgb="FFD9D2D3"/>
      </left>
      <right style="thin">
        <color rgb="FFD9D2D3"/>
      </right>
      <top style="thin">
        <color rgb="FF6E1E2E"/>
      </top>
      <bottom style="thin">
        <color rgb="FF6E1E2E"/>
      </bottom>
    </border>
    <border>
      <left style="thin">
        <color rgb="FFD9D2D3"/>
      </left>
      <right style="thin">
        <color rgb="FFD9D2D3"/>
      </right>
      <top style="thin">
        <color rgb="FFD9D2D3"/>
      </top>
      <bottom style="medium">
        <color rgb="FFB08D57"/>
      </bottom>
    </border>
    <border>
      <left style="thin">
        <color rgb="FFE8DCC8"/>
      </left>
      <top style="medium">
        <color rgb="FFB08D57"/>
      </top>
      <bottom/>
    </border>
    <border>
      <top style="medium">
        <color rgb="FFB08D57"/>
      </top>
      <bottom/>
    </border>
    <border>
      <right style="thin">
        <color rgb="FFE8DCC8"/>
      </right>
      <top style="medium">
        <color rgb="FFB08D57"/>
      </top>
      <bottom/>
    </border>
    <border>
      <left style="thin">
        <color rgb="FFE8DCC8"/>
      </left>
      <bottom style="thin">
        <color rgb="FFE8DCC8"/>
      </bottom>
    </border>
    <border>
      <bottom style="thin">
        <color rgb="FFE8DCC8"/>
      </bottom>
    </border>
    <border>
      <right style="thin">
        <color rgb="FFE8DCC8"/>
      </right>
      <bottom style="thin">
        <color rgb="FFE8DCC8"/>
      </bottom>
    </border>
    <border>
      <left style="thin">
        <color rgb="FFD9D2D3"/>
      </left>
      <top style="thin">
        <color rgb="FFD9D2D3"/>
      </top>
      <bottom style="medium">
        <color rgb="FFB08D57"/>
      </bottom>
    </border>
    <border>
      <right style="thin">
        <color rgb="FFD9D2D3"/>
      </right>
      <top style="thin">
        <color rgb="FFD9D2D3"/>
      </top>
      <bottom style="medium">
        <color rgb="FFB08D57"/>
      </bottom>
    </border>
    <border>
      <left style="thin">
        <color rgb="FFD9D2D3"/>
      </left>
      <top style="thin">
        <color rgb="FFD9D2D3"/>
      </top>
      <bottom style="thin">
        <color rgb="FFD9D2D3"/>
      </bottom>
    </border>
    <border>
      <right style="thin">
        <color rgb="FFD9D2D3"/>
      </right>
      <top style="thin">
        <color rgb="FFD9D2D3"/>
      </top>
      <bottom style="thin">
        <color rgb="FFD9D2D3"/>
      </bottom>
    </border>
    <border>
      <top style="thin">
        <color rgb="FFD9D2D3"/>
      </top>
      <bottom style="medium">
        <color rgb="FFB08D57"/>
      </bottom>
    </border>
    <border>
      <top style="thin">
        <color rgb="FFD9D2D3"/>
      </top>
      <bottom style="thin">
        <color rgb="FFD9D2D3"/>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vertical="center"/>
    </xf>
    <xf borderId="0" fillId="0" fontId="3" numFmtId="0" xfId="0" applyAlignment="1" applyFont="1">
      <alignment vertical="center"/>
    </xf>
    <xf borderId="0" fillId="0" fontId="4" numFmtId="0" xfId="0" applyFont="1"/>
    <xf borderId="0" fillId="0" fontId="5" numFmtId="0" xfId="0" applyAlignment="1" applyFont="1">
      <alignment vertical="center"/>
    </xf>
    <xf borderId="0" fillId="3" fontId="6" numFmtId="0" xfId="0" applyAlignment="1" applyFill="1" applyFont="1">
      <alignment vertical="center"/>
    </xf>
    <xf borderId="0" fillId="0" fontId="2" numFmtId="0" xfId="0" applyFont="1"/>
    <xf borderId="0" fillId="4" fontId="7" numFmtId="0" xfId="0" applyAlignment="1" applyFill="1" applyFont="1">
      <alignment vertical="center"/>
    </xf>
    <xf borderId="0" fillId="0" fontId="3" numFmtId="0" xfId="0" applyFont="1"/>
    <xf borderId="0" fillId="0" fontId="8" numFmtId="0" xfId="0" applyAlignment="1" applyFont="1">
      <alignment vertical="center"/>
    </xf>
    <xf borderId="1" fillId="5" fontId="9" numFmtId="0" xfId="0" applyAlignment="1" applyBorder="1" applyFill="1" applyFont="1">
      <alignment vertical="center"/>
    </xf>
    <xf borderId="0" fillId="0" fontId="2" numFmtId="0" xfId="0" applyAlignment="1" applyFont="1">
      <alignment vertical="center"/>
    </xf>
    <xf borderId="2" fillId="6" fontId="5" numFmtId="164" xfId="0" applyAlignment="1" applyBorder="1" applyFill="1" applyFont="1" applyNumberFormat="1">
      <alignment vertical="center"/>
    </xf>
    <xf borderId="1" fillId="5" fontId="9" numFmtId="165" xfId="0" applyAlignment="1" applyBorder="1" applyFill="1" applyFont="1" applyNumberFormat="1">
      <alignment vertical="center"/>
    </xf>
    <xf borderId="1" fillId="6" fontId="5" numFmtId="0" xfId="0" applyAlignment="1" applyBorder="1" applyFill="1" applyFont="1">
      <alignment vertical="center"/>
    </xf>
    <xf borderId="0" fillId="0" fontId="10" numFmtId="0" xfId="0" applyAlignment="1" applyFont="1">
      <alignment horizontal="center" shrinkToFit="0" vertical="center" wrapText="1"/>
    </xf>
    <xf borderId="3" fillId="7" fontId="11" numFmtId="0" xfId="0" applyAlignment="1" applyBorder="1" applyFill="1" applyFont="1">
      <alignment horizontal="center" shrinkToFit="0" vertical="center" wrapText="1"/>
    </xf>
    <xf borderId="1" fillId="6" fontId="5" numFmtId="166" xfId="0" applyAlignment="1" applyBorder="1" applyFill="1" applyFont="1" applyNumberFormat="1">
      <alignment vertical="center"/>
    </xf>
    <xf borderId="4" fillId="3" fontId="12" numFmtId="0" xfId="0" applyAlignment="1" applyBorder="1" applyFill="1" applyFont="1">
      <alignment horizontal="center" vertical="center"/>
    </xf>
    <xf borderId="1" fillId="5" fontId="9" numFmtId="18" xfId="0" applyAlignment="1" applyBorder="1" applyFill="1" applyFont="1" applyNumberFormat="1">
      <alignment vertical="center"/>
    </xf>
    <xf borderId="5" fillId="0" fontId="13" numFmtId="0" xfId="0" applyBorder="1" applyFont="1"/>
    <xf borderId="6" fillId="0" fontId="13" numFmtId="0" xfId="0" applyBorder="1" applyFont="1"/>
    <xf borderId="1" fillId="0" fontId="14" numFmtId="0" xfId="0" applyAlignment="1" applyBorder="1" applyFont="1">
      <alignment horizontal="center" vertical="center"/>
    </xf>
    <xf borderId="1" fillId="0" fontId="1" numFmtId="165" xfId="0" applyAlignment="1" applyBorder="1" applyFont="1" applyNumberFormat="1">
      <alignment vertical="center"/>
    </xf>
    <xf borderId="1" fillId="0" fontId="9" numFmtId="0" xfId="0" applyAlignment="1" applyBorder="1" applyFont="1">
      <alignment horizontal="center" vertical="center"/>
    </xf>
    <xf borderId="7" fillId="8" fontId="15" numFmtId="3" xfId="0" applyAlignment="1" applyBorder="1" applyFill="1" applyFont="1" applyNumberFormat="1">
      <alignment horizontal="center" vertical="center"/>
    </xf>
    <xf borderId="8" fillId="0" fontId="13" numFmtId="0" xfId="0" applyBorder="1" applyFont="1"/>
    <xf borderId="9" fillId="0" fontId="13" numFmtId="0" xfId="0" applyBorder="1" applyFont="1"/>
    <xf borderId="0" fillId="0" fontId="11" numFmtId="0" xfId="0" applyAlignment="1" applyFont="1">
      <alignment horizontal="center" shrinkToFit="0" vertical="center" wrapText="1"/>
    </xf>
    <xf borderId="7" fillId="8" fontId="15" numFmtId="164" xfId="0" applyAlignment="1" applyBorder="1" applyFill="1" applyFont="1" applyNumberFormat="1">
      <alignment horizontal="center" vertical="center"/>
    </xf>
    <xf borderId="1" fillId="0" fontId="16" numFmtId="0" xfId="0" applyAlignment="1" applyBorder="1" applyFont="1">
      <alignment vertical="center"/>
    </xf>
    <xf borderId="1" fillId="0" fontId="1" numFmtId="0" xfId="0" applyAlignment="1" applyBorder="1" applyFont="1">
      <alignment vertical="center"/>
    </xf>
    <xf borderId="1" fillId="0" fontId="17" numFmtId="0" xfId="0" applyAlignment="1" applyBorder="1" applyFont="1">
      <alignment vertical="center"/>
    </xf>
    <xf borderId="1" fillId="0" fontId="18" numFmtId="164" xfId="0" applyAlignment="1" applyBorder="1" applyFont="1" applyNumberFormat="1">
      <alignment readingOrder="0" vertical="center"/>
    </xf>
    <xf borderId="1" fillId="5" fontId="9" numFmtId="167" xfId="0" applyAlignment="1" applyBorder="1" applyFill="1" applyFont="1" applyNumberFormat="1">
      <alignment vertical="center"/>
    </xf>
    <xf borderId="1" fillId="0" fontId="1" numFmtId="0" xfId="0" applyAlignment="1" applyBorder="1" applyFont="1">
      <alignment readingOrder="0" vertical="center"/>
    </xf>
    <xf borderId="1" fillId="5" fontId="9" numFmtId="168" xfId="0" applyAlignment="1" applyBorder="1" applyFill="1" applyFont="1" applyNumberFormat="1">
      <alignment readingOrder="0" vertical="center"/>
    </xf>
    <xf borderId="1" fillId="0" fontId="18" numFmtId="164" xfId="0" applyAlignment="1" applyBorder="1" applyFont="1" applyNumberFormat="1">
      <alignment vertical="center"/>
    </xf>
    <xf borderId="1" fillId="6" fontId="5" numFmtId="169" xfId="0" applyAlignment="1" applyBorder="1" applyFill="1" applyFont="1" applyNumberFormat="1">
      <alignment vertical="center"/>
    </xf>
    <xf borderId="0" fillId="0" fontId="19" numFmtId="0" xfId="0" applyAlignment="1" applyFont="1">
      <alignment vertical="center"/>
    </xf>
    <xf borderId="1" fillId="0" fontId="1" numFmtId="164" xfId="0" applyAlignment="1" applyBorder="1" applyFont="1" applyNumberFormat="1">
      <alignment vertical="center"/>
    </xf>
    <xf borderId="1" fillId="0" fontId="1" numFmtId="165" xfId="0" applyAlignment="1" applyBorder="1" applyFont="1" applyNumberFormat="1">
      <alignment readingOrder="0" vertical="center"/>
    </xf>
    <xf borderId="1" fillId="6" fontId="8" numFmtId="164" xfId="0" applyAlignment="1" applyBorder="1" applyFill="1" applyFont="1" applyNumberFormat="1">
      <alignment vertical="center"/>
    </xf>
    <xf borderId="0" fillId="0" fontId="17" numFmtId="0" xfId="0" applyAlignment="1" applyFont="1">
      <alignment vertical="center"/>
    </xf>
    <xf borderId="1" fillId="6" fontId="5" numFmtId="164" xfId="0" applyAlignment="1" applyBorder="1" applyFill="1" applyFont="1" applyNumberFormat="1">
      <alignment vertical="center"/>
    </xf>
    <xf borderId="7" fillId="8" fontId="15" numFmtId="168" xfId="0" applyAlignment="1" applyBorder="1" applyFill="1" applyFont="1" applyNumberFormat="1">
      <alignment horizontal="center" vertical="center"/>
    </xf>
    <xf borderId="1" fillId="6" fontId="8" numFmtId="168" xfId="0" applyAlignment="1" applyBorder="1" applyFill="1" applyFont="1" applyNumberFormat="1">
      <alignment vertical="center"/>
    </xf>
    <xf borderId="10" fillId="7" fontId="11" numFmtId="0" xfId="0" applyAlignment="1" applyBorder="1" applyFill="1" applyFont="1">
      <alignment horizontal="center" shrinkToFit="0" vertical="center" wrapText="1"/>
    </xf>
    <xf borderId="11" fillId="0" fontId="13" numFmtId="0" xfId="0" applyBorder="1" applyFont="1"/>
    <xf borderId="12" fillId="0" fontId="1" numFmtId="164" xfId="0" applyAlignment="1" applyBorder="1" applyFont="1" applyNumberFormat="1">
      <alignment horizontal="center" vertical="center"/>
    </xf>
    <xf borderId="13" fillId="0" fontId="13" numFmtId="0" xfId="0" applyBorder="1" applyFont="1"/>
    <xf borderId="0" fillId="0" fontId="1" numFmtId="0" xfId="0" applyAlignment="1" applyFont="1">
      <alignment shrinkToFit="0" vertical="top" wrapText="1"/>
    </xf>
    <xf borderId="12" fillId="0" fontId="1" numFmtId="164" xfId="0" applyAlignment="1" applyBorder="1" applyFont="1" applyNumberFormat="1">
      <alignment horizontal="right" vertical="center"/>
    </xf>
    <xf borderId="1" fillId="0" fontId="1" numFmtId="170" xfId="0" applyAlignment="1" applyBorder="1" applyFont="1" applyNumberFormat="1">
      <alignment vertical="center"/>
    </xf>
    <xf borderId="1" fillId="0" fontId="1" numFmtId="18" xfId="0" applyAlignment="1" applyBorder="1" applyFont="1" applyNumberFormat="1">
      <alignment vertical="center"/>
    </xf>
    <xf borderId="1" fillId="0" fontId="1" numFmtId="164" xfId="0" applyAlignment="1" applyBorder="1" applyFont="1" applyNumberFormat="1">
      <alignment readingOrder="0" vertical="center"/>
    </xf>
    <xf borderId="1" fillId="0" fontId="1" numFmtId="171" xfId="0" applyAlignment="1" applyBorder="1" applyFont="1" applyNumberFormat="1">
      <alignment readingOrder="0" vertical="center"/>
    </xf>
    <xf borderId="12" fillId="6" fontId="5" numFmtId="164" xfId="0" applyAlignment="1" applyBorder="1" applyFill="1" applyFont="1" applyNumberFormat="1">
      <alignment horizontal="center" vertical="center"/>
    </xf>
    <xf borderId="12" fillId="6" fontId="5" numFmtId="164" xfId="0" applyAlignment="1" applyBorder="1" applyFill="1" applyFont="1" applyNumberFormat="1">
      <alignment horizontal="right" vertical="center"/>
    </xf>
    <xf borderId="1" fillId="0" fontId="1" numFmtId="0" xfId="0" applyAlignment="1" applyBorder="1" applyFont="1">
      <alignment horizontal="center" vertical="center"/>
    </xf>
    <xf borderId="0" fillId="4" fontId="7" numFmtId="0" xfId="0" applyAlignment="1" applyFill="1" applyFont="1">
      <alignment horizontal="center" vertical="center"/>
    </xf>
    <xf borderId="3" fillId="7" fontId="11" numFmtId="0" xfId="0" applyAlignment="1" applyBorder="1" applyFill="1" applyFont="1">
      <alignment vertical="center"/>
    </xf>
    <xf borderId="14" fillId="0" fontId="13" numFmtId="0" xfId="0" applyBorder="1" applyFont="1"/>
    <xf borderId="12" fillId="0" fontId="1" numFmtId="3" xfId="0" applyAlignment="1" applyBorder="1" applyFont="1" applyNumberFormat="1">
      <alignment vertical="center"/>
    </xf>
    <xf borderId="12" fillId="0" fontId="8" numFmtId="168" xfId="0" applyAlignment="1" applyBorder="1" applyFont="1" applyNumberFormat="1">
      <alignment vertical="center"/>
    </xf>
    <xf borderId="12" fillId="0" fontId="16" numFmtId="168" xfId="0" applyAlignment="1" applyBorder="1" applyFont="1" applyNumberFormat="1">
      <alignment horizontal="center" vertical="center"/>
    </xf>
    <xf borderId="15" fillId="0" fontId="13" numFmtId="0" xfId="0" applyBorder="1" applyFont="1"/>
    <xf borderId="1" fillId="0" fontId="8" numFmtId="172" xfId="0" applyAlignment="1" applyBorder="1" applyFont="1" applyNumberFormat="1">
      <alignment vertical="center"/>
    </xf>
    <xf borderId="12" fillId="0" fontId="8" numFmtId="0" xfId="0" applyAlignment="1" applyBorder="1" applyFont="1">
      <alignment vertical="center"/>
    </xf>
    <xf borderId="12" fillId="0" fontId="1" numFmtId="0" xfId="0" applyAlignment="1" applyBorder="1" applyFont="1">
      <alignment horizontal="left" vertical="center"/>
    </xf>
    <xf borderId="12" fillId="0" fontId="5" numFmtId="0" xfId="0" applyAlignment="1" applyBorder="1" applyFont="1">
      <alignment vertical="center"/>
    </xf>
    <xf borderId="0" fillId="2" fontId="2" numFmtId="0" xfId="0" applyFill="1" applyFont="1"/>
    <xf borderId="0" fillId="0" fontId="10" numFmtId="0" xfId="0" applyFont="1"/>
    <xf borderId="3" fillId="7" fontId="11" numFmtId="0" xfId="0" applyBorder="1" applyFill="1" applyFont="1"/>
    <xf borderId="1" fillId="0" fontId="4" numFmtId="0" xfId="0" applyBorder="1" applyFont="1"/>
    <xf borderId="0" fillId="0" fontId="5" numFmtId="0" xfId="0" applyFont="1"/>
    <xf borderId="0" fillId="4" fontId="7" numFmtId="0" xfId="0" applyFill="1" applyFont="1"/>
    <xf borderId="0" fillId="4" fontId="7" numFmtId="0" xfId="0" applyAlignment="1" applyFill="1" applyFont="1">
      <alignment horizontal="right" vertical="center"/>
    </xf>
    <xf borderId="1" fillId="6" fontId="4" numFmtId="0" xfId="0" applyBorder="1" applyFill="1" applyFont="1"/>
    <xf borderId="1" fillId="5" fontId="9" numFmtId="0" xfId="0" applyAlignment="1" applyBorder="1" applyFill="1" applyFont="1">
      <alignment horizontal="center" vertical="center"/>
    </xf>
    <xf borderId="1" fillId="5" fontId="9" numFmtId="164" xfId="0" applyAlignment="1" applyBorder="1" applyFill="1" applyFont="1" applyNumberFormat="1">
      <alignment horizontal="center" vertical="center"/>
    </xf>
    <xf borderId="1" fillId="5" fontId="9" numFmtId="173" xfId="0" applyAlignment="1" applyBorder="1" applyFill="1" applyFont="1" applyNumberFormat="1">
      <alignment horizontal="center" vertical="center"/>
    </xf>
    <xf borderId="0" fillId="0" fontId="6" numFmtId="0" xfId="0" applyFont="1"/>
    <xf borderId="0" fillId="3" fontId="6" numFmtId="0" xfId="0" applyFill="1" applyFont="1"/>
    <xf borderId="1" fillId="0" fontId="16" numFmtId="0" xfId="0" applyAlignment="1" applyBorder="1" applyFont="1">
      <alignment horizontal="center" vertical="center"/>
    </xf>
    <xf borderId="1" fillId="9" fontId="20" numFmtId="0" xfId="0" applyAlignment="1" applyBorder="1" applyFill="1" applyFont="1">
      <alignment horizontal="center" vertical="center"/>
    </xf>
    <xf borderId="1" fillId="0" fontId="1" numFmtId="0" xfId="0" applyAlignment="1" applyBorder="1" applyFont="1">
      <alignment shrinkToFit="0" vertical="top" wrapText="1"/>
    </xf>
    <xf borderId="1" fillId="0" fontId="3" numFmtId="0" xfId="0" applyAlignment="1" applyBorder="1" applyFont="1">
      <alignment shrinkToFit="0" vertical="top" wrapText="1"/>
    </xf>
    <xf borderId="1" fillId="10" fontId="21" numFmtId="0" xfId="0" applyAlignment="1" applyBorder="1" applyFill="1" applyFont="1">
      <alignment horizontal="center" vertical="center"/>
    </xf>
    <xf borderId="1" fillId="11" fontId="22" numFmtId="0" xfId="0" applyAlignment="1" applyBorder="1" applyFill="1" applyFont="1">
      <alignment horizontal="center" vertical="center"/>
    </xf>
    <xf borderId="1" fillId="12" fontId="23" numFmtId="0" xfId="0" applyAlignment="1" applyBorder="1" applyFill="1" applyFont="1">
      <alignment horizontal="center" vertical="center"/>
    </xf>
    <xf borderId="1" fillId="13" fontId="4" numFmtId="0" xfId="0" applyBorder="1" applyFill="1" applyFont="1"/>
    <xf borderId="1" fillId="13" fontId="5" numFmtId="0" xfId="0" applyAlignment="1" applyBorder="1" applyFill="1" applyFont="1">
      <alignment vertical="center"/>
    </xf>
    <xf borderId="1" fillId="13" fontId="3" numFmtId="0" xfId="0" applyAlignment="1" applyBorder="1" applyFill="1" applyFont="1">
      <alignment vertical="center"/>
    </xf>
    <xf borderId="1" fillId="13" fontId="5" numFmtId="0" xfId="0" applyAlignment="1" applyBorder="1" applyFill="1" applyFont="1">
      <alignment horizontal="center" vertical="center"/>
    </xf>
    <xf borderId="1" fillId="13" fontId="5" numFmtId="164" xfId="0" applyAlignment="1" applyBorder="1" applyFill="1" applyFont="1" applyNumberFormat="1">
      <alignment horizontal="center" vertical="center"/>
    </xf>
    <xf borderId="1" fillId="5" fontId="9" numFmtId="0" xfId="0" applyAlignment="1" applyBorder="1" applyFill="1" applyFont="1">
      <alignment horizontal="center" readingOrder="0" vertical="center"/>
    </xf>
    <xf borderId="2" fillId="6" fontId="5" numFmtId="0" xfId="0" applyAlignment="1" applyBorder="1" applyFill="1" applyFont="1">
      <alignment vertical="center"/>
    </xf>
    <xf borderId="0" fillId="3" fontId="6" numFmtId="165" xfId="0" applyAlignment="1" applyFill="1" applyFont="1" applyNumberFormat="1">
      <alignment vertical="center"/>
    </xf>
    <xf borderId="0" fillId="3" fontId="6" numFmtId="0" xfId="0" applyAlignment="1" applyFill="1" applyFont="1">
      <alignment horizontal="center" vertical="center"/>
    </xf>
    <xf borderId="1" fillId="0" fontId="1" numFmtId="174" xfId="0" applyAlignment="1" applyBorder="1" applyFont="1" applyNumberFormat="1">
      <alignment vertical="center"/>
    </xf>
    <xf borderId="2" fillId="6" fontId="5" numFmtId="169" xfId="0" applyAlignment="1" applyBorder="1" applyFill="1" applyFont="1" applyNumberFormat="1">
      <alignment vertical="center"/>
    </xf>
    <xf borderId="1" fillId="0" fontId="18" numFmtId="169" xfId="0" applyAlignment="1" applyBorder="1" applyFont="1" applyNumberFormat="1">
      <alignment vertical="center"/>
    </xf>
    <xf borderId="1" fillId="0" fontId="1" numFmtId="169" xfId="0" applyAlignment="1" applyBorder="1" applyFont="1" applyNumberFormat="1">
      <alignment vertical="center"/>
    </xf>
    <xf borderId="1" fillId="6" fontId="5" numFmtId="168" xfId="0" applyAlignment="1" applyBorder="1" applyFill="1" applyFont="1" applyNumberFormat="1">
      <alignment vertical="center"/>
    </xf>
    <xf borderId="1" fillId="0" fontId="18" numFmtId="0" xfId="0" applyAlignment="1" applyBorder="1" applyFont="1">
      <alignment vertical="center"/>
    </xf>
    <xf borderId="1" fillId="0" fontId="18" numFmtId="164" xfId="0" applyAlignment="1" applyBorder="1" applyFont="1" applyNumberFormat="1">
      <alignment horizontal="center" vertical="center"/>
    </xf>
    <xf borderId="0" fillId="4" fontId="7" numFmtId="164" xfId="0" applyAlignment="1" applyFill="1" applyFont="1" applyNumberFormat="1">
      <alignment vertical="center"/>
    </xf>
    <xf borderId="2" fillId="6" fontId="8" numFmtId="169" xfId="0" applyAlignment="1" applyBorder="1" applyFill="1" applyFont="1" applyNumberFormat="1">
      <alignment vertical="center"/>
    </xf>
    <xf borderId="1" fillId="6" fontId="8" numFmtId="169" xfId="0" applyAlignment="1" applyBorder="1" applyFill="1" applyFont="1" applyNumberFormat="1">
      <alignment vertical="center"/>
    </xf>
    <xf borderId="1" fillId="5" fontId="9" numFmtId="169" xfId="0" applyAlignment="1" applyBorder="1" applyFill="1" applyFont="1" applyNumberFormat="1">
      <alignment vertical="center"/>
    </xf>
    <xf borderId="1" fillId="5" fontId="9" numFmtId="164" xfId="0" applyAlignment="1" applyBorder="1" applyFill="1" applyFont="1" applyNumberFormat="1">
      <alignment vertical="center"/>
    </xf>
    <xf borderId="1" fillId="0" fontId="24" numFmtId="0" xfId="0" applyAlignment="1" applyBorder="1" applyFont="1">
      <alignment vertical="center"/>
    </xf>
    <xf borderId="0" fillId="4" fontId="7" numFmtId="18" xfId="0" applyAlignment="1" applyFill="1" applyFont="1" applyNumberFormat="1">
      <alignment vertical="center"/>
    </xf>
    <xf borderId="3" fillId="7" fontId="11" numFmtId="18" xfId="0" applyAlignment="1" applyBorder="1" applyFill="1" applyFont="1" applyNumberFormat="1">
      <alignment vertical="center"/>
    </xf>
    <xf borderId="1" fillId="0" fontId="25" numFmtId="0" xfId="0" applyAlignment="1" applyBorder="1" applyFont="1">
      <alignment vertical="center"/>
    </xf>
    <xf borderId="1" fillId="0" fontId="8" numFmtId="0" xfId="0" applyAlignment="1" applyBorder="1" applyFont="1">
      <alignment vertical="center"/>
    </xf>
    <xf borderId="12" fillId="5" fontId="9" numFmtId="0" xfId="0" applyAlignment="1" applyBorder="1" applyFill="1" applyFont="1">
      <alignment shrinkToFit="0" vertical="top" wrapText="1"/>
    </xf>
  </cellXfs>
  <cellStyles count="1">
    <cellStyle xfId="0" name="Normal" builtinId="0"/>
  </cellStyles>
  <dxfs count="24">
    <dxf>
      <font>
        <b/>
        <color rgb="FF9B2C2C"/>
      </font>
      <fill>
        <patternFill patternType="solid">
          <fgColor rgb="FFF5DEDE"/>
          <bgColor rgb="FFF5DEDE"/>
        </patternFill>
      </fill>
      <border/>
    </dxf>
    <dxf>
      <font>
        <b/>
        <color rgb="FF2F6B3E"/>
      </font>
      <fill>
        <patternFill patternType="none"/>
      </fill>
      <border/>
    </dxf>
    <dxf>
      <font>
        <b/>
        <color rgb="FF2B2119"/>
      </font>
      <fill>
        <patternFill patternType="solid">
          <fgColor rgb="FFF5DEDE"/>
          <bgColor rgb="FFF5DEDE"/>
        </patternFill>
      </fill>
      <border/>
    </dxf>
    <dxf>
      <font/>
      <fill>
        <patternFill patternType="solid">
          <fgColor rgb="FFDCEAD9"/>
          <bgColor rgb="FFDCEAD9"/>
        </patternFill>
      </fill>
      <border/>
    </dxf>
    <dxf>
      <font>
        <b/>
        <color rgb="FFB5AAA0"/>
      </font>
      <fill>
        <patternFill patternType="none"/>
      </fill>
      <border/>
    </dxf>
    <dxf>
      <font>
        <color rgb="FFB5AAA0"/>
      </font>
      <fill>
        <patternFill patternType="solid">
          <fgColor rgb="FFFFFFFF"/>
          <bgColor rgb="FFFFFFFF"/>
        </patternFill>
      </fill>
      <border/>
    </dxf>
    <dxf>
      <font/>
      <fill>
        <patternFill patternType="solid">
          <fgColor rgb="FFFBEFCF"/>
          <bgColor rgb="FFFBEFCF"/>
        </patternFill>
      </fill>
      <border/>
    </dxf>
    <dxf>
      <font/>
      <fill>
        <patternFill patternType="solid">
          <fgColor rgb="FFEFEBE5"/>
          <bgColor rgb="FFEFEBE5"/>
        </patternFill>
      </fill>
      <border/>
    </dxf>
    <dxf>
      <font>
        <b/>
        <color rgb="FF8A6116"/>
      </font>
      <fill>
        <patternFill patternType="solid">
          <fgColor rgb="FFFBEFCF"/>
          <bgColor rgb="FFFBEFCF"/>
        </patternFill>
      </fill>
      <border/>
    </dxf>
    <dxf>
      <font>
        <b/>
        <color rgb="FF2F6B3E"/>
      </font>
      <fill>
        <patternFill patternType="solid">
          <fgColor rgb="FFDCEAD9"/>
          <bgColor rgb="FFDCEAD9"/>
        </patternFill>
      </fill>
      <border/>
    </dxf>
    <dxf>
      <font>
        <i/>
        <color rgb="FF8A7B6D"/>
      </font>
      <fill>
        <patternFill patternType="none"/>
      </fill>
      <border/>
    </dxf>
    <dxf>
      <font>
        <i/>
        <color rgb="FF9A9089"/>
      </font>
      <fill>
        <patternFill patternType="solid">
          <fgColor rgb="FFE6E1DA"/>
          <bgColor rgb="FFE6E1DA"/>
        </patternFill>
      </fill>
      <border/>
    </dxf>
    <dxf>
      <font>
        <i/>
        <color rgb="FF2B2119"/>
      </font>
      <fill>
        <patternFill patternType="solid">
          <fgColor rgb="FFDCEAD9"/>
          <bgColor rgb="FFDCEAD9"/>
        </patternFill>
      </fill>
      <border/>
    </dxf>
    <dxf>
      <font>
        <i/>
        <color rgb="FF2B2119"/>
      </font>
      <fill>
        <patternFill patternType="none"/>
      </fill>
      <border/>
    </dxf>
    <dxf>
      <font>
        <b/>
        <color rgb="FF2B2119"/>
      </font>
      <fill>
        <patternFill patternType="solid">
          <fgColor rgb="FFFBEFCF"/>
          <bgColor rgb="FFFBEFCF"/>
        </patternFill>
      </fill>
      <border/>
    </dxf>
    <dxf>
      <font>
        <b/>
        <color rgb="FF2B2119"/>
      </font>
      <fill>
        <patternFill patternType="none"/>
      </fill>
      <border/>
    </dxf>
    <dxf>
      <font>
        <b/>
        <color rgb="FF6E1E2E"/>
      </font>
      <fill>
        <patternFill patternType="none"/>
      </fill>
      <border/>
    </dxf>
    <dxf>
      <font/>
      <fill>
        <patternFill patternType="solid">
          <fgColor rgb="FFF4EDF2"/>
          <bgColor rgb="FFF4EDF2"/>
        </patternFill>
      </fill>
      <border/>
    </dxf>
    <dxf>
      <font/>
      <fill>
        <patternFill patternType="solid">
          <fgColor rgb="FFF8EFE3"/>
          <bgColor rgb="FFF8EFE3"/>
        </patternFill>
      </fill>
      <border/>
    </dxf>
    <dxf>
      <font/>
      <fill>
        <patternFill patternType="solid">
          <fgColor rgb="FFE9F0F5"/>
          <bgColor rgb="FFE9F0F5"/>
        </patternFill>
      </fill>
      <border/>
    </dxf>
    <dxf>
      <font/>
      <fill>
        <patternFill patternType="solid">
          <fgColor rgb="FFF3F0E9"/>
          <bgColor rgb="FFF3F0E9"/>
        </patternFill>
      </fill>
      <border/>
    </dxf>
    <dxf>
      <font/>
      <fill>
        <patternFill patternType="solid">
          <fgColor rgb="FFFFFFFF"/>
          <bgColor rgb="FFFFFFFF"/>
        </patternFill>
      </fill>
      <border/>
    </dxf>
    <dxf>
      <font/>
      <fill>
        <patternFill patternType="solid">
          <fgColor rgb="FFE9F2EB"/>
          <bgColor rgb="FFE9F2EB"/>
        </patternFill>
      </fill>
      <border/>
    </dxf>
    <dxf>
      <font>
        <i/>
        <color rgb="FF2F6B3E"/>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7.xml"/><Relationship Id="rId3"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2.xml"/><Relationship Id="rId3"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4.xml"/><Relationship Id="rId3"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2333"/>
    <pageSetUpPr fitToPage="1"/>
  </sheetPr>
  <sheetViews>
    <sheetView showGridLines="0" workbookViewId="0"/>
  </sheetViews>
  <sheetFormatPr customHeight="1" defaultColWidth="14.43" defaultRowHeight="15.0"/>
  <cols>
    <col customWidth="1" min="1" max="1" width="2.0"/>
    <col customWidth="1" min="2" max="2" width="37.57"/>
    <col customWidth="1" min="3" max="3" width="2.0"/>
    <col customWidth="1" min="4" max="4" width="28.14"/>
    <col customWidth="1" min="5" max="5" width="3.0"/>
    <col customWidth="1" min="6" max="6" width="37.57"/>
    <col customWidth="1" min="7" max="7" width="2.0"/>
    <col customWidth="1" min="8" max="8" width="32.0"/>
    <col customWidth="1" min="9" max="9" width="3.0"/>
  </cols>
  <sheetData>
    <row r="1" ht="16.5" customHeight="1">
      <c r="A1" s="1"/>
      <c r="B1" s="1"/>
      <c r="C1" s="1"/>
      <c r="D1" s="1"/>
      <c r="E1" s="1"/>
      <c r="F1" s="1"/>
      <c r="G1" s="1"/>
      <c r="H1" s="1"/>
      <c r="I1" s="1"/>
    </row>
    <row r="2" ht="33.75" customHeight="1">
      <c r="A2" s="2"/>
      <c r="B2" s="2" t="s">
        <v>0</v>
      </c>
      <c r="C2" s="2"/>
      <c r="D2" s="2"/>
      <c r="E2" s="2"/>
      <c r="F2" s="2"/>
      <c r="G2" s="2"/>
      <c r="H2" s="2"/>
      <c r="I2" s="2"/>
    </row>
    <row r="3" ht="15.75" customHeight="1">
      <c r="A3" s="3"/>
      <c r="B3" s="3" t="s">
        <v>1</v>
      </c>
      <c r="C3" s="3"/>
      <c r="D3" s="3"/>
      <c r="E3" s="3"/>
      <c r="F3" s="3"/>
      <c r="G3" s="3"/>
      <c r="H3" s="3"/>
      <c r="I3" s="3"/>
    </row>
    <row r="4" ht="16.5" customHeight="1">
      <c r="A4" s="1"/>
      <c r="B4" s="1"/>
      <c r="C4" s="1"/>
      <c r="D4" s="1"/>
      <c r="E4" s="1"/>
      <c r="F4" s="1"/>
      <c r="G4" s="1"/>
      <c r="H4" s="1"/>
      <c r="I4" s="1"/>
    </row>
    <row r="5" ht="16.5" customHeight="1">
      <c r="A5" s="1"/>
      <c r="B5" s="5" t="s">
        <v>3</v>
      </c>
      <c r="C5" s="1"/>
      <c r="D5" s="1"/>
      <c r="E5" s="1"/>
      <c r="F5" s="1"/>
      <c r="G5" s="1"/>
      <c r="H5" s="1"/>
      <c r="I5" s="1"/>
    </row>
    <row r="6" ht="15.0" customHeight="1">
      <c r="A6" s="6"/>
      <c r="B6" s="6" t="s">
        <v>5</v>
      </c>
      <c r="I6" s="6"/>
    </row>
    <row r="7" ht="15.0" customHeight="1">
      <c r="A7" s="6"/>
      <c r="B7" s="6" t="s">
        <v>7</v>
      </c>
      <c r="I7" s="6"/>
    </row>
    <row r="8" ht="15.0" customHeight="1">
      <c r="A8" s="6"/>
      <c r="B8" s="6" t="s">
        <v>8</v>
      </c>
      <c r="I8" s="6"/>
    </row>
    <row r="9" ht="15.0" customHeight="1">
      <c r="A9" s="6"/>
      <c r="B9" s="6" t="s">
        <v>9</v>
      </c>
      <c r="I9" s="6"/>
    </row>
    <row r="10" ht="15.0" customHeight="1">
      <c r="A10" s="6"/>
      <c r="B10" s="6" t="s">
        <v>10</v>
      </c>
      <c r="I10" s="6"/>
    </row>
    <row r="11" ht="16.5" customHeight="1">
      <c r="A11" s="1"/>
      <c r="B11" s="1"/>
      <c r="C11" s="1"/>
      <c r="D11" s="1"/>
      <c r="E11" s="1"/>
      <c r="F11" s="1"/>
      <c r="G11" s="1"/>
      <c r="H11" s="1"/>
      <c r="I11" s="1"/>
    </row>
    <row r="12" ht="16.5" customHeight="1">
      <c r="A12" s="1"/>
      <c r="B12" s="1"/>
      <c r="C12" s="1"/>
      <c r="D12" s="1"/>
      <c r="E12" s="1"/>
      <c r="F12" s="1"/>
      <c r="G12" s="1"/>
      <c r="H12" s="1"/>
      <c r="I12" s="1"/>
    </row>
    <row r="13" ht="21.75" customHeight="1">
      <c r="A13" s="5"/>
      <c r="B13" s="8" t="s">
        <v>12</v>
      </c>
      <c r="C13" s="8"/>
      <c r="D13" s="8"/>
      <c r="E13" s="8"/>
      <c r="F13" s="8"/>
      <c r="G13" s="8"/>
      <c r="H13" s="8"/>
      <c r="I13" s="5"/>
    </row>
    <row r="14" ht="16.5" customHeight="1">
      <c r="A14" s="1"/>
      <c r="B14" s="10" t="s">
        <v>15</v>
      </c>
      <c r="C14" s="1"/>
      <c r="D14" s="11" t="s">
        <v>16</v>
      </c>
      <c r="E14" s="1"/>
      <c r="F14" s="10" t="s">
        <v>17</v>
      </c>
      <c r="G14" s="1"/>
      <c r="H14" s="11" t="s">
        <v>18</v>
      </c>
      <c r="I14" s="1"/>
    </row>
    <row r="15" ht="16.5" customHeight="1">
      <c r="A15" s="1"/>
      <c r="B15" s="10" t="s">
        <v>19</v>
      </c>
      <c r="C15" s="1"/>
      <c r="D15" s="14">
        <v>46633.0</v>
      </c>
      <c r="E15" s="1"/>
      <c r="F15" s="10" t="s">
        <v>20</v>
      </c>
      <c r="G15" s="1"/>
      <c r="H15" s="15" t="str">
        <f>TEXT(WeddingDate,"dddd")</f>
        <v>Friday</v>
      </c>
      <c r="I15" s="1"/>
    </row>
    <row r="16" ht="16.5" customHeight="1">
      <c r="A16" s="1"/>
      <c r="B16" s="10" t="s">
        <v>23</v>
      </c>
      <c r="C16" s="1"/>
      <c r="D16" s="18">
        <f>WeddingDate-TODAY()</f>
        <v>365</v>
      </c>
      <c r="E16" s="1"/>
      <c r="F16" s="10" t="s">
        <v>32</v>
      </c>
      <c r="G16" s="1"/>
      <c r="H16" s="11" t="s">
        <v>35</v>
      </c>
      <c r="I16" s="1"/>
    </row>
    <row r="17" ht="16.5" customHeight="1">
      <c r="A17" s="1"/>
      <c r="B17" s="10" t="s">
        <v>38</v>
      </c>
      <c r="C17" s="1"/>
      <c r="D17" s="20">
        <v>0.4166666666666667</v>
      </c>
      <c r="E17" s="1"/>
      <c r="F17" s="10" t="s">
        <v>44</v>
      </c>
      <c r="G17" s="1"/>
      <c r="H17" s="20">
        <v>0.375</v>
      </c>
      <c r="I17" s="1"/>
    </row>
    <row r="18" ht="16.5" customHeight="1">
      <c r="A18" s="1"/>
      <c r="B18" s="10" t="s">
        <v>49</v>
      </c>
      <c r="C18" s="1"/>
      <c r="D18" s="20">
        <v>0.3958333333333333</v>
      </c>
      <c r="E18" s="1"/>
      <c r="F18" s="10" t="s">
        <v>52</v>
      </c>
      <c r="G18" s="1"/>
      <c r="H18" s="20">
        <v>0.6666666666666666</v>
      </c>
      <c r="I18" s="1"/>
    </row>
    <row r="19" ht="16.5" customHeight="1">
      <c r="A19" s="1"/>
      <c r="B19" s="10" t="s">
        <v>54</v>
      </c>
      <c r="C19" s="1"/>
      <c r="D19" s="11" t="s">
        <v>56</v>
      </c>
      <c r="E19" s="1"/>
      <c r="F19" s="10" t="s">
        <v>59</v>
      </c>
      <c r="G19" s="1"/>
      <c r="H19" s="11" t="s">
        <v>61</v>
      </c>
      <c r="I19" s="1"/>
    </row>
    <row r="20" ht="16.5" customHeight="1">
      <c r="A20" s="1"/>
      <c r="B20" s="10" t="s">
        <v>63</v>
      </c>
      <c r="C20" s="1"/>
      <c r="D20" s="11" t="s">
        <v>65</v>
      </c>
      <c r="E20" s="1"/>
      <c r="F20" s="10" t="s">
        <v>67</v>
      </c>
      <c r="G20" s="1"/>
      <c r="H20" s="11" t="s">
        <v>70</v>
      </c>
      <c r="I20" s="1"/>
    </row>
    <row r="21" ht="16.5" customHeight="1">
      <c r="A21" s="1"/>
      <c r="B21" s="10" t="s">
        <v>74</v>
      </c>
      <c r="C21" s="1"/>
      <c r="D21" s="11" t="s">
        <v>76</v>
      </c>
      <c r="E21" s="1"/>
      <c r="F21" s="10" t="s">
        <v>78</v>
      </c>
      <c r="G21" s="1"/>
      <c r="H21" s="11" t="s">
        <v>79</v>
      </c>
      <c r="I21" s="1"/>
    </row>
    <row r="22" ht="16.5" customHeight="1">
      <c r="A22" s="1"/>
      <c r="B22" s="10" t="s">
        <v>80</v>
      </c>
      <c r="C22" s="1"/>
      <c r="D22" s="11" t="s">
        <v>82</v>
      </c>
      <c r="E22" s="1"/>
      <c r="F22" s="10" t="s">
        <v>84</v>
      </c>
      <c r="G22" s="1"/>
      <c r="H22" s="11" t="s">
        <v>85</v>
      </c>
      <c r="I22" s="1"/>
    </row>
    <row r="23" ht="16.5" customHeight="1">
      <c r="A23" s="1"/>
      <c r="B23" s="10" t="s">
        <v>87</v>
      </c>
      <c r="C23" s="1"/>
      <c r="D23" s="11" t="s">
        <v>76</v>
      </c>
      <c r="E23" s="1"/>
      <c r="F23" s="10" t="s">
        <v>89</v>
      </c>
      <c r="G23" s="1"/>
      <c r="H23" s="11" t="s">
        <v>79</v>
      </c>
      <c r="I23" s="1"/>
    </row>
    <row r="24" ht="16.5" customHeight="1">
      <c r="A24" s="1"/>
      <c r="B24" s="10" t="s">
        <v>90</v>
      </c>
      <c r="C24" s="1"/>
      <c r="D24" s="11" t="s">
        <v>76</v>
      </c>
      <c r="E24" s="1"/>
      <c r="F24" s="10" t="s">
        <v>92</v>
      </c>
      <c r="G24" s="1"/>
      <c r="H24" s="11" t="s">
        <v>79</v>
      </c>
      <c r="I24" s="1"/>
    </row>
    <row r="25" ht="16.5" customHeight="1">
      <c r="A25" s="1"/>
      <c r="B25" s="1"/>
      <c r="C25" s="1"/>
      <c r="D25" s="1"/>
      <c r="E25" s="1"/>
      <c r="F25" s="1"/>
      <c r="G25" s="1"/>
      <c r="H25" s="1"/>
      <c r="I25" s="1"/>
    </row>
    <row r="26" ht="21.75" customHeight="1">
      <c r="A26" s="5"/>
      <c r="B26" s="8" t="s">
        <v>95</v>
      </c>
      <c r="C26" s="8"/>
      <c r="D26" s="8"/>
      <c r="E26" s="8"/>
      <c r="F26" s="8"/>
      <c r="G26" s="8"/>
      <c r="H26" s="8"/>
      <c r="I26" s="5"/>
    </row>
    <row r="27" ht="16.5" customHeight="1">
      <c r="A27" s="1"/>
      <c r="B27" s="10" t="s">
        <v>96</v>
      </c>
      <c r="C27" s="1"/>
      <c r="D27" s="35">
        <v>4000000.0</v>
      </c>
      <c r="E27" s="1"/>
      <c r="F27" s="10" t="s">
        <v>98</v>
      </c>
      <c r="G27" s="1"/>
      <c r="H27" s="37">
        <v>0.01</v>
      </c>
      <c r="I27" s="1"/>
    </row>
    <row r="28" ht="16.5" customHeight="1">
      <c r="A28" s="1"/>
      <c r="B28" s="10" t="s">
        <v>99</v>
      </c>
      <c r="C28" s="1"/>
      <c r="D28" s="39">
        <f>SUM('09 Guests'!K7:K300)</f>
        <v>156</v>
      </c>
      <c r="E28" s="1"/>
      <c r="F28" s="10" t="s">
        <v>100</v>
      </c>
      <c r="G28" s="1"/>
      <c r="H28" s="39">
        <f>SUM('09 Guests'!Y7:Y300)</f>
        <v>0</v>
      </c>
      <c r="I28" s="1"/>
    </row>
    <row r="29" ht="16.5" customHeight="1">
      <c r="A29" s="1"/>
      <c r="B29" s="40" t="s">
        <v>102</v>
      </c>
      <c r="C29" s="1"/>
      <c r="D29" s="1"/>
      <c r="E29" s="1"/>
      <c r="F29" s="1"/>
      <c r="G29" s="1"/>
      <c r="H29" s="1"/>
      <c r="I29" s="1"/>
    </row>
    <row r="30" ht="16.5" customHeight="1">
      <c r="A30" s="1"/>
      <c r="B30" s="10" t="s">
        <v>104</v>
      </c>
      <c r="C30" s="1"/>
      <c r="D30" s="43">
        <f>SUM('03 Budget'!E7:E300)</f>
        <v>7318000</v>
      </c>
      <c r="E30" s="1"/>
      <c r="F30" s="10" t="s">
        <v>108</v>
      </c>
      <c r="G30" s="1"/>
      <c r="H30" s="43">
        <f>SUM('03 Budget'!I7:I300)</f>
        <v>896000</v>
      </c>
      <c r="I30" s="1"/>
    </row>
    <row r="31" ht="16.5" customHeight="1">
      <c r="A31" s="1"/>
      <c r="B31" s="10" t="s">
        <v>113</v>
      </c>
      <c r="C31" s="1"/>
      <c r="D31" s="43">
        <f>SUM('03 Budget'!J7:J300)</f>
        <v>0</v>
      </c>
      <c r="E31" s="1"/>
      <c r="F31" s="10" t="s">
        <v>116</v>
      </c>
      <c r="G31" s="1"/>
      <c r="H31" s="43">
        <f>SUM('03 Budget'!K7:K300)</f>
        <v>896000</v>
      </c>
      <c r="I31" s="1"/>
    </row>
    <row r="32" ht="16.5" customHeight="1">
      <c r="A32" s="1"/>
      <c r="B32" s="10" t="s">
        <v>51</v>
      </c>
      <c r="C32" s="1"/>
      <c r="D32" s="45">
        <f>SUM('03 Budget'!L7:L300)</f>
        <v>4702500</v>
      </c>
      <c r="E32" s="1"/>
      <c r="F32" s="10" t="s">
        <v>119</v>
      </c>
      <c r="G32" s="1"/>
      <c r="H32" s="45">
        <f>SUM('03 Budget'!M7:M300)</f>
        <v>896000</v>
      </c>
      <c r="I32" s="1"/>
    </row>
    <row r="33" ht="16.5" customHeight="1">
      <c r="A33" s="1"/>
      <c r="B33" s="10" t="s">
        <v>122</v>
      </c>
      <c r="C33" s="1"/>
      <c r="D33" s="43">
        <f>SUM('03 Budget'!N7:N300)</f>
        <v>3806500</v>
      </c>
      <c r="E33" s="1"/>
      <c r="F33" s="10" t="s">
        <v>123</v>
      </c>
      <c r="G33" s="1"/>
      <c r="H33" s="43">
        <f>SUM('03 Budget'!O7:O300)</f>
        <v>0</v>
      </c>
      <c r="I33" s="1"/>
    </row>
    <row r="34" ht="16.5" customHeight="1">
      <c r="A34" s="1"/>
      <c r="B34" s="10" t="s">
        <v>124</v>
      </c>
      <c r="C34" s="1"/>
      <c r="D34" s="43">
        <f>TotalBudget-SUM('03 Budget'!L7:L300)</f>
        <v>-702500</v>
      </c>
      <c r="E34" s="1"/>
      <c r="F34" s="10" t="s">
        <v>125</v>
      </c>
      <c r="G34" s="1"/>
      <c r="H34" s="47">
        <f>IFERROR(SUM('03 Budget'!L7:L300)/TotalBudget,0)</f>
        <v>1.175625</v>
      </c>
      <c r="I34" s="1"/>
    </row>
    <row r="35" ht="16.5" customHeight="1">
      <c r="A35" s="1"/>
      <c r="B35" s="1"/>
      <c r="C35" s="1"/>
      <c r="D35" s="1"/>
      <c r="E35" s="1"/>
      <c r="F35" s="1"/>
      <c r="G35" s="1"/>
      <c r="H35" s="1"/>
      <c r="I35" s="1"/>
    </row>
    <row r="36" ht="21.75" customHeight="1">
      <c r="A36" s="5"/>
      <c r="B36" s="8" t="s">
        <v>131</v>
      </c>
      <c r="C36" s="8"/>
      <c r="D36" s="8"/>
      <c r="E36" s="8"/>
      <c r="F36" s="8"/>
      <c r="G36" s="8"/>
      <c r="H36" s="8"/>
      <c r="I36" s="5"/>
    </row>
    <row r="37" ht="16.5" customHeight="1">
      <c r="A37" s="1"/>
      <c r="B37" s="10" t="s">
        <v>132</v>
      </c>
      <c r="C37" s="1"/>
      <c r="D37" s="43">
        <f>SUM('06 Contributions'!G7:G60)</f>
        <v>0</v>
      </c>
      <c r="E37" s="1"/>
      <c r="F37" s="10" t="s">
        <v>133</v>
      </c>
      <c r="G37" s="1"/>
      <c r="H37" s="43">
        <f>SUM('06 Contributions'!H7:H60)</f>
        <v>0</v>
      </c>
      <c r="I37" s="1"/>
    </row>
    <row r="38" ht="16.5" customHeight="1">
      <c r="A38" s="1"/>
      <c r="B38" s="10" t="s">
        <v>134</v>
      </c>
      <c r="C38" s="1"/>
      <c r="D38" s="43">
        <f>SUMIFS('09 Guests'!AE7:AE300,'09 Guests'!U7:U300,"&lt;&gt;Declined")</f>
        <v>605000</v>
      </c>
      <c r="E38" s="1"/>
      <c r="F38" s="10" t="s">
        <v>135</v>
      </c>
      <c r="G38" s="1"/>
      <c r="H38" s="43">
        <f>SUM('09 Guests'!AF7:AF300)</f>
        <v>0</v>
      </c>
      <c r="I38" s="1"/>
    </row>
    <row r="39" ht="16.5" customHeight="1">
      <c r="A39" s="1"/>
      <c r="B39" s="10" t="s">
        <v>138</v>
      </c>
      <c r="C39" s="1"/>
      <c r="D39" s="45">
        <f>D32-D37-D38</f>
        <v>4097500</v>
      </c>
      <c r="E39" s="1"/>
      <c r="F39" s="10" t="s">
        <v>142</v>
      </c>
      <c r="G39" s="1"/>
      <c r="H39" s="45">
        <f>MAX(0,D39-H37-H38)</f>
        <v>4097500</v>
      </c>
      <c r="I39" s="1"/>
    </row>
    <row r="40" ht="16.5" customHeight="1">
      <c r="A40" s="1"/>
      <c r="B40" s="1"/>
      <c r="C40" s="1"/>
      <c r="D40" s="1"/>
      <c r="E40" s="1"/>
      <c r="F40" s="1"/>
      <c r="G40" s="1"/>
      <c r="H40" s="1"/>
      <c r="I40" s="1"/>
    </row>
    <row r="41" ht="21.75" customHeight="1">
      <c r="A41" s="5"/>
      <c r="B41" s="8" t="s">
        <v>143</v>
      </c>
      <c r="C41" s="8"/>
      <c r="D41" s="8"/>
      <c r="E41" s="8"/>
      <c r="F41" s="8"/>
      <c r="G41" s="8"/>
      <c r="H41" s="8"/>
      <c r="I41" s="5"/>
    </row>
    <row r="42" ht="25.5" customHeight="1">
      <c r="A42" s="1"/>
      <c r="B42" s="52" t="s">
        <v>144</v>
      </c>
      <c r="I42" s="1"/>
    </row>
    <row r="43" ht="25.5" customHeight="1">
      <c r="A43" s="1"/>
      <c r="B43" s="52" t="s">
        <v>145</v>
      </c>
      <c r="I43" s="1"/>
    </row>
    <row r="44" ht="25.5" customHeight="1">
      <c r="A44" s="1"/>
      <c r="B44" s="52" t="s">
        <v>146</v>
      </c>
      <c r="I44" s="1"/>
    </row>
    <row r="45" ht="25.5" customHeight="1">
      <c r="A45" s="1"/>
      <c r="B45" s="52" t="s">
        <v>148</v>
      </c>
      <c r="I45" s="1"/>
    </row>
    <row r="46" ht="25.5" customHeight="1">
      <c r="A46" s="1"/>
      <c r="B46" s="52" t="s">
        <v>149</v>
      </c>
      <c r="I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44:H44"/>
    <mergeCell ref="B45:H45"/>
    <mergeCell ref="B46:H46"/>
    <mergeCell ref="B6:H6"/>
    <mergeCell ref="B7:H7"/>
    <mergeCell ref="B8:H8"/>
    <mergeCell ref="B9:H9"/>
    <mergeCell ref="B10:H10"/>
    <mergeCell ref="B42:H42"/>
    <mergeCell ref="B43:H43"/>
  </mergeCells>
  <printOptions/>
  <pageMargins bottom="1.0" footer="0.0" header="0.0" left="0.75" right="0.75" top="1.0"/>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2333"/>
    <pageSetUpPr fitToPage="1"/>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2.0"/>
    <col customWidth="1" min="2" max="2" width="32.0"/>
    <col customWidth="1" min="3" max="3" width="14.57"/>
    <col customWidth="1" min="4" max="4" width="9.71"/>
    <col customWidth="1" min="5" max="7" width="14.57"/>
    <col customWidth="1" min="8" max="8" width="9.71"/>
    <col customWidth="1" min="9" max="9" width="14.57"/>
    <col customWidth="1" min="10" max="10" width="9.71"/>
    <col customWidth="1" min="11" max="12" width="14.57"/>
    <col customWidth="1" min="13" max="14" width="9.71"/>
    <col customWidth="1" min="15" max="15" width="14.57"/>
    <col customWidth="1" min="16" max="17" width="9.71"/>
    <col customWidth="1" min="18" max="18" width="14.57"/>
    <col customWidth="1" min="19" max="20" width="9.71"/>
  </cols>
  <sheetData>
    <row r="1" ht="16.5" customHeight="1">
      <c r="A1" s="1"/>
      <c r="B1" s="1"/>
      <c r="C1" s="1"/>
      <c r="D1" s="1"/>
      <c r="E1" s="1"/>
      <c r="F1" s="1"/>
      <c r="G1" s="1"/>
      <c r="H1" s="1"/>
      <c r="I1" s="1"/>
      <c r="J1" s="1"/>
      <c r="K1" s="1"/>
      <c r="L1" s="1"/>
      <c r="M1" s="1"/>
      <c r="N1" s="1"/>
      <c r="O1" s="1"/>
      <c r="P1" s="1"/>
      <c r="Q1" s="1"/>
      <c r="R1" s="1"/>
      <c r="S1" s="1"/>
      <c r="T1" s="1"/>
    </row>
    <row r="2" ht="33.75" customHeight="1">
      <c r="A2" s="2"/>
      <c r="B2" s="2" t="s">
        <v>14</v>
      </c>
      <c r="C2" s="2"/>
      <c r="D2" s="2"/>
      <c r="E2" s="2"/>
      <c r="F2" s="2"/>
      <c r="G2" s="2"/>
      <c r="H2" s="2"/>
      <c r="I2" s="2"/>
      <c r="J2" s="2"/>
      <c r="K2" s="2"/>
      <c r="L2" s="12"/>
      <c r="M2" s="12"/>
      <c r="N2" s="12"/>
      <c r="O2" s="12"/>
      <c r="P2" s="12"/>
      <c r="Q2" s="12"/>
      <c r="R2" s="12"/>
      <c r="S2" s="12"/>
      <c r="T2" s="12"/>
    </row>
    <row r="3" ht="15.75" customHeight="1">
      <c r="A3" s="3"/>
      <c r="B3" s="3" t="s">
        <v>21</v>
      </c>
      <c r="C3" s="3"/>
      <c r="D3" s="3"/>
      <c r="E3" s="3"/>
      <c r="F3" s="3"/>
      <c r="G3" s="3"/>
      <c r="H3" s="3"/>
      <c r="I3" s="3"/>
      <c r="J3" s="3"/>
      <c r="K3" s="3"/>
      <c r="L3" s="3"/>
      <c r="M3" s="3"/>
      <c r="N3" s="3"/>
      <c r="O3" s="3"/>
      <c r="P3" s="3"/>
      <c r="Q3" s="3"/>
      <c r="R3" s="3"/>
      <c r="S3" s="3"/>
      <c r="T3" s="3"/>
    </row>
    <row r="4" ht="21.75" customHeight="1">
      <c r="A4" s="5"/>
      <c r="B4" s="8" t="s">
        <v>22</v>
      </c>
      <c r="C4" s="8"/>
      <c r="D4" s="8"/>
      <c r="E4" s="8"/>
      <c r="F4" s="8"/>
      <c r="G4" s="8"/>
      <c r="H4" s="8"/>
      <c r="I4" s="8"/>
      <c r="J4" s="8"/>
      <c r="K4" s="8"/>
      <c r="L4" s="8"/>
      <c r="M4" s="8"/>
      <c r="N4" s="8"/>
      <c r="O4" s="8"/>
      <c r="P4" s="8"/>
      <c r="Q4" s="8"/>
      <c r="R4" s="8"/>
      <c r="S4" s="8"/>
      <c r="T4" s="8"/>
    </row>
    <row r="5" ht="16.5" customHeight="1">
      <c r="A5" s="6"/>
      <c r="B5" s="6"/>
      <c r="C5" s="19" t="s">
        <v>34</v>
      </c>
      <c r="D5" s="21"/>
      <c r="E5" s="22"/>
      <c r="F5" s="19" t="s">
        <v>47</v>
      </c>
      <c r="G5" s="21"/>
      <c r="H5" s="22"/>
      <c r="I5" s="19" t="s">
        <v>51</v>
      </c>
      <c r="J5" s="21"/>
      <c r="K5" s="22"/>
      <c r="L5" s="19" t="s">
        <v>53</v>
      </c>
      <c r="M5" s="21"/>
      <c r="N5" s="22"/>
      <c r="O5" s="19" t="s">
        <v>57</v>
      </c>
      <c r="P5" s="21"/>
      <c r="Q5" s="22"/>
      <c r="R5" s="19" t="s">
        <v>69</v>
      </c>
      <c r="S5" s="21"/>
      <c r="T5" s="22"/>
    </row>
    <row r="6" ht="30.0" customHeight="1">
      <c r="A6" s="1"/>
      <c r="B6" s="1"/>
      <c r="C6" s="26">
        <f>WeddingDate-TODAY()</f>
        <v>365</v>
      </c>
      <c r="D6" s="27"/>
      <c r="E6" s="28"/>
      <c r="F6" s="30">
        <f>TotalBudget</f>
        <v>4000000</v>
      </c>
      <c r="G6" s="27"/>
      <c r="H6" s="28"/>
      <c r="I6" s="30">
        <f>SUM('03 Budget'!L7:L300)</f>
        <v>4702500</v>
      </c>
      <c r="J6" s="27"/>
      <c r="K6" s="28"/>
      <c r="L6" s="30">
        <f>SUM('03 Budget'!M7:M300)</f>
        <v>896000</v>
      </c>
      <c r="M6" s="27"/>
      <c r="N6" s="28"/>
      <c r="O6" s="30">
        <f>SUM('03 Budget'!N7:N300)</f>
        <v>3806500</v>
      </c>
      <c r="P6" s="27"/>
      <c r="Q6" s="28"/>
      <c r="R6" s="30">
        <f>TotalBudget-SUM('03 Budget'!L7:L300)</f>
        <v>-702500</v>
      </c>
      <c r="S6" s="27"/>
      <c r="T6" s="28"/>
    </row>
    <row r="7" ht="16.5" customHeight="1">
      <c r="A7" s="1"/>
      <c r="B7" s="1"/>
      <c r="C7" s="1"/>
      <c r="D7" s="1"/>
      <c r="E7" s="1"/>
      <c r="F7" s="1"/>
      <c r="G7" s="1"/>
      <c r="H7" s="1"/>
      <c r="I7" s="1"/>
      <c r="J7" s="1"/>
      <c r="K7" s="1"/>
      <c r="L7" s="1"/>
      <c r="M7" s="1"/>
      <c r="N7" s="1"/>
      <c r="O7" s="1"/>
      <c r="P7" s="1"/>
      <c r="Q7" s="1"/>
      <c r="R7" s="1"/>
      <c r="S7" s="1"/>
      <c r="T7" s="1"/>
    </row>
    <row r="8" ht="16.5" customHeight="1">
      <c r="A8" s="6"/>
      <c r="B8" s="6"/>
      <c r="C8" s="19" t="s">
        <v>105</v>
      </c>
      <c r="D8" s="21"/>
      <c r="E8" s="22"/>
      <c r="F8" s="19" t="s">
        <v>106</v>
      </c>
      <c r="G8" s="21"/>
      <c r="H8" s="22"/>
      <c r="I8" s="19" t="s">
        <v>107</v>
      </c>
      <c r="J8" s="21"/>
      <c r="K8" s="22"/>
      <c r="L8" s="19" t="s">
        <v>109</v>
      </c>
      <c r="M8" s="21"/>
      <c r="N8" s="22"/>
      <c r="O8" s="19" t="s">
        <v>110</v>
      </c>
      <c r="P8" s="21"/>
      <c r="Q8" s="22"/>
      <c r="R8" s="19" t="s">
        <v>111</v>
      </c>
      <c r="S8" s="21"/>
      <c r="T8" s="22"/>
    </row>
    <row r="9" ht="30.0" customHeight="1">
      <c r="A9" s="1"/>
      <c r="B9" s="1"/>
      <c r="C9" s="26">
        <f>SUM('09 Guests'!K7:K300)</f>
        <v>156</v>
      </c>
      <c r="D9" s="27"/>
      <c r="E9" s="28"/>
      <c r="F9" s="26">
        <f>SUM('09 Guests'!Y7:Y300)</f>
        <v>0</v>
      </c>
      <c r="G9" s="27"/>
      <c r="H9" s="28"/>
      <c r="I9" s="46">
        <f>IFERROR((COUNTIF('09 Guests'!U7:U300,"Accepted")+COUNTIF('09 Guests'!U7:U300,"Declined"))/COUNTA('09 Guests'!D7:D300),0)</f>
        <v>0</v>
      </c>
      <c r="J9" s="27"/>
      <c r="K9" s="28"/>
      <c r="L9" s="46">
        <f>IFERROR(COUNTIF('07 Tasks'!K7:K250,"Completed")/COUNTA('07 Tasks'!D7:D250),0)</f>
        <v>0.01075268817</v>
      </c>
      <c r="M9" s="27"/>
      <c r="N9" s="28"/>
      <c r="O9" s="46">
        <f>IFERROR((COUNTIF('05 Vendors'!S7:S200,"Confirmed")+COUNTIF('05 Vendors'!S7:S200,"Completed"))/COUNTA('05 Vendors'!D7:D200),0)</f>
        <v>0.1666666667</v>
      </c>
      <c r="P9" s="27"/>
      <c r="Q9" s="28"/>
      <c r="R9" s="30">
        <f>SUM('03 Budget'!L7:L300)-SUM('06 Contributions'!G7:G60)-SUMIFS('09 Guests'!AE7:AE300,'09 Guests'!U7:U300,"&lt;&gt;Declined")</f>
        <v>4097500</v>
      </c>
      <c r="S9" s="27"/>
      <c r="T9" s="28"/>
    </row>
    <row r="10" ht="16.5" customHeight="1">
      <c r="A10" s="1"/>
      <c r="B10" s="1"/>
      <c r="C10" s="1"/>
      <c r="D10" s="1"/>
      <c r="E10" s="1"/>
      <c r="F10" s="1"/>
      <c r="G10" s="1"/>
      <c r="H10" s="1"/>
      <c r="I10" s="1"/>
      <c r="J10" s="1"/>
      <c r="K10" s="1"/>
      <c r="L10" s="1"/>
      <c r="M10" s="1"/>
      <c r="N10" s="1"/>
      <c r="O10" s="1"/>
      <c r="P10" s="1"/>
      <c r="Q10" s="1"/>
      <c r="R10" s="1"/>
      <c r="S10" s="1"/>
      <c r="T10" s="1"/>
    </row>
    <row r="11" ht="21.75" customHeight="1">
      <c r="A11" s="5"/>
      <c r="B11" s="8" t="s">
        <v>130</v>
      </c>
      <c r="C11" s="8"/>
      <c r="D11" s="8"/>
      <c r="E11" s="8"/>
      <c r="F11" s="8"/>
      <c r="G11" s="8"/>
      <c r="H11" s="8"/>
      <c r="I11" s="8"/>
      <c r="J11" s="8"/>
      <c r="K11" s="8"/>
      <c r="L11" s="8"/>
      <c r="M11" s="5"/>
      <c r="N11" s="5"/>
      <c r="O11" s="5"/>
      <c r="P11" s="5"/>
      <c r="Q11" s="5"/>
      <c r="R11" s="5"/>
      <c r="S11" s="5"/>
      <c r="T11" s="5"/>
    </row>
    <row r="12" ht="30.0" customHeight="1">
      <c r="A12" s="16"/>
      <c r="B12" s="17" t="s">
        <v>55</v>
      </c>
      <c r="C12" s="48" t="s">
        <v>60</v>
      </c>
      <c r="D12" s="49"/>
      <c r="E12" s="48" t="s">
        <v>136</v>
      </c>
      <c r="F12" s="49"/>
      <c r="G12" s="48" t="s">
        <v>77</v>
      </c>
      <c r="H12" s="49"/>
      <c r="I12" s="48" t="s">
        <v>81</v>
      </c>
      <c r="J12" s="49"/>
      <c r="K12" s="48" t="s">
        <v>140</v>
      </c>
      <c r="L12" s="49"/>
      <c r="M12" s="16"/>
      <c r="N12" s="16"/>
      <c r="O12" s="16"/>
      <c r="P12" s="16"/>
      <c r="Q12" s="16"/>
      <c r="R12" s="16"/>
      <c r="S12" s="16"/>
      <c r="T12" s="16"/>
    </row>
    <row r="13" ht="16.5" customHeight="1">
      <c r="A13" s="1"/>
      <c r="B13" s="32" t="s">
        <v>93</v>
      </c>
      <c r="C13" s="50">
        <f>SUMIFS('03 Budget'!$E$7:$E$300,'03 Budget'!$C$7:$C$300,$B13)</f>
        <v>624000</v>
      </c>
      <c r="D13" s="51"/>
      <c r="E13" s="50">
        <f>SUMIFS('03 Budget'!$L$7:$L$300,'03 Budget'!$C$7:$C$300,$B13)</f>
        <v>524000</v>
      </c>
      <c r="F13" s="51"/>
      <c r="G13" s="50">
        <f>SUMIFS('03 Budget'!$M$7:$M$300,'03 Budget'!$C$7:$C$300,$B13)</f>
        <v>0</v>
      </c>
      <c r="H13" s="51"/>
      <c r="I13" s="53">
        <f>SUMIFS('03 Budget'!$N$7:$N$300,'03 Budget'!$C$7:$C$300,$B13)</f>
        <v>524000</v>
      </c>
      <c r="J13" s="51"/>
      <c r="K13" s="53">
        <f>SUMIFS('03 Budget'!$P$7:$P$300,'03 Budget'!$C$7:$C$300,$B13)</f>
        <v>-100000</v>
      </c>
      <c r="L13" s="51"/>
      <c r="M13" s="1"/>
      <c r="N13" s="1"/>
      <c r="O13" s="1"/>
      <c r="P13" s="1"/>
      <c r="Q13" s="1"/>
      <c r="R13" s="1"/>
      <c r="S13" s="1"/>
      <c r="T13" s="1"/>
    </row>
    <row r="14" ht="16.5" customHeight="1">
      <c r="A14" s="1"/>
      <c r="B14" s="32" t="s">
        <v>151</v>
      </c>
      <c r="C14" s="50">
        <f>SUMIFS('03 Budget'!$E$7:$E$300,'03 Budget'!$C$7:$C$300,$B14)</f>
        <v>2280000</v>
      </c>
      <c r="D14" s="51"/>
      <c r="E14" s="50">
        <f>SUMIFS('03 Budget'!$L$7:$L$300,'03 Budget'!$C$7:$C$300,$B14)</f>
        <v>2007000</v>
      </c>
      <c r="F14" s="51"/>
      <c r="G14" s="50">
        <f>SUMIFS('03 Budget'!$M$7:$M$300,'03 Budget'!$C$7:$C$300,$B14)</f>
        <v>0</v>
      </c>
      <c r="H14" s="51"/>
      <c r="I14" s="53">
        <f>SUMIFS('03 Budget'!$N$7:$N$300,'03 Budget'!$C$7:$C$300,$B14)</f>
        <v>2007000</v>
      </c>
      <c r="J14" s="51"/>
      <c r="K14" s="53">
        <f>SUMIFS('03 Budget'!$P$7:$P$300,'03 Budget'!$C$7:$C$300,$B14)</f>
        <v>-273000</v>
      </c>
      <c r="L14" s="51"/>
      <c r="M14" s="1"/>
      <c r="N14" s="1"/>
      <c r="O14" s="1"/>
      <c r="P14" s="1"/>
      <c r="Q14" s="1"/>
      <c r="R14" s="1"/>
      <c r="S14" s="1"/>
      <c r="T14" s="1"/>
    </row>
    <row r="15" ht="16.5" customHeight="1">
      <c r="A15" s="1"/>
      <c r="B15" s="32" t="s">
        <v>154</v>
      </c>
      <c r="C15" s="50">
        <f>SUMIFS('03 Budget'!$E$7:$E$300,'03 Budget'!$C$7:$C$300,$B15)</f>
        <v>135000</v>
      </c>
      <c r="D15" s="51"/>
      <c r="E15" s="50">
        <f>SUMIFS('03 Budget'!$L$7:$L$300,'03 Budget'!$C$7:$C$300,$B15)</f>
        <v>120000</v>
      </c>
      <c r="F15" s="51"/>
      <c r="G15" s="50">
        <f>SUMIFS('03 Budget'!$M$7:$M$300,'03 Budget'!$C$7:$C$300,$B15)</f>
        <v>0</v>
      </c>
      <c r="H15" s="51"/>
      <c r="I15" s="53">
        <f>SUMIFS('03 Budget'!$N$7:$N$300,'03 Budget'!$C$7:$C$300,$B15)</f>
        <v>120000</v>
      </c>
      <c r="J15" s="51"/>
      <c r="K15" s="53">
        <f>SUMIFS('03 Budget'!$P$7:$P$300,'03 Budget'!$C$7:$C$300,$B15)</f>
        <v>-15000</v>
      </c>
      <c r="L15" s="51"/>
      <c r="M15" s="1"/>
      <c r="N15" s="1"/>
      <c r="O15" s="1"/>
      <c r="P15" s="1"/>
      <c r="Q15" s="1"/>
      <c r="R15" s="1"/>
      <c r="S15" s="1"/>
      <c r="T15" s="1"/>
    </row>
    <row r="16" ht="16.5" customHeight="1">
      <c r="A16" s="1"/>
      <c r="B16" s="32" t="s">
        <v>157</v>
      </c>
      <c r="C16" s="50">
        <f>SUMIFS('03 Budget'!$E$7:$E$300,'03 Budget'!$C$7:$C$300,$B16)</f>
        <v>350000</v>
      </c>
      <c r="D16" s="51"/>
      <c r="E16" s="50">
        <f>SUMIFS('03 Budget'!$L$7:$L$300,'03 Budget'!$C$7:$C$300,$B16)</f>
        <v>180000</v>
      </c>
      <c r="F16" s="51"/>
      <c r="G16" s="50">
        <f>SUMIFS('03 Budget'!$M$7:$M$300,'03 Budget'!$C$7:$C$300,$B16)</f>
        <v>0</v>
      </c>
      <c r="H16" s="51"/>
      <c r="I16" s="53">
        <f>SUMIFS('03 Budget'!$N$7:$N$300,'03 Budget'!$C$7:$C$300,$B16)</f>
        <v>180000</v>
      </c>
      <c r="J16" s="51"/>
      <c r="K16" s="53">
        <f>SUMIFS('03 Budget'!$P$7:$P$300,'03 Budget'!$C$7:$C$300,$B16)</f>
        <v>-170000</v>
      </c>
      <c r="L16" s="51"/>
      <c r="M16" s="1"/>
      <c r="N16" s="1"/>
      <c r="O16" s="1"/>
      <c r="P16" s="1"/>
      <c r="Q16" s="1"/>
      <c r="R16" s="1"/>
      <c r="S16" s="1"/>
      <c r="T16" s="1"/>
    </row>
    <row r="17" ht="16.5" customHeight="1">
      <c r="A17" s="1"/>
      <c r="B17" s="32" t="s">
        <v>162</v>
      </c>
      <c r="C17" s="50">
        <f>SUMIFS('03 Budget'!$E$7:$E$300,'03 Budget'!$C$7:$C$300,$B17)</f>
        <v>345000</v>
      </c>
      <c r="D17" s="51"/>
      <c r="E17" s="50">
        <f>SUMIFS('03 Budget'!$L$7:$L$300,'03 Budget'!$C$7:$C$300,$B17)</f>
        <v>35000</v>
      </c>
      <c r="F17" s="51"/>
      <c r="G17" s="50">
        <f>SUMIFS('03 Budget'!$M$7:$M$300,'03 Budget'!$C$7:$C$300,$B17)</f>
        <v>0</v>
      </c>
      <c r="H17" s="51"/>
      <c r="I17" s="53">
        <f>SUMIFS('03 Budget'!$N$7:$N$300,'03 Budget'!$C$7:$C$300,$B17)</f>
        <v>35000</v>
      </c>
      <c r="J17" s="51"/>
      <c r="K17" s="53">
        <f>SUMIFS('03 Budget'!$P$7:$P$300,'03 Budget'!$C$7:$C$300,$B17)</f>
        <v>-310000</v>
      </c>
      <c r="L17" s="51"/>
      <c r="M17" s="1"/>
      <c r="N17" s="1"/>
      <c r="O17" s="1"/>
      <c r="P17" s="1"/>
      <c r="Q17" s="1"/>
      <c r="R17" s="1"/>
      <c r="S17" s="1"/>
      <c r="T17" s="1"/>
    </row>
    <row r="18" ht="16.5" customHeight="1">
      <c r="A18" s="1"/>
      <c r="B18" s="32" t="s">
        <v>165</v>
      </c>
      <c r="C18" s="50">
        <f>SUMIFS('03 Budget'!$E$7:$E$300,'03 Budget'!$C$7:$C$300,$B18)</f>
        <v>298000</v>
      </c>
      <c r="D18" s="51"/>
      <c r="E18" s="50">
        <f>SUMIFS('03 Budget'!$L$7:$L$300,'03 Budget'!$C$7:$C$300,$B18)</f>
        <v>271000</v>
      </c>
      <c r="F18" s="51"/>
      <c r="G18" s="50">
        <f>SUMIFS('03 Budget'!$M$7:$M$300,'03 Budget'!$C$7:$C$300,$B18)</f>
        <v>0</v>
      </c>
      <c r="H18" s="51"/>
      <c r="I18" s="53">
        <f>SUMIFS('03 Budget'!$N$7:$N$300,'03 Budget'!$C$7:$C$300,$B18)</f>
        <v>271000</v>
      </c>
      <c r="J18" s="51"/>
      <c r="K18" s="53">
        <f>SUMIFS('03 Budget'!$P$7:$P$300,'03 Budget'!$C$7:$C$300,$B18)</f>
        <v>-27000</v>
      </c>
      <c r="L18" s="51"/>
      <c r="M18" s="1"/>
      <c r="N18" s="1"/>
      <c r="O18" s="1"/>
      <c r="P18" s="1"/>
      <c r="Q18" s="1"/>
      <c r="R18" s="1"/>
      <c r="S18" s="1"/>
      <c r="T18" s="1"/>
    </row>
    <row r="19" ht="16.5" customHeight="1">
      <c r="A19" s="1"/>
      <c r="B19" s="32" t="s">
        <v>168</v>
      </c>
      <c r="C19" s="50">
        <f>SUMIFS('03 Budget'!$E$7:$E$300,'03 Budget'!$C$7:$C$300,$B19)</f>
        <v>46000</v>
      </c>
      <c r="D19" s="51"/>
      <c r="E19" s="50">
        <f>SUMIFS('03 Budget'!$L$7:$L$300,'03 Budget'!$C$7:$C$300,$B19)</f>
        <v>46000</v>
      </c>
      <c r="F19" s="51"/>
      <c r="G19" s="50">
        <f>SUMIFS('03 Budget'!$M$7:$M$300,'03 Budget'!$C$7:$C$300,$B19)</f>
        <v>0</v>
      </c>
      <c r="H19" s="51"/>
      <c r="I19" s="53">
        <f>SUMIFS('03 Budget'!$N$7:$N$300,'03 Budget'!$C$7:$C$300,$B19)</f>
        <v>46000</v>
      </c>
      <c r="J19" s="51"/>
      <c r="K19" s="53">
        <f>SUMIFS('03 Budget'!$P$7:$P$300,'03 Budget'!$C$7:$C$300,$B19)</f>
        <v>0</v>
      </c>
      <c r="L19" s="51"/>
      <c r="M19" s="1"/>
      <c r="N19" s="1"/>
      <c r="O19" s="1"/>
      <c r="P19" s="1"/>
      <c r="Q19" s="1"/>
      <c r="R19" s="1"/>
      <c r="S19" s="1"/>
      <c r="T19" s="1"/>
    </row>
    <row r="20" ht="16.5" customHeight="1">
      <c r="A20" s="1"/>
      <c r="B20" s="32" t="s">
        <v>171</v>
      </c>
      <c r="C20" s="50">
        <f>SUMIFS('03 Budget'!$E$7:$E$300,'03 Budget'!$C$7:$C$300,$B20)</f>
        <v>905500</v>
      </c>
      <c r="D20" s="51"/>
      <c r="E20" s="50">
        <f>SUMIFS('03 Budget'!$L$7:$L$300,'03 Budget'!$C$7:$C$300,$B20)</f>
        <v>896000</v>
      </c>
      <c r="F20" s="51"/>
      <c r="G20" s="50">
        <f>SUMIFS('03 Budget'!$M$7:$M$300,'03 Budget'!$C$7:$C$300,$B20)</f>
        <v>896000</v>
      </c>
      <c r="H20" s="51"/>
      <c r="I20" s="53">
        <f>SUMIFS('03 Budget'!$N$7:$N$300,'03 Budget'!$C$7:$C$300,$B20)</f>
        <v>0</v>
      </c>
      <c r="J20" s="51"/>
      <c r="K20" s="53">
        <f>SUMIFS('03 Budget'!$P$7:$P$300,'03 Budget'!$C$7:$C$300,$B20)</f>
        <v>-9500</v>
      </c>
      <c r="L20" s="51"/>
      <c r="M20" s="1"/>
      <c r="N20" s="1"/>
      <c r="O20" s="1"/>
      <c r="P20" s="1"/>
      <c r="Q20" s="1"/>
      <c r="R20" s="1"/>
      <c r="S20" s="1"/>
      <c r="T20" s="1"/>
    </row>
    <row r="21" ht="16.5" customHeight="1">
      <c r="A21" s="1"/>
      <c r="B21" s="32" t="s">
        <v>178</v>
      </c>
      <c r="C21" s="50">
        <f>SUMIFS('03 Budget'!$E$7:$E$300,'03 Budget'!$C$7:$C$300,$B21)</f>
        <v>122000</v>
      </c>
      <c r="D21" s="51"/>
      <c r="E21" s="50">
        <f>SUMIFS('03 Budget'!$L$7:$L$300,'03 Budget'!$C$7:$C$300,$B21)</f>
        <v>67000</v>
      </c>
      <c r="F21" s="51"/>
      <c r="G21" s="50">
        <f>SUMIFS('03 Budget'!$M$7:$M$300,'03 Budget'!$C$7:$C$300,$B21)</f>
        <v>0</v>
      </c>
      <c r="H21" s="51"/>
      <c r="I21" s="53">
        <f>SUMIFS('03 Budget'!$N$7:$N$300,'03 Budget'!$C$7:$C$300,$B21)</f>
        <v>67000</v>
      </c>
      <c r="J21" s="51"/>
      <c r="K21" s="53">
        <f>SUMIFS('03 Budget'!$P$7:$P$300,'03 Budget'!$C$7:$C$300,$B21)</f>
        <v>-55000</v>
      </c>
      <c r="L21" s="51"/>
      <c r="M21" s="1"/>
      <c r="N21" s="1"/>
      <c r="O21" s="1"/>
      <c r="P21" s="1"/>
      <c r="Q21" s="1"/>
      <c r="R21" s="1"/>
      <c r="S21" s="1"/>
      <c r="T21" s="1"/>
    </row>
    <row r="22" ht="16.5" customHeight="1">
      <c r="A22" s="1"/>
      <c r="B22" s="32" t="s">
        <v>188</v>
      </c>
      <c r="C22" s="50">
        <f>SUMIFS('03 Budget'!$E$7:$E$300,'03 Budget'!$C$7:$C$300,$B22)</f>
        <v>676000</v>
      </c>
      <c r="D22" s="51"/>
      <c r="E22" s="50">
        <f>SUMIFS('03 Budget'!$L$7:$L$300,'03 Budget'!$C$7:$C$300,$B22)</f>
        <v>6000</v>
      </c>
      <c r="F22" s="51"/>
      <c r="G22" s="50">
        <f>SUMIFS('03 Budget'!$M$7:$M$300,'03 Budget'!$C$7:$C$300,$B22)</f>
        <v>0</v>
      </c>
      <c r="H22" s="51"/>
      <c r="I22" s="53">
        <f>SUMIFS('03 Budget'!$N$7:$N$300,'03 Budget'!$C$7:$C$300,$B22)</f>
        <v>6000</v>
      </c>
      <c r="J22" s="51"/>
      <c r="K22" s="53">
        <f>SUMIFS('03 Budget'!$P$7:$P$300,'03 Budget'!$C$7:$C$300,$B22)</f>
        <v>-670000</v>
      </c>
      <c r="L22" s="51"/>
      <c r="M22" s="1"/>
      <c r="N22" s="1"/>
      <c r="O22" s="1"/>
      <c r="P22" s="1"/>
      <c r="Q22" s="1"/>
      <c r="R22" s="1"/>
      <c r="S22" s="1"/>
      <c r="T22" s="1"/>
    </row>
    <row r="23" ht="16.5" customHeight="1">
      <c r="A23" s="1"/>
      <c r="B23" s="32" t="s">
        <v>210</v>
      </c>
      <c r="C23" s="50">
        <f>SUMIFS('03 Budget'!$E$7:$E$300,'03 Budget'!$C$7:$C$300,$B23)</f>
        <v>180000</v>
      </c>
      <c r="D23" s="51"/>
      <c r="E23" s="50">
        <f>SUMIFS('03 Budget'!$L$7:$L$300,'03 Budget'!$C$7:$C$300,$B23)</f>
        <v>0</v>
      </c>
      <c r="F23" s="51"/>
      <c r="G23" s="50">
        <f>SUMIFS('03 Budget'!$M$7:$M$300,'03 Budget'!$C$7:$C$300,$B23)</f>
        <v>0</v>
      </c>
      <c r="H23" s="51"/>
      <c r="I23" s="53">
        <f>SUMIFS('03 Budget'!$N$7:$N$300,'03 Budget'!$C$7:$C$300,$B23)</f>
        <v>0</v>
      </c>
      <c r="J23" s="51"/>
      <c r="K23" s="53">
        <f>SUMIFS('03 Budget'!$P$7:$P$300,'03 Budget'!$C$7:$C$300,$B23)</f>
        <v>-180000</v>
      </c>
      <c r="L23" s="51"/>
      <c r="M23" s="1"/>
      <c r="N23" s="1"/>
      <c r="O23" s="1"/>
      <c r="P23" s="1"/>
      <c r="Q23" s="1"/>
      <c r="R23" s="1"/>
      <c r="S23" s="1"/>
      <c r="T23" s="1"/>
    </row>
    <row r="24" ht="16.5" customHeight="1">
      <c r="A24" s="1"/>
      <c r="B24" s="32" t="s">
        <v>213</v>
      </c>
      <c r="C24" s="50">
        <f>SUMIFS('03 Budget'!$E$7:$E$300,'03 Budget'!$C$7:$C$300,$B24)</f>
        <v>375000</v>
      </c>
      <c r="D24" s="51"/>
      <c r="E24" s="50">
        <f>SUMIFS('03 Budget'!$L$7:$L$300,'03 Budget'!$C$7:$C$300,$B24)</f>
        <v>240000</v>
      </c>
      <c r="F24" s="51"/>
      <c r="G24" s="50">
        <f>SUMIFS('03 Budget'!$M$7:$M$300,'03 Budget'!$C$7:$C$300,$B24)</f>
        <v>0</v>
      </c>
      <c r="H24" s="51"/>
      <c r="I24" s="53">
        <f>SUMIFS('03 Budget'!$N$7:$N$300,'03 Budget'!$C$7:$C$300,$B24)</f>
        <v>240000</v>
      </c>
      <c r="J24" s="51"/>
      <c r="K24" s="53">
        <f>SUMIFS('03 Budget'!$P$7:$P$300,'03 Budget'!$C$7:$C$300,$B24)</f>
        <v>-135000</v>
      </c>
      <c r="L24" s="51"/>
      <c r="M24" s="1"/>
      <c r="N24" s="1"/>
      <c r="O24" s="1"/>
      <c r="P24" s="1"/>
      <c r="Q24" s="1"/>
      <c r="R24" s="1"/>
      <c r="S24" s="1"/>
      <c r="T24" s="1"/>
    </row>
    <row r="25" ht="16.5" customHeight="1">
      <c r="A25" s="1"/>
      <c r="B25" s="32" t="s">
        <v>223</v>
      </c>
      <c r="C25" s="50">
        <f>SUMIFS('03 Budget'!$E$7:$E$300,'03 Budget'!$C$7:$C$300,$B25)</f>
        <v>230000</v>
      </c>
      <c r="D25" s="51"/>
      <c r="E25" s="50">
        <f>SUMIFS('03 Budget'!$L$7:$L$300,'03 Budget'!$C$7:$C$300,$B25)</f>
        <v>60000</v>
      </c>
      <c r="F25" s="51"/>
      <c r="G25" s="50">
        <f>SUMIFS('03 Budget'!$M$7:$M$300,'03 Budget'!$C$7:$C$300,$B25)</f>
        <v>0</v>
      </c>
      <c r="H25" s="51"/>
      <c r="I25" s="53">
        <f>SUMIFS('03 Budget'!$N$7:$N$300,'03 Budget'!$C$7:$C$300,$B25)</f>
        <v>60000</v>
      </c>
      <c r="J25" s="51"/>
      <c r="K25" s="53">
        <f>SUMIFS('03 Budget'!$P$7:$P$300,'03 Budget'!$C$7:$C$300,$B25)</f>
        <v>-170000</v>
      </c>
      <c r="L25" s="51"/>
      <c r="M25" s="1"/>
      <c r="N25" s="1"/>
      <c r="O25" s="1"/>
      <c r="P25" s="1"/>
      <c r="Q25" s="1"/>
      <c r="R25" s="1"/>
      <c r="S25" s="1"/>
      <c r="T25" s="1"/>
    </row>
    <row r="26" ht="16.5" customHeight="1">
      <c r="A26" s="1"/>
      <c r="B26" s="32" t="s">
        <v>227</v>
      </c>
      <c r="C26" s="50">
        <f>SUMIFS('03 Budget'!$E$7:$E$300,'03 Budget'!$C$7:$C$300,$B26)</f>
        <v>185000</v>
      </c>
      <c r="D26" s="51"/>
      <c r="E26" s="50">
        <f>SUMIFS('03 Budget'!$L$7:$L$300,'03 Budget'!$C$7:$C$300,$B26)</f>
        <v>0</v>
      </c>
      <c r="F26" s="51"/>
      <c r="G26" s="50">
        <f>SUMIFS('03 Budget'!$M$7:$M$300,'03 Budget'!$C$7:$C$300,$B26)</f>
        <v>0</v>
      </c>
      <c r="H26" s="51"/>
      <c r="I26" s="53">
        <f>SUMIFS('03 Budget'!$N$7:$N$300,'03 Budget'!$C$7:$C$300,$B26)</f>
        <v>0</v>
      </c>
      <c r="J26" s="51"/>
      <c r="K26" s="53">
        <f>SUMIFS('03 Budget'!$P$7:$P$300,'03 Budget'!$C$7:$C$300,$B26)</f>
        <v>-185000</v>
      </c>
      <c r="L26" s="51"/>
      <c r="M26" s="1"/>
      <c r="N26" s="1"/>
      <c r="O26" s="1"/>
      <c r="P26" s="1"/>
      <c r="Q26" s="1"/>
      <c r="R26" s="1"/>
      <c r="S26" s="1"/>
      <c r="T26" s="1"/>
    </row>
    <row r="27" ht="16.5" customHeight="1">
      <c r="A27" s="1"/>
      <c r="B27" s="32" t="s">
        <v>234</v>
      </c>
      <c r="C27" s="50">
        <f>SUMIFS('03 Budget'!$E$7:$E$300,'03 Budget'!$C$7:$C$300,$B27)</f>
        <v>72500</v>
      </c>
      <c r="D27" s="51"/>
      <c r="E27" s="50">
        <f>SUMIFS('03 Budget'!$L$7:$L$300,'03 Budget'!$C$7:$C$300,$B27)</f>
        <v>17500</v>
      </c>
      <c r="F27" s="51"/>
      <c r="G27" s="50">
        <f>SUMIFS('03 Budget'!$M$7:$M$300,'03 Budget'!$C$7:$C$300,$B27)</f>
        <v>0</v>
      </c>
      <c r="H27" s="51"/>
      <c r="I27" s="53">
        <f>SUMIFS('03 Budget'!$N$7:$N$300,'03 Budget'!$C$7:$C$300,$B27)</f>
        <v>17500</v>
      </c>
      <c r="J27" s="51"/>
      <c r="K27" s="53">
        <f>SUMIFS('03 Budget'!$P$7:$P$300,'03 Budget'!$C$7:$C$300,$B27)</f>
        <v>-55000</v>
      </c>
      <c r="L27" s="51"/>
      <c r="M27" s="1"/>
      <c r="N27" s="1"/>
      <c r="O27" s="1"/>
      <c r="P27" s="1"/>
      <c r="Q27" s="1"/>
      <c r="R27" s="1"/>
      <c r="S27" s="1"/>
      <c r="T27" s="1"/>
    </row>
    <row r="28" ht="16.5" customHeight="1">
      <c r="A28" s="1"/>
      <c r="B28" s="32" t="s">
        <v>241</v>
      </c>
      <c r="C28" s="50">
        <f>SUMIFS('03 Budget'!$E$7:$E$300,'03 Budget'!$C$7:$C$300,$B28)</f>
        <v>53000</v>
      </c>
      <c r="D28" s="51"/>
      <c r="E28" s="50">
        <f>SUMIFS('03 Budget'!$L$7:$L$300,'03 Budget'!$C$7:$C$300,$B28)</f>
        <v>35000</v>
      </c>
      <c r="F28" s="51"/>
      <c r="G28" s="50">
        <f>SUMIFS('03 Budget'!$M$7:$M$300,'03 Budget'!$C$7:$C$300,$B28)</f>
        <v>0</v>
      </c>
      <c r="H28" s="51"/>
      <c r="I28" s="53">
        <f>SUMIFS('03 Budget'!$N$7:$N$300,'03 Budget'!$C$7:$C$300,$B28)</f>
        <v>35000</v>
      </c>
      <c r="J28" s="51"/>
      <c r="K28" s="53">
        <f>SUMIFS('03 Budget'!$P$7:$P$300,'03 Budget'!$C$7:$C$300,$B28)</f>
        <v>-18000</v>
      </c>
      <c r="L28" s="51"/>
      <c r="M28" s="1"/>
      <c r="N28" s="1"/>
      <c r="O28" s="1"/>
      <c r="P28" s="1"/>
      <c r="Q28" s="1"/>
      <c r="R28" s="1"/>
      <c r="S28" s="1"/>
      <c r="T28" s="1"/>
    </row>
    <row r="29" ht="16.5" customHeight="1">
      <c r="A29" s="1"/>
      <c r="B29" s="32" t="s">
        <v>249</v>
      </c>
      <c r="C29" s="50">
        <f>SUMIFS('03 Budget'!$E$7:$E$300,'03 Budget'!$C$7:$C$300,$B29)</f>
        <v>19000</v>
      </c>
      <c r="D29" s="51"/>
      <c r="E29" s="50">
        <f>SUMIFS('03 Budget'!$L$7:$L$300,'03 Budget'!$C$7:$C$300,$B29)</f>
        <v>14000</v>
      </c>
      <c r="F29" s="51"/>
      <c r="G29" s="50">
        <f>SUMIFS('03 Budget'!$M$7:$M$300,'03 Budget'!$C$7:$C$300,$B29)</f>
        <v>0</v>
      </c>
      <c r="H29" s="51"/>
      <c r="I29" s="53">
        <f>SUMIFS('03 Budget'!$N$7:$N$300,'03 Budget'!$C$7:$C$300,$B29)</f>
        <v>14000</v>
      </c>
      <c r="J29" s="51"/>
      <c r="K29" s="53">
        <f>SUMIFS('03 Budget'!$P$7:$P$300,'03 Budget'!$C$7:$C$300,$B29)</f>
        <v>-5000</v>
      </c>
      <c r="L29" s="51"/>
      <c r="M29" s="1"/>
      <c r="N29" s="1"/>
      <c r="O29" s="1"/>
      <c r="P29" s="1"/>
      <c r="Q29" s="1"/>
      <c r="R29" s="1"/>
      <c r="S29" s="1"/>
      <c r="T29" s="1"/>
    </row>
    <row r="30" ht="16.5" customHeight="1">
      <c r="A30" s="1"/>
      <c r="B30" s="32" t="s">
        <v>254</v>
      </c>
      <c r="C30" s="50">
        <f>SUMIFS('03 Budget'!$E$7:$E$300,'03 Budget'!$C$7:$C$300,$B30)</f>
        <v>148000</v>
      </c>
      <c r="D30" s="51"/>
      <c r="E30" s="50">
        <f>SUMIFS('03 Budget'!$L$7:$L$300,'03 Budget'!$C$7:$C$300,$B30)</f>
        <v>33000</v>
      </c>
      <c r="F30" s="51"/>
      <c r="G30" s="50">
        <f>SUMIFS('03 Budget'!$M$7:$M$300,'03 Budget'!$C$7:$C$300,$B30)</f>
        <v>0</v>
      </c>
      <c r="H30" s="51"/>
      <c r="I30" s="53">
        <f>SUMIFS('03 Budget'!$N$7:$N$300,'03 Budget'!$C$7:$C$300,$B30)</f>
        <v>33000</v>
      </c>
      <c r="J30" s="51"/>
      <c r="K30" s="53">
        <f>SUMIFS('03 Budget'!$P$7:$P$300,'03 Budget'!$C$7:$C$300,$B30)</f>
        <v>-115000</v>
      </c>
      <c r="L30" s="51"/>
      <c r="M30" s="1"/>
      <c r="N30" s="1"/>
      <c r="O30" s="1"/>
      <c r="P30" s="1"/>
      <c r="Q30" s="1"/>
      <c r="R30" s="1"/>
      <c r="S30" s="1"/>
      <c r="T30" s="1"/>
    </row>
    <row r="31" ht="16.5" customHeight="1">
      <c r="A31" s="1"/>
      <c r="B31" s="32" t="s">
        <v>260</v>
      </c>
      <c r="C31" s="50">
        <f>SUMIFS('03 Budget'!$E$7:$E$300,'03 Budget'!$C$7:$C$300,$B31)</f>
        <v>41000</v>
      </c>
      <c r="D31" s="51"/>
      <c r="E31" s="50">
        <f>SUMIFS('03 Budget'!$L$7:$L$300,'03 Budget'!$C$7:$C$300,$B31)</f>
        <v>26000</v>
      </c>
      <c r="F31" s="51"/>
      <c r="G31" s="50">
        <f>SUMIFS('03 Budget'!$M$7:$M$300,'03 Budget'!$C$7:$C$300,$B31)</f>
        <v>0</v>
      </c>
      <c r="H31" s="51"/>
      <c r="I31" s="53">
        <f>SUMIFS('03 Budget'!$N$7:$N$300,'03 Budget'!$C$7:$C$300,$B31)</f>
        <v>26000</v>
      </c>
      <c r="J31" s="51"/>
      <c r="K31" s="53">
        <f>SUMIFS('03 Budget'!$P$7:$P$300,'03 Budget'!$C$7:$C$300,$B31)</f>
        <v>-15000</v>
      </c>
      <c r="L31" s="51"/>
      <c r="M31" s="1"/>
      <c r="N31" s="1"/>
      <c r="O31" s="1"/>
      <c r="P31" s="1"/>
      <c r="Q31" s="1"/>
      <c r="R31" s="1"/>
      <c r="S31" s="1"/>
      <c r="T31" s="1"/>
    </row>
    <row r="32" ht="16.5" customHeight="1">
      <c r="A32" s="1"/>
      <c r="B32" s="32" t="s">
        <v>270</v>
      </c>
      <c r="C32" s="50">
        <f>SUMIFS('03 Budget'!$E$7:$E$300,'03 Budget'!$C$7:$C$300,$B32)</f>
        <v>233000</v>
      </c>
      <c r="D32" s="51"/>
      <c r="E32" s="50">
        <f>SUMIFS('03 Budget'!$L$7:$L$300,'03 Budget'!$C$7:$C$300,$B32)</f>
        <v>125000</v>
      </c>
      <c r="F32" s="51"/>
      <c r="G32" s="50">
        <f>SUMIFS('03 Budget'!$M$7:$M$300,'03 Budget'!$C$7:$C$300,$B32)</f>
        <v>0</v>
      </c>
      <c r="H32" s="51"/>
      <c r="I32" s="53">
        <f>SUMIFS('03 Budget'!$N$7:$N$300,'03 Budget'!$C$7:$C$300,$B32)</f>
        <v>125000</v>
      </c>
      <c r="J32" s="51"/>
      <c r="K32" s="53">
        <f>SUMIFS('03 Budget'!$P$7:$P$300,'03 Budget'!$C$7:$C$300,$B32)</f>
        <v>-108000</v>
      </c>
      <c r="L32" s="51"/>
      <c r="M32" s="1"/>
      <c r="N32" s="1"/>
      <c r="O32" s="1"/>
      <c r="P32" s="1"/>
      <c r="Q32" s="1"/>
      <c r="R32" s="1"/>
      <c r="S32" s="1"/>
      <c r="T32" s="1"/>
    </row>
    <row r="33" ht="16.5" customHeight="1">
      <c r="A33" s="1"/>
      <c r="B33" s="15" t="s">
        <v>277</v>
      </c>
      <c r="C33" s="58">
        <f>SUM(C13:C32)</f>
        <v>7318000</v>
      </c>
      <c r="D33" s="51"/>
      <c r="E33" s="58">
        <f>SUM(E13:E32)</f>
        <v>4702500</v>
      </c>
      <c r="F33" s="51"/>
      <c r="G33" s="58">
        <f>SUM(G13:G32)</f>
        <v>896000</v>
      </c>
      <c r="H33" s="51"/>
      <c r="I33" s="59">
        <f>SUM(I13:I32)</f>
        <v>3806500</v>
      </c>
      <c r="J33" s="51"/>
      <c r="K33" s="59">
        <f>SUM(K13:K32)</f>
        <v>-2615500</v>
      </c>
      <c r="L33" s="51"/>
      <c r="M33" s="1"/>
      <c r="N33" s="1"/>
      <c r="O33" s="1"/>
      <c r="P33" s="1"/>
      <c r="Q33" s="1"/>
      <c r="R33" s="1"/>
      <c r="S33" s="1"/>
      <c r="T33" s="1"/>
    </row>
    <row r="34" ht="16.5" customHeight="1">
      <c r="A34" s="1"/>
      <c r="B34" s="32"/>
      <c r="C34" s="60"/>
      <c r="D34" s="32"/>
      <c r="E34" s="60"/>
      <c r="F34" s="32"/>
      <c r="G34" s="60"/>
      <c r="H34" s="32"/>
      <c r="I34" s="32"/>
      <c r="J34" s="32"/>
      <c r="K34" s="32"/>
      <c r="L34" s="1"/>
      <c r="M34" s="1"/>
      <c r="N34" s="1"/>
      <c r="O34" s="1"/>
      <c r="P34" s="1"/>
      <c r="Q34" s="1"/>
      <c r="R34" s="1"/>
      <c r="S34" s="1"/>
      <c r="T34" s="1"/>
    </row>
    <row r="35" ht="16.5" customHeight="1">
      <c r="A35" s="1"/>
      <c r="B35" s="32"/>
      <c r="C35" s="60"/>
      <c r="D35" s="32"/>
      <c r="E35" s="60"/>
      <c r="F35" s="32"/>
      <c r="G35" s="60"/>
      <c r="H35" s="32"/>
      <c r="I35" s="32"/>
      <c r="J35" s="32"/>
      <c r="K35" s="32"/>
      <c r="L35" s="1"/>
      <c r="M35" s="1"/>
      <c r="N35" s="1"/>
      <c r="O35" s="1"/>
      <c r="P35" s="1"/>
      <c r="Q35" s="1"/>
      <c r="R35" s="1"/>
      <c r="S35" s="1"/>
      <c r="T35" s="1"/>
    </row>
    <row r="36" ht="21.75" customHeight="1">
      <c r="A36" s="5"/>
      <c r="B36" s="8" t="s">
        <v>287</v>
      </c>
      <c r="C36" s="61"/>
      <c r="D36" s="8"/>
      <c r="E36" s="61"/>
      <c r="F36" s="8"/>
      <c r="G36" s="61"/>
      <c r="H36" s="8"/>
      <c r="I36" s="8"/>
      <c r="J36" s="8"/>
      <c r="K36" s="8"/>
      <c r="L36" s="8"/>
      <c r="M36" s="5"/>
      <c r="N36" s="5"/>
      <c r="O36" s="5"/>
      <c r="P36" s="5"/>
      <c r="Q36" s="5"/>
      <c r="R36" s="5"/>
      <c r="S36" s="5"/>
      <c r="T36" s="5"/>
    </row>
    <row r="37" ht="30.0" customHeight="1">
      <c r="A37" s="16"/>
      <c r="B37" s="62" t="s">
        <v>288</v>
      </c>
      <c r="C37" s="48" t="s">
        <v>289</v>
      </c>
      <c r="D37" s="49"/>
      <c r="E37" s="48" t="s">
        <v>291</v>
      </c>
      <c r="F37" s="49"/>
      <c r="G37" s="48" t="s">
        <v>293</v>
      </c>
      <c r="H37" s="49"/>
      <c r="I37" s="48" t="s">
        <v>294</v>
      </c>
      <c r="J37" s="63"/>
      <c r="K37" s="63"/>
      <c r="L37" s="49"/>
      <c r="M37" s="16"/>
      <c r="N37" s="16"/>
      <c r="O37" s="16"/>
      <c r="P37" s="16"/>
      <c r="Q37" s="16"/>
      <c r="R37" s="16"/>
      <c r="S37" s="16"/>
      <c r="T37" s="16"/>
    </row>
    <row r="38" ht="16.5" customHeight="1">
      <c r="A38" s="1"/>
      <c r="B38" s="32" t="s">
        <v>295</v>
      </c>
      <c r="C38" s="64">
        <f>COUNTIFS('07 Tasks'!$C$7:$C$250,$B38,'07 Tasks'!$K$7:$K$250,"Completed")</f>
        <v>0</v>
      </c>
      <c r="D38" s="51"/>
      <c r="E38" s="64">
        <f>COUNTIF('07 Tasks'!$C$7:$C$250,$B38)</f>
        <v>4</v>
      </c>
      <c r="F38" s="51"/>
      <c r="G38" s="65">
        <f t="shared" ref="G38:G57" si="1">IFERROR($C38/$E38,0)</f>
        <v>0</v>
      </c>
      <c r="H38" s="51"/>
      <c r="I38" s="66">
        <f t="shared" ref="I38:I57" si="2">IFERROR($C38/$E38,0)</f>
        <v>0</v>
      </c>
      <c r="J38" s="67"/>
      <c r="K38" s="67"/>
      <c r="L38" s="51"/>
      <c r="M38" s="1"/>
      <c r="N38" s="1"/>
      <c r="O38" s="1"/>
      <c r="P38" s="1"/>
      <c r="Q38" s="1"/>
      <c r="R38" s="1"/>
      <c r="S38" s="1"/>
      <c r="T38" s="1"/>
    </row>
    <row r="39" ht="16.5" customHeight="1">
      <c r="A39" s="1"/>
      <c r="B39" s="32" t="s">
        <v>301</v>
      </c>
      <c r="C39" s="64">
        <f>COUNTIFS('07 Tasks'!$C$7:$C$250,$B39,'07 Tasks'!$K$7:$K$250,"Completed")</f>
        <v>0</v>
      </c>
      <c r="D39" s="51"/>
      <c r="E39" s="64">
        <f>COUNTIF('07 Tasks'!$C$7:$C$250,$B39)</f>
        <v>2</v>
      </c>
      <c r="F39" s="51"/>
      <c r="G39" s="65">
        <f t="shared" si="1"/>
        <v>0</v>
      </c>
      <c r="H39" s="51"/>
      <c r="I39" s="66">
        <f t="shared" si="2"/>
        <v>0</v>
      </c>
      <c r="J39" s="67"/>
      <c r="K39" s="67"/>
      <c r="L39" s="51"/>
      <c r="M39" s="1"/>
      <c r="N39" s="1"/>
      <c r="O39" s="1"/>
      <c r="P39" s="1"/>
      <c r="Q39" s="1"/>
      <c r="R39" s="1"/>
      <c r="S39" s="1"/>
      <c r="T39" s="1"/>
    </row>
    <row r="40" ht="16.5" customHeight="1">
      <c r="A40" s="1"/>
      <c r="B40" s="32" t="s">
        <v>284</v>
      </c>
      <c r="C40" s="64">
        <f>COUNTIFS('07 Tasks'!$C$7:$C$250,$B40,'07 Tasks'!$K$7:$K$250,"Completed")</f>
        <v>0</v>
      </c>
      <c r="D40" s="51"/>
      <c r="E40" s="64">
        <f>COUNTIF('07 Tasks'!$C$7:$C$250,$B40)</f>
        <v>1</v>
      </c>
      <c r="F40" s="51"/>
      <c r="G40" s="65">
        <f t="shared" si="1"/>
        <v>0</v>
      </c>
      <c r="H40" s="51"/>
      <c r="I40" s="66">
        <f t="shared" si="2"/>
        <v>0</v>
      </c>
      <c r="J40" s="67"/>
      <c r="K40" s="67"/>
      <c r="L40" s="51"/>
      <c r="M40" s="1"/>
      <c r="N40" s="1"/>
      <c r="O40" s="1"/>
      <c r="P40" s="1"/>
      <c r="Q40" s="1"/>
      <c r="R40" s="1"/>
      <c r="S40" s="1"/>
      <c r="T40" s="1"/>
    </row>
    <row r="41" ht="16.5" customHeight="1">
      <c r="A41" s="1"/>
      <c r="B41" s="32" t="s">
        <v>309</v>
      </c>
      <c r="C41" s="64">
        <f>COUNTIFS('07 Tasks'!$C$7:$C$250,$B41,'07 Tasks'!$K$7:$K$250,"Completed")</f>
        <v>0</v>
      </c>
      <c r="D41" s="51"/>
      <c r="E41" s="64">
        <f>COUNTIF('07 Tasks'!$C$7:$C$250,$B41)</f>
        <v>4</v>
      </c>
      <c r="F41" s="51"/>
      <c r="G41" s="65">
        <f t="shared" si="1"/>
        <v>0</v>
      </c>
      <c r="H41" s="51"/>
      <c r="I41" s="66">
        <f t="shared" si="2"/>
        <v>0</v>
      </c>
      <c r="J41" s="67"/>
      <c r="K41" s="67"/>
      <c r="L41" s="51"/>
      <c r="M41" s="1"/>
      <c r="N41" s="1"/>
      <c r="O41" s="1"/>
      <c r="P41" s="1"/>
      <c r="Q41" s="1"/>
      <c r="R41" s="1"/>
      <c r="S41" s="1"/>
      <c r="T41" s="1"/>
    </row>
    <row r="42" ht="16.5" customHeight="1">
      <c r="A42" s="1"/>
      <c r="B42" s="32" t="s">
        <v>315</v>
      </c>
      <c r="C42" s="64">
        <f>COUNTIFS('07 Tasks'!$C$7:$C$250,$B42,'07 Tasks'!$K$7:$K$250,"Completed")</f>
        <v>0</v>
      </c>
      <c r="D42" s="51"/>
      <c r="E42" s="64">
        <f>COUNTIF('07 Tasks'!$C$7:$C$250,$B42)</f>
        <v>6</v>
      </c>
      <c r="F42" s="51"/>
      <c r="G42" s="65">
        <f t="shared" si="1"/>
        <v>0</v>
      </c>
      <c r="H42" s="51"/>
      <c r="I42" s="66">
        <f t="shared" si="2"/>
        <v>0</v>
      </c>
      <c r="J42" s="67"/>
      <c r="K42" s="67"/>
      <c r="L42" s="51"/>
      <c r="M42" s="1"/>
      <c r="N42" s="1"/>
      <c r="O42" s="1"/>
      <c r="P42" s="1"/>
      <c r="Q42" s="1"/>
      <c r="R42" s="1"/>
      <c r="S42" s="1"/>
      <c r="T42" s="1"/>
    </row>
    <row r="43" ht="16.5" customHeight="1">
      <c r="A43" s="1"/>
      <c r="B43" s="32" t="s">
        <v>316</v>
      </c>
      <c r="C43" s="64">
        <f>COUNTIFS('07 Tasks'!$C$7:$C$250,$B43,'07 Tasks'!$K$7:$K$250,"Completed")</f>
        <v>0</v>
      </c>
      <c r="D43" s="51"/>
      <c r="E43" s="64">
        <f>COUNTIF('07 Tasks'!$C$7:$C$250,$B43)</f>
        <v>2</v>
      </c>
      <c r="F43" s="51"/>
      <c r="G43" s="65">
        <f t="shared" si="1"/>
        <v>0</v>
      </c>
      <c r="H43" s="51"/>
      <c r="I43" s="66">
        <f t="shared" si="2"/>
        <v>0</v>
      </c>
      <c r="J43" s="67"/>
      <c r="K43" s="67"/>
      <c r="L43" s="51"/>
      <c r="M43" s="1"/>
      <c r="N43" s="1"/>
      <c r="O43" s="1"/>
      <c r="P43" s="1"/>
      <c r="Q43" s="1"/>
      <c r="R43" s="1"/>
      <c r="S43" s="1"/>
      <c r="T43" s="1"/>
    </row>
    <row r="44" ht="16.5" customHeight="1">
      <c r="A44" s="1"/>
      <c r="B44" s="32" t="s">
        <v>319</v>
      </c>
      <c r="C44" s="64">
        <f>COUNTIFS('07 Tasks'!$C$7:$C$250,$B44,'07 Tasks'!$K$7:$K$250,"Completed")</f>
        <v>0</v>
      </c>
      <c r="D44" s="51"/>
      <c r="E44" s="64">
        <f>COUNTIF('07 Tasks'!$C$7:$C$250,$B44)</f>
        <v>8</v>
      </c>
      <c r="F44" s="51"/>
      <c r="G44" s="65">
        <f t="shared" si="1"/>
        <v>0</v>
      </c>
      <c r="H44" s="51"/>
      <c r="I44" s="66">
        <f t="shared" si="2"/>
        <v>0</v>
      </c>
      <c r="J44" s="67"/>
      <c r="K44" s="67"/>
      <c r="L44" s="51"/>
      <c r="M44" s="1"/>
      <c r="N44" s="1"/>
      <c r="O44" s="1"/>
      <c r="P44" s="1"/>
      <c r="Q44" s="1"/>
      <c r="R44" s="1"/>
      <c r="S44" s="1"/>
      <c r="T44" s="1"/>
    </row>
    <row r="45" ht="16.5" customHeight="1">
      <c r="A45" s="1"/>
      <c r="B45" s="32" t="s">
        <v>264</v>
      </c>
      <c r="C45" s="64">
        <f>COUNTIFS('07 Tasks'!$C$7:$C$250,$B45,'07 Tasks'!$K$7:$K$250,"Completed")</f>
        <v>1</v>
      </c>
      <c r="D45" s="51"/>
      <c r="E45" s="64">
        <f>COUNTIF('07 Tasks'!$C$7:$C$250,$B45)</f>
        <v>5</v>
      </c>
      <c r="F45" s="51"/>
      <c r="G45" s="65">
        <f t="shared" si="1"/>
        <v>0.2</v>
      </c>
      <c r="H45" s="51"/>
      <c r="I45" s="66">
        <f t="shared" si="2"/>
        <v>0.2</v>
      </c>
      <c r="J45" s="67"/>
      <c r="K45" s="67"/>
      <c r="L45" s="51"/>
      <c r="M45" s="1"/>
      <c r="N45" s="1"/>
      <c r="O45" s="1"/>
      <c r="P45" s="1"/>
      <c r="Q45" s="1"/>
      <c r="R45" s="1"/>
      <c r="S45" s="1"/>
      <c r="T45" s="1"/>
    </row>
    <row r="46" ht="16.5" customHeight="1">
      <c r="A46" s="1"/>
      <c r="B46" s="32" t="s">
        <v>327</v>
      </c>
      <c r="C46" s="64">
        <f>COUNTIFS('07 Tasks'!$C$7:$C$250,$B46,'07 Tasks'!$K$7:$K$250,"Completed")</f>
        <v>0</v>
      </c>
      <c r="D46" s="51"/>
      <c r="E46" s="64">
        <f>COUNTIF('07 Tasks'!$C$7:$C$250,$B46)</f>
        <v>7</v>
      </c>
      <c r="F46" s="51"/>
      <c r="G46" s="65">
        <f t="shared" si="1"/>
        <v>0</v>
      </c>
      <c r="H46" s="51"/>
      <c r="I46" s="66">
        <f t="shared" si="2"/>
        <v>0</v>
      </c>
      <c r="J46" s="67"/>
      <c r="K46" s="67"/>
      <c r="L46" s="51"/>
      <c r="M46" s="1"/>
      <c r="N46" s="1"/>
      <c r="O46" s="1"/>
      <c r="P46" s="1"/>
      <c r="Q46" s="1"/>
      <c r="R46" s="1"/>
      <c r="S46" s="1"/>
      <c r="T46" s="1"/>
    </row>
    <row r="47" ht="16.5" customHeight="1">
      <c r="A47" s="1"/>
      <c r="B47" s="32" t="s">
        <v>333</v>
      </c>
      <c r="C47" s="64">
        <f>COUNTIFS('07 Tasks'!$C$7:$C$250,$B47,'07 Tasks'!$K$7:$K$250,"Completed")</f>
        <v>0</v>
      </c>
      <c r="D47" s="51"/>
      <c r="E47" s="64">
        <f>COUNTIF('07 Tasks'!$C$7:$C$250,$B47)</f>
        <v>5</v>
      </c>
      <c r="F47" s="51"/>
      <c r="G47" s="65">
        <f t="shared" si="1"/>
        <v>0</v>
      </c>
      <c r="H47" s="51"/>
      <c r="I47" s="66">
        <f t="shared" si="2"/>
        <v>0</v>
      </c>
      <c r="J47" s="67"/>
      <c r="K47" s="67"/>
      <c r="L47" s="51"/>
      <c r="M47" s="1"/>
      <c r="N47" s="1"/>
      <c r="O47" s="1"/>
      <c r="P47" s="1"/>
      <c r="Q47" s="1"/>
      <c r="R47" s="1"/>
      <c r="S47" s="1"/>
      <c r="T47" s="1"/>
    </row>
    <row r="48" ht="16.5" customHeight="1">
      <c r="A48" s="1"/>
      <c r="B48" s="32" t="s">
        <v>336</v>
      </c>
      <c r="C48" s="64">
        <f>COUNTIFS('07 Tasks'!$C$7:$C$250,$B48,'07 Tasks'!$K$7:$K$250,"Completed")</f>
        <v>0</v>
      </c>
      <c r="D48" s="51"/>
      <c r="E48" s="64">
        <f>COUNTIF('07 Tasks'!$C$7:$C$250,$B48)</f>
        <v>8</v>
      </c>
      <c r="F48" s="51"/>
      <c r="G48" s="65">
        <f t="shared" si="1"/>
        <v>0</v>
      </c>
      <c r="H48" s="51"/>
      <c r="I48" s="66">
        <f t="shared" si="2"/>
        <v>0</v>
      </c>
      <c r="J48" s="67"/>
      <c r="K48" s="67"/>
      <c r="L48" s="51"/>
      <c r="M48" s="1"/>
      <c r="N48" s="1"/>
      <c r="O48" s="1"/>
      <c r="P48" s="1"/>
      <c r="Q48" s="1"/>
      <c r="R48" s="1"/>
      <c r="S48" s="1"/>
      <c r="T48" s="1"/>
    </row>
    <row r="49" ht="16.5" customHeight="1">
      <c r="A49" s="1"/>
      <c r="B49" s="32" t="s">
        <v>338</v>
      </c>
      <c r="C49" s="64">
        <f>COUNTIFS('07 Tasks'!$C$7:$C$250,$B49,'07 Tasks'!$K$7:$K$250,"Completed")</f>
        <v>0</v>
      </c>
      <c r="D49" s="51"/>
      <c r="E49" s="64">
        <f>COUNTIF('07 Tasks'!$C$7:$C$250,$B49)</f>
        <v>2</v>
      </c>
      <c r="F49" s="51"/>
      <c r="G49" s="65">
        <f t="shared" si="1"/>
        <v>0</v>
      </c>
      <c r="H49" s="51"/>
      <c r="I49" s="66">
        <f t="shared" si="2"/>
        <v>0</v>
      </c>
      <c r="J49" s="67"/>
      <c r="K49" s="67"/>
      <c r="L49" s="51"/>
      <c r="M49" s="1"/>
      <c r="N49" s="1"/>
      <c r="O49" s="1"/>
      <c r="P49" s="1"/>
      <c r="Q49" s="1"/>
      <c r="R49" s="1"/>
      <c r="S49" s="1"/>
      <c r="T49" s="1"/>
    </row>
    <row r="50" ht="16.5" customHeight="1">
      <c r="A50" s="1"/>
      <c r="B50" s="32" t="s">
        <v>342</v>
      </c>
      <c r="C50" s="64">
        <f>COUNTIFS('07 Tasks'!$C$7:$C$250,$B50,'07 Tasks'!$K$7:$K$250,"Completed")</f>
        <v>0</v>
      </c>
      <c r="D50" s="51"/>
      <c r="E50" s="64">
        <f>COUNTIF('07 Tasks'!$C$7:$C$250,$B50)</f>
        <v>2</v>
      </c>
      <c r="F50" s="51"/>
      <c r="G50" s="65">
        <f t="shared" si="1"/>
        <v>0</v>
      </c>
      <c r="H50" s="51"/>
      <c r="I50" s="66">
        <f t="shared" si="2"/>
        <v>0</v>
      </c>
      <c r="J50" s="67"/>
      <c r="K50" s="67"/>
      <c r="L50" s="51"/>
      <c r="M50" s="1"/>
      <c r="N50" s="1"/>
      <c r="O50" s="1"/>
      <c r="P50" s="1"/>
      <c r="Q50" s="1"/>
      <c r="R50" s="1"/>
      <c r="S50" s="1"/>
      <c r="T50" s="1"/>
    </row>
    <row r="51" ht="16.5" customHeight="1">
      <c r="A51" s="1"/>
      <c r="B51" s="32" t="s">
        <v>348</v>
      </c>
      <c r="C51" s="64">
        <f>COUNTIFS('07 Tasks'!$C$7:$C$250,$B51,'07 Tasks'!$K$7:$K$250,"Completed")</f>
        <v>0</v>
      </c>
      <c r="D51" s="51"/>
      <c r="E51" s="64">
        <f>COUNTIF('07 Tasks'!$C$7:$C$250,$B51)</f>
        <v>3</v>
      </c>
      <c r="F51" s="51"/>
      <c r="G51" s="65">
        <f t="shared" si="1"/>
        <v>0</v>
      </c>
      <c r="H51" s="51"/>
      <c r="I51" s="66">
        <f t="shared" si="2"/>
        <v>0</v>
      </c>
      <c r="J51" s="67"/>
      <c r="K51" s="67"/>
      <c r="L51" s="51"/>
      <c r="M51" s="1"/>
      <c r="N51" s="1"/>
      <c r="O51" s="1"/>
      <c r="P51" s="1"/>
      <c r="Q51" s="1"/>
      <c r="R51" s="1"/>
      <c r="S51" s="1"/>
      <c r="T51" s="1"/>
    </row>
    <row r="52" ht="16.5" customHeight="1">
      <c r="A52" s="1"/>
      <c r="B52" s="32" t="s">
        <v>349</v>
      </c>
      <c r="C52" s="64">
        <f>COUNTIFS('07 Tasks'!$C$7:$C$250,$B52,'07 Tasks'!$K$7:$K$250,"Completed")</f>
        <v>0</v>
      </c>
      <c r="D52" s="51"/>
      <c r="E52" s="64">
        <f>COUNTIF('07 Tasks'!$C$7:$C$250,$B52)</f>
        <v>5</v>
      </c>
      <c r="F52" s="51"/>
      <c r="G52" s="65">
        <f t="shared" si="1"/>
        <v>0</v>
      </c>
      <c r="H52" s="51"/>
      <c r="I52" s="66">
        <f t="shared" si="2"/>
        <v>0</v>
      </c>
      <c r="J52" s="67"/>
      <c r="K52" s="67"/>
      <c r="L52" s="51"/>
      <c r="M52" s="1"/>
      <c r="N52" s="1"/>
      <c r="O52" s="1"/>
      <c r="P52" s="1"/>
      <c r="Q52" s="1"/>
      <c r="R52" s="1"/>
      <c r="S52" s="1"/>
      <c r="T52" s="1"/>
    </row>
    <row r="53" ht="16.5" customHeight="1">
      <c r="A53" s="1"/>
      <c r="B53" s="32" t="s">
        <v>355</v>
      </c>
      <c r="C53" s="64">
        <f>COUNTIFS('07 Tasks'!$C$7:$C$250,$B53,'07 Tasks'!$K$7:$K$250,"Completed")</f>
        <v>0</v>
      </c>
      <c r="D53" s="51"/>
      <c r="E53" s="64">
        <f>COUNTIF('07 Tasks'!$C$7:$C$250,$B53)</f>
        <v>5</v>
      </c>
      <c r="F53" s="51"/>
      <c r="G53" s="65">
        <f t="shared" si="1"/>
        <v>0</v>
      </c>
      <c r="H53" s="51"/>
      <c r="I53" s="66">
        <f t="shared" si="2"/>
        <v>0</v>
      </c>
      <c r="J53" s="67"/>
      <c r="K53" s="67"/>
      <c r="L53" s="51"/>
      <c r="M53" s="1"/>
      <c r="N53" s="1"/>
      <c r="O53" s="1"/>
      <c r="P53" s="1"/>
      <c r="Q53" s="1"/>
      <c r="R53" s="1"/>
      <c r="S53" s="1"/>
      <c r="T53" s="1"/>
    </row>
    <row r="54" ht="16.5" customHeight="1">
      <c r="A54" s="1"/>
      <c r="B54" s="32" t="s">
        <v>356</v>
      </c>
      <c r="C54" s="64">
        <f>COUNTIFS('07 Tasks'!$C$7:$C$250,$B54,'07 Tasks'!$K$7:$K$250,"Completed")</f>
        <v>0</v>
      </c>
      <c r="D54" s="51"/>
      <c r="E54" s="64">
        <f>COUNTIF('07 Tasks'!$C$7:$C$250,$B54)</f>
        <v>5</v>
      </c>
      <c r="F54" s="51"/>
      <c r="G54" s="65">
        <f t="shared" si="1"/>
        <v>0</v>
      </c>
      <c r="H54" s="51"/>
      <c r="I54" s="66">
        <f t="shared" si="2"/>
        <v>0</v>
      </c>
      <c r="J54" s="67"/>
      <c r="K54" s="67"/>
      <c r="L54" s="51"/>
      <c r="M54" s="1"/>
      <c r="N54" s="1"/>
      <c r="O54" s="1"/>
      <c r="P54" s="1"/>
      <c r="Q54" s="1"/>
      <c r="R54" s="1"/>
      <c r="S54" s="1"/>
      <c r="T54" s="1"/>
    </row>
    <row r="55" ht="16.5" customHeight="1">
      <c r="A55" s="1"/>
      <c r="B55" s="32" t="s">
        <v>362</v>
      </c>
      <c r="C55" s="64">
        <f>COUNTIFS('07 Tasks'!$C$7:$C$250,$B55,'07 Tasks'!$K$7:$K$250,"Completed")</f>
        <v>0</v>
      </c>
      <c r="D55" s="51"/>
      <c r="E55" s="64">
        <f>COUNTIF('07 Tasks'!$C$7:$C$250,$B55)</f>
        <v>3</v>
      </c>
      <c r="F55" s="51"/>
      <c r="G55" s="65">
        <f t="shared" si="1"/>
        <v>0</v>
      </c>
      <c r="H55" s="51"/>
      <c r="I55" s="66">
        <f t="shared" si="2"/>
        <v>0</v>
      </c>
      <c r="J55" s="67"/>
      <c r="K55" s="67"/>
      <c r="L55" s="51"/>
      <c r="M55" s="1"/>
      <c r="N55" s="1"/>
      <c r="O55" s="1"/>
      <c r="P55" s="1"/>
      <c r="Q55" s="1"/>
      <c r="R55" s="1"/>
      <c r="S55" s="1"/>
      <c r="T55" s="1"/>
    </row>
    <row r="56" ht="16.5" customHeight="1">
      <c r="A56" s="1"/>
      <c r="B56" s="32" t="s">
        <v>363</v>
      </c>
      <c r="C56" s="64">
        <f>COUNTIFS('07 Tasks'!$C$7:$C$250,$B56,'07 Tasks'!$K$7:$K$250,"Completed")</f>
        <v>0</v>
      </c>
      <c r="D56" s="51"/>
      <c r="E56" s="64">
        <f>COUNTIF('07 Tasks'!$C$7:$C$250,$B56)</f>
        <v>7</v>
      </c>
      <c r="F56" s="51"/>
      <c r="G56" s="65">
        <f t="shared" si="1"/>
        <v>0</v>
      </c>
      <c r="H56" s="51"/>
      <c r="I56" s="66">
        <f t="shared" si="2"/>
        <v>0</v>
      </c>
      <c r="J56" s="67"/>
      <c r="K56" s="67"/>
      <c r="L56" s="51"/>
      <c r="M56" s="1"/>
      <c r="N56" s="1"/>
      <c r="O56" s="1"/>
      <c r="P56" s="1"/>
      <c r="Q56" s="1"/>
      <c r="R56" s="1"/>
      <c r="S56" s="1"/>
      <c r="T56" s="1"/>
    </row>
    <row r="57" ht="16.5" customHeight="1">
      <c r="A57" s="1"/>
      <c r="B57" s="32" t="s">
        <v>366</v>
      </c>
      <c r="C57" s="64">
        <f>COUNTIFS('07 Tasks'!$C$7:$C$250,$B57,'07 Tasks'!$K$7:$K$250,"Completed")</f>
        <v>0</v>
      </c>
      <c r="D57" s="51"/>
      <c r="E57" s="64">
        <f>COUNTIF('07 Tasks'!$C$7:$C$250,$B57)</f>
        <v>9</v>
      </c>
      <c r="F57" s="51"/>
      <c r="G57" s="65">
        <f t="shared" si="1"/>
        <v>0</v>
      </c>
      <c r="H57" s="51"/>
      <c r="I57" s="66">
        <f t="shared" si="2"/>
        <v>0</v>
      </c>
      <c r="J57" s="67"/>
      <c r="K57" s="67"/>
      <c r="L57" s="51"/>
      <c r="M57" s="1"/>
      <c r="N57" s="1"/>
      <c r="O57" s="1"/>
      <c r="P57" s="1"/>
      <c r="Q57" s="1"/>
      <c r="R57" s="1"/>
      <c r="S57" s="1"/>
      <c r="T57" s="1"/>
    </row>
    <row r="58" ht="16.5" customHeight="1">
      <c r="A58" s="1"/>
      <c r="B58" s="32"/>
      <c r="C58" s="32"/>
      <c r="D58" s="32"/>
      <c r="E58" s="32"/>
      <c r="F58" s="32"/>
      <c r="G58" s="32"/>
      <c r="H58" s="32"/>
      <c r="I58" s="32"/>
      <c r="J58" s="32"/>
      <c r="K58" s="32"/>
      <c r="L58" s="1"/>
      <c r="M58" s="1"/>
      <c r="N58" s="1"/>
      <c r="O58" s="1"/>
      <c r="P58" s="1"/>
      <c r="Q58" s="1"/>
      <c r="R58" s="1"/>
      <c r="S58" s="1"/>
      <c r="T58" s="1"/>
    </row>
    <row r="59" ht="16.5" customHeight="1">
      <c r="A59" s="1"/>
      <c r="B59" s="32"/>
      <c r="C59" s="32"/>
      <c r="D59" s="32"/>
      <c r="E59" s="32"/>
      <c r="F59" s="32"/>
      <c r="G59" s="32"/>
      <c r="H59" s="32"/>
      <c r="I59" s="32"/>
      <c r="J59" s="32"/>
      <c r="K59" s="32"/>
      <c r="L59" s="1"/>
      <c r="M59" s="1"/>
      <c r="N59" s="1"/>
      <c r="O59" s="1"/>
      <c r="P59" s="1"/>
      <c r="Q59" s="1"/>
      <c r="R59" s="1"/>
      <c r="S59" s="1"/>
      <c r="T59" s="1"/>
    </row>
    <row r="60" ht="21.75" customHeight="1">
      <c r="A60" s="5"/>
      <c r="B60" s="8" t="s">
        <v>369</v>
      </c>
      <c r="C60" s="61"/>
      <c r="D60" s="8"/>
      <c r="E60" s="61"/>
      <c r="F60" s="8"/>
      <c r="G60" s="61"/>
      <c r="H60" s="8"/>
      <c r="I60" s="8"/>
      <c r="J60" s="8"/>
      <c r="K60" s="8"/>
      <c r="L60" s="8"/>
      <c r="M60" s="8"/>
      <c r="N60" s="8"/>
      <c r="O60" s="8"/>
      <c r="P60" s="8"/>
      <c r="Q60" s="8"/>
      <c r="R60" s="8"/>
      <c r="S60" s="8"/>
      <c r="T60" s="8"/>
    </row>
    <row r="61" ht="30.0" customHeight="1">
      <c r="A61" s="16"/>
      <c r="B61" s="62" t="s">
        <v>370</v>
      </c>
      <c r="C61" s="48" t="s">
        <v>371</v>
      </c>
      <c r="D61" s="63"/>
      <c r="E61" s="49"/>
      <c r="F61" s="48" t="s">
        <v>372</v>
      </c>
      <c r="G61" s="63"/>
      <c r="H61" s="63"/>
      <c r="I61" s="63"/>
      <c r="J61" s="63"/>
      <c r="K61" s="63"/>
      <c r="L61" s="63"/>
      <c r="M61" s="63"/>
      <c r="N61" s="63"/>
      <c r="O61" s="63"/>
      <c r="P61" s="63"/>
      <c r="Q61" s="63"/>
      <c r="R61" s="63"/>
      <c r="S61" s="63"/>
      <c r="T61" s="49"/>
    </row>
    <row r="62" ht="16.5" customHeight="1">
      <c r="A62" s="1"/>
      <c r="B62" s="68">
        <f>COUNTIF('04 Payments'!S7:S400,"Overdue")</f>
        <v>0</v>
      </c>
      <c r="C62" s="69" t="s">
        <v>373</v>
      </c>
      <c r="D62" s="67"/>
      <c r="E62" s="51"/>
      <c r="F62" s="70" t="s">
        <v>375</v>
      </c>
      <c r="G62" s="67"/>
      <c r="H62" s="67"/>
      <c r="I62" s="67"/>
      <c r="J62" s="67"/>
      <c r="K62" s="67"/>
      <c r="L62" s="67"/>
      <c r="M62" s="67"/>
      <c r="N62" s="67"/>
      <c r="O62" s="67"/>
      <c r="P62" s="67"/>
      <c r="Q62" s="67"/>
      <c r="R62" s="67"/>
      <c r="S62" s="67"/>
      <c r="T62" s="51"/>
    </row>
    <row r="63" ht="16.5" customHeight="1">
      <c r="A63" s="1"/>
      <c r="B63" s="68">
        <f>COUNTIF('04 Payments'!S7:S400,"Due")+COUNTIF('04 Payments'!S7:S400,"Due Soon")</f>
        <v>0</v>
      </c>
      <c r="C63" s="69" t="s">
        <v>377</v>
      </c>
      <c r="D63" s="67"/>
      <c r="E63" s="51"/>
      <c r="F63" s="70" t="s">
        <v>378</v>
      </c>
      <c r="G63" s="67"/>
      <c r="H63" s="67"/>
      <c r="I63" s="67"/>
      <c r="J63" s="67"/>
      <c r="K63" s="67"/>
      <c r="L63" s="67"/>
      <c r="M63" s="67"/>
      <c r="N63" s="67"/>
      <c r="O63" s="67"/>
      <c r="P63" s="67"/>
      <c r="Q63" s="67"/>
      <c r="R63" s="67"/>
      <c r="S63" s="67"/>
      <c r="T63" s="51"/>
    </row>
    <row r="64" ht="16.5" customHeight="1">
      <c r="A64" s="1"/>
      <c r="B64" s="68">
        <f>MAX(0,COUNTA('05 Vendors'!D7:D200)-COUNTIF('05 Vendors'!S7:S200,"Confirmed")-COUNTIF('05 Vendors'!S7:S200,"Completed")-COUNTIF('05 Vendors'!S7:S200,"Cancelled"))</f>
        <v>15</v>
      </c>
      <c r="C64" s="69" t="s">
        <v>377</v>
      </c>
      <c r="D64" s="67"/>
      <c r="E64" s="51"/>
      <c r="F64" s="70" t="s">
        <v>379</v>
      </c>
      <c r="G64" s="67"/>
      <c r="H64" s="67"/>
      <c r="I64" s="67"/>
      <c r="J64" s="67"/>
      <c r="K64" s="67"/>
      <c r="L64" s="67"/>
      <c r="M64" s="67"/>
      <c r="N64" s="67"/>
      <c r="O64" s="67"/>
      <c r="P64" s="67"/>
      <c r="Q64" s="67"/>
      <c r="R64" s="67"/>
      <c r="S64" s="67"/>
      <c r="T64" s="51"/>
    </row>
    <row r="65" ht="16.5" customHeight="1">
      <c r="A65" s="1"/>
      <c r="B65" s="68">
        <f>COUNTIFS('05 Vendors'!D7:D200,"&lt;&gt;",'05 Vendors'!Q7:Q200,"&lt;&gt;Yes")</f>
        <v>17</v>
      </c>
      <c r="C65" s="69" t="s">
        <v>377</v>
      </c>
      <c r="D65" s="67"/>
      <c r="E65" s="51"/>
      <c r="F65" s="70" t="s">
        <v>382</v>
      </c>
      <c r="G65" s="67"/>
      <c r="H65" s="67"/>
      <c r="I65" s="67"/>
      <c r="J65" s="67"/>
      <c r="K65" s="67"/>
      <c r="L65" s="67"/>
      <c r="M65" s="67"/>
      <c r="N65" s="67"/>
      <c r="O65" s="67"/>
      <c r="P65" s="67"/>
      <c r="Q65" s="67"/>
      <c r="R65" s="67"/>
      <c r="S65" s="67"/>
      <c r="T65" s="51"/>
    </row>
    <row r="66" ht="16.5" customHeight="1">
      <c r="A66" s="1"/>
      <c r="B66" s="68">
        <f>COUNTIFS('05 Vendors'!D7:D200,"&lt;&gt;",'05 Vendors'!F7:F200,"")</f>
        <v>17</v>
      </c>
      <c r="C66" s="69" t="s">
        <v>383</v>
      </c>
      <c r="D66" s="67"/>
      <c r="E66" s="51"/>
      <c r="F66" s="70" t="s">
        <v>384</v>
      </c>
      <c r="G66" s="67"/>
      <c r="H66" s="67"/>
      <c r="I66" s="67"/>
      <c r="J66" s="67"/>
      <c r="K66" s="67"/>
      <c r="L66" s="67"/>
      <c r="M66" s="67"/>
      <c r="N66" s="67"/>
      <c r="O66" s="67"/>
      <c r="P66" s="67"/>
      <c r="Q66" s="67"/>
      <c r="R66" s="67"/>
      <c r="S66" s="67"/>
      <c r="T66" s="51"/>
    </row>
    <row r="67" ht="16.5" customHeight="1">
      <c r="A67" s="1"/>
      <c r="B67" s="68">
        <f>COUNTIFS('05 Vendors'!D7:D200,"&lt;&gt;",'05 Vendors'!T7:T200,"")</f>
        <v>17</v>
      </c>
      <c r="C67" s="69" t="s">
        <v>383</v>
      </c>
      <c r="D67" s="67"/>
      <c r="E67" s="51"/>
      <c r="F67" s="70" t="s">
        <v>387</v>
      </c>
      <c r="G67" s="67"/>
      <c r="H67" s="67"/>
      <c r="I67" s="67"/>
      <c r="J67" s="67"/>
      <c r="K67" s="67"/>
      <c r="L67" s="67"/>
      <c r="M67" s="67"/>
      <c r="N67" s="67"/>
      <c r="O67" s="67"/>
      <c r="P67" s="67"/>
      <c r="Q67" s="67"/>
      <c r="R67" s="67"/>
      <c r="S67" s="67"/>
      <c r="T67" s="51"/>
    </row>
    <row r="68" ht="16.5" customHeight="1">
      <c r="A68" s="1"/>
      <c r="B68" s="68">
        <f>COUNTIF('07 Tasks'!L7:L250,"OVERDUE")</f>
        <v>0</v>
      </c>
      <c r="C68" s="69" t="s">
        <v>373</v>
      </c>
      <c r="D68" s="67"/>
      <c r="E68" s="51"/>
      <c r="F68" s="70" t="s">
        <v>388</v>
      </c>
      <c r="G68" s="67"/>
      <c r="H68" s="67"/>
      <c r="I68" s="67"/>
      <c r="J68" s="67"/>
      <c r="K68" s="67"/>
      <c r="L68" s="67"/>
      <c r="M68" s="67"/>
      <c r="N68" s="67"/>
      <c r="O68" s="67"/>
      <c r="P68" s="67"/>
      <c r="Q68" s="67"/>
      <c r="R68" s="67"/>
      <c r="S68" s="67"/>
      <c r="T68" s="51"/>
    </row>
    <row r="69" ht="16.5" customHeight="1">
      <c r="A69" s="1"/>
      <c r="B69" s="68">
        <f>COUNTIF('07 Tasks'!L7:L250,"TODAY")+COUNTIF('07 Tasks'!L7:L250,"This week")</f>
        <v>1</v>
      </c>
      <c r="C69" s="69" t="s">
        <v>377</v>
      </c>
      <c r="D69" s="67"/>
      <c r="E69" s="51"/>
      <c r="F69" s="70" t="s">
        <v>389</v>
      </c>
      <c r="G69" s="67"/>
      <c r="H69" s="67"/>
      <c r="I69" s="67"/>
      <c r="J69" s="67"/>
      <c r="K69" s="67"/>
      <c r="L69" s="67"/>
      <c r="M69" s="67"/>
      <c r="N69" s="67"/>
      <c r="O69" s="67"/>
      <c r="P69" s="67"/>
      <c r="Q69" s="67"/>
      <c r="R69" s="67"/>
      <c r="S69" s="67"/>
      <c r="T69" s="51"/>
    </row>
    <row r="70" ht="16.5" customHeight="1">
      <c r="A70" s="1"/>
      <c r="B70" s="68">
        <f>COUNTIFS('07 Tasks'!G7:G250,"Critical",'07 Tasks'!K7:K250,"&lt;&gt;Completed",'07 Tasks'!K7:K250,"&lt;&gt;Cancelled",'07 Tasks'!I7:I250,"&lt;="&amp;(TODAY()+30))</f>
        <v>3</v>
      </c>
      <c r="C70" s="69" t="s">
        <v>377</v>
      </c>
      <c r="D70" s="67"/>
      <c r="E70" s="51"/>
      <c r="F70" s="70" t="s">
        <v>391</v>
      </c>
      <c r="G70" s="67"/>
      <c r="H70" s="67"/>
      <c r="I70" s="67"/>
      <c r="J70" s="67"/>
      <c r="K70" s="67"/>
      <c r="L70" s="67"/>
      <c r="M70" s="67"/>
      <c r="N70" s="67"/>
      <c r="O70" s="67"/>
      <c r="P70" s="67"/>
      <c r="Q70" s="67"/>
      <c r="R70" s="67"/>
      <c r="S70" s="67"/>
      <c r="T70" s="51"/>
    </row>
    <row r="71" ht="16.5" customHeight="1">
      <c r="A71" s="1"/>
      <c r="B71" s="68">
        <f>COUNTIFS('07 Tasks'!D7:D250,"&lt;&gt;",'07 Tasks'!E7:E250,"")</f>
        <v>0</v>
      </c>
      <c r="C71" s="69" t="s">
        <v>383</v>
      </c>
      <c r="D71" s="67"/>
      <c r="E71" s="51"/>
      <c r="F71" s="70" t="s">
        <v>392</v>
      </c>
      <c r="G71" s="67"/>
      <c r="H71" s="67"/>
      <c r="I71" s="67"/>
      <c r="J71" s="67"/>
      <c r="K71" s="67"/>
      <c r="L71" s="67"/>
      <c r="M71" s="67"/>
      <c r="N71" s="67"/>
      <c r="O71" s="67"/>
      <c r="P71" s="67"/>
      <c r="Q71" s="67"/>
      <c r="R71" s="67"/>
      <c r="S71" s="67"/>
      <c r="T71" s="51"/>
    </row>
    <row r="72" ht="16.5" customHeight="1">
      <c r="A72" s="1"/>
      <c r="B72" s="68">
        <f>COUNTIFS('09 Guests'!S7:S300,"Yes",'09 Guests'!U7:U300,"Pending")</f>
        <v>0</v>
      </c>
      <c r="C72" s="69" t="s">
        <v>377</v>
      </c>
      <c r="D72" s="67"/>
      <c r="E72" s="51"/>
      <c r="F72" s="70" t="s">
        <v>396</v>
      </c>
      <c r="G72" s="67"/>
      <c r="H72" s="67"/>
      <c r="I72" s="67"/>
      <c r="J72" s="67"/>
      <c r="K72" s="67"/>
      <c r="L72" s="67"/>
      <c r="M72" s="67"/>
      <c r="N72" s="67"/>
      <c r="O72" s="67"/>
      <c r="P72" s="67"/>
      <c r="Q72" s="67"/>
      <c r="R72" s="67"/>
      <c r="S72" s="67"/>
      <c r="T72" s="51"/>
    </row>
    <row r="73" ht="16.5" customHeight="1">
      <c r="A73" s="1"/>
      <c r="B73" s="68">
        <f>SUMIFS('09 Guests'!Y7:Y300,'09 Guests'!U7:U300,"Accepted",'09 Guests'!AD7:AD300,"")</f>
        <v>0</v>
      </c>
      <c r="C73" s="69" t="s">
        <v>377</v>
      </c>
      <c r="D73" s="67"/>
      <c r="E73" s="51"/>
      <c r="F73" s="70" t="s">
        <v>397</v>
      </c>
      <c r="G73" s="67"/>
      <c r="H73" s="67"/>
      <c r="I73" s="67"/>
      <c r="J73" s="67"/>
      <c r="K73" s="67"/>
      <c r="L73" s="67"/>
      <c r="M73" s="67"/>
      <c r="N73" s="67"/>
      <c r="O73" s="67"/>
      <c r="P73" s="67"/>
      <c r="Q73" s="67"/>
      <c r="R73" s="67"/>
      <c r="S73" s="67"/>
      <c r="T73" s="51"/>
    </row>
    <row r="74" ht="16.5" customHeight="1">
      <c r="A74" s="1"/>
      <c r="B74" s="68">
        <f>COUNTIF('10 RSVP &amp; Seating'!O20:O60,"OVER CAPACITY")</f>
        <v>0</v>
      </c>
      <c r="C74" s="69" t="s">
        <v>373</v>
      </c>
      <c r="D74" s="67"/>
      <c r="E74" s="51"/>
      <c r="F74" s="70" t="s">
        <v>400</v>
      </c>
      <c r="G74" s="67"/>
      <c r="H74" s="67"/>
      <c r="I74" s="67"/>
      <c r="J74" s="67"/>
      <c r="K74" s="67"/>
      <c r="L74" s="67"/>
      <c r="M74" s="67"/>
      <c r="N74" s="67"/>
      <c r="O74" s="67"/>
      <c r="P74" s="67"/>
      <c r="Q74" s="67"/>
      <c r="R74" s="67"/>
      <c r="S74" s="67"/>
      <c r="T74" s="51"/>
    </row>
    <row r="75" ht="16.5" customHeight="1">
      <c r="A75" s="1"/>
      <c r="B75" s="68">
        <f>COUNTIFS('09 Guests'!F7:F300,"",'09 Guests'!D7:D300,"&lt;&gt;")</f>
        <v>0</v>
      </c>
      <c r="C75" s="69" t="s">
        <v>401</v>
      </c>
      <c r="D75" s="67"/>
      <c r="E75" s="51"/>
      <c r="F75" s="70" t="s">
        <v>402</v>
      </c>
      <c r="G75" s="67"/>
      <c r="H75" s="67"/>
      <c r="I75" s="67"/>
      <c r="J75" s="67"/>
      <c r="K75" s="67"/>
      <c r="L75" s="67"/>
      <c r="M75" s="67"/>
      <c r="N75" s="67"/>
      <c r="O75" s="67"/>
      <c r="P75" s="67"/>
      <c r="Q75" s="67"/>
      <c r="R75" s="67"/>
      <c r="S75" s="67"/>
      <c r="T75" s="51"/>
    </row>
    <row r="76" ht="16.5" customHeight="1">
      <c r="A76" s="1"/>
      <c r="B76" s="68">
        <f>COUNTIF('03 Budget'!P7:P300,"&gt;0")</f>
        <v>2</v>
      </c>
      <c r="C76" s="69" t="s">
        <v>383</v>
      </c>
      <c r="D76" s="67"/>
      <c r="E76" s="51"/>
      <c r="F76" s="70" t="s">
        <v>405</v>
      </c>
      <c r="G76" s="67"/>
      <c r="H76" s="67"/>
      <c r="I76" s="67"/>
      <c r="J76" s="67"/>
      <c r="K76" s="67"/>
      <c r="L76" s="67"/>
      <c r="M76" s="67"/>
      <c r="N76" s="67"/>
      <c r="O76" s="67"/>
      <c r="P76" s="67"/>
      <c r="Q76" s="67"/>
      <c r="R76" s="67"/>
      <c r="S76" s="67"/>
      <c r="T76" s="51"/>
    </row>
    <row r="77" ht="16.5" customHeight="1">
      <c r="A77" s="1"/>
      <c r="B77" s="68">
        <f>IF(SUM('03 Budget'!L7:L300)&gt;TotalBudget,1,0)</f>
        <v>1</v>
      </c>
      <c r="C77" s="69" t="s">
        <v>373</v>
      </c>
      <c r="D77" s="67"/>
      <c r="E77" s="51"/>
      <c r="F77" s="70" t="s">
        <v>408</v>
      </c>
      <c r="G77" s="67"/>
      <c r="H77" s="67"/>
      <c r="I77" s="67"/>
      <c r="J77" s="67"/>
      <c r="K77" s="67"/>
      <c r="L77" s="67"/>
      <c r="M77" s="67"/>
      <c r="N77" s="67"/>
      <c r="O77" s="67"/>
      <c r="P77" s="67"/>
      <c r="Q77" s="67"/>
      <c r="R77" s="67"/>
      <c r="S77" s="67"/>
      <c r="T77" s="51"/>
    </row>
    <row r="78" ht="16.5" customHeight="1">
      <c r="A78" s="1"/>
      <c r="B78" s="68">
        <f>COUNTIFS('04 Payments'!S7:S400,"Paid",'04 Payments'!Q7:Q400,"&lt;&gt;Yes")</f>
        <v>0</v>
      </c>
      <c r="C78" s="69" t="s">
        <v>401</v>
      </c>
      <c r="D78" s="67"/>
      <c r="E78" s="51"/>
      <c r="F78" s="70" t="s">
        <v>409</v>
      </c>
      <c r="G78" s="67"/>
      <c r="H78" s="67"/>
      <c r="I78" s="67"/>
      <c r="J78" s="67"/>
      <c r="K78" s="67"/>
      <c r="L78" s="67"/>
      <c r="M78" s="67"/>
      <c r="N78" s="67"/>
      <c r="O78" s="67"/>
      <c r="P78" s="67"/>
      <c r="Q78" s="67"/>
      <c r="R78" s="67"/>
      <c r="S78" s="67"/>
      <c r="T78" s="51"/>
    </row>
    <row r="79" ht="16.5" customHeight="1">
      <c r="A79" s="1"/>
      <c r="B79" s="68">
        <f>COUNTIF('14 Ceremony &amp; Legal'!K7:K200,"VERIFY")</f>
        <v>12</v>
      </c>
      <c r="C79" s="69" t="s">
        <v>377</v>
      </c>
      <c r="D79" s="67"/>
      <c r="E79" s="51"/>
      <c r="F79" s="70" t="s">
        <v>412</v>
      </c>
      <c r="G79" s="67"/>
      <c r="H79" s="67"/>
      <c r="I79" s="67"/>
      <c r="J79" s="67"/>
      <c r="K79" s="67"/>
      <c r="L79" s="67"/>
      <c r="M79" s="67"/>
      <c r="N79" s="67"/>
      <c r="O79" s="67"/>
      <c r="P79" s="67"/>
      <c r="Q79" s="67"/>
      <c r="R79" s="67"/>
      <c r="S79" s="67"/>
      <c r="T79" s="51"/>
    </row>
    <row r="80" ht="16.5" customHeight="1">
      <c r="A80" s="1"/>
      <c r="B80" s="68">
        <f>IF(TODAY()&lt;WeddingDate,0,COUNTIFS('12 Attire &amp; Jewellery'!E7:E120,"Rented",'12 Attire &amp; Jewellery'!L7:L120,"No"))</f>
        <v>0</v>
      </c>
      <c r="C80" s="69" t="s">
        <v>373</v>
      </c>
      <c r="D80" s="67"/>
      <c r="E80" s="51"/>
      <c r="F80" s="70" t="s">
        <v>413</v>
      </c>
      <c r="G80" s="67"/>
      <c r="H80" s="67"/>
      <c r="I80" s="67"/>
      <c r="J80" s="67"/>
      <c r="K80" s="67"/>
      <c r="L80" s="67"/>
      <c r="M80" s="67"/>
      <c r="N80" s="67"/>
      <c r="O80" s="67"/>
      <c r="P80" s="67"/>
      <c r="Q80" s="67"/>
      <c r="R80" s="67"/>
      <c r="S80" s="67"/>
      <c r="T80" s="51"/>
    </row>
    <row r="81" ht="16.5" customHeight="1">
      <c r="A81" s="1"/>
      <c r="B81" s="68">
        <f>IF(WeddingDate-TODAY()&gt;45,0,COUNTIFS('23 Procurement &amp; Packing'!E7:E120,"Required",'23 Procurement &amp; Packing'!J7:J120,"No"))</f>
        <v>0</v>
      </c>
      <c r="C81" s="69" t="s">
        <v>383</v>
      </c>
      <c r="D81" s="67"/>
      <c r="E81" s="51"/>
      <c r="F81" s="70" t="s">
        <v>416</v>
      </c>
      <c r="G81" s="67"/>
      <c r="H81" s="67"/>
      <c r="I81" s="67"/>
      <c r="J81" s="67"/>
      <c r="K81" s="67"/>
      <c r="L81" s="67"/>
      <c r="M81" s="67"/>
      <c r="N81" s="67"/>
      <c r="O81" s="67"/>
      <c r="P81" s="67"/>
      <c r="Q81" s="67"/>
      <c r="R81" s="67"/>
      <c r="S81" s="67"/>
      <c r="T81" s="51"/>
    </row>
    <row r="82" ht="16.5" customHeight="1">
      <c r="A82" s="1"/>
      <c r="B82" s="68">
        <f>IF(WeddingDate-TODAY()&gt;14,0,COUNTIFS('23 Procurement &amp; Packing'!O7:O120,"No",'23 Procurement &amp; Packing'!N7:N120,"Yes"))</f>
        <v>0</v>
      </c>
      <c r="C82" s="69" t="s">
        <v>377</v>
      </c>
      <c r="D82" s="67"/>
      <c r="E82" s="51"/>
      <c r="F82" s="70" t="s">
        <v>419</v>
      </c>
      <c r="G82" s="67"/>
      <c r="H82" s="67"/>
      <c r="I82" s="67"/>
      <c r="J82" s="67"/>
      <c r="K82" s="67"/>
      <c r="L82" s="67"/>
      <c r="M82" s="67"/>
      <c r="N82" s="67"/>
      <c r="O82" s="67"/>
      <c r="P82" s="67"/>
      <c r="Q82" s="67"/>
      <c r="R82" s="67"/>
      <c r="S82" s="67"/>
      <c r="T82" s="51"/>
    </row>
    <row r="83" ht="16.5" customHeight="1">
      <c r="A83" s="1"/>
      <c r="B83" s="68">
        <f>IF(TODAY()&lt;WeddingDate,0,COUNTIFS('18 Photo &amp; Video Plan'!D7:D90,"Must",'18 Photo &amp; Video Plan'!I7:I90,"No"))</f>
        <v>0</v>
      </c>
      <c r="C83" s="69" t="s">
        <v>401</v>
      </c>
      <c r="D83" s="67"/>
      <c r="E83" s="51"/>
      <c r="F83" s="70" t="s">
        <v>420</v>
      </c>
      <c r="G83" s="67"/>
      <c r="H83" s="67"/>
      <c r="I83" s="67"/>
      <c r="J83" s="67"/>
      <c r="K83" s="67"/>
      <c r="L83" s="67"/>
      <c r="M83" s="67"/>
      <c r="N83" s="67"/>
      <c r="O83" s="67"/>
      <c r="P83" s="67"/>
      <c r="Q83" s="67"/>
      <c r="R83" s="67"/>
      <c r="S83" s="67"/>
      <c r="T83" s="51"/>
    </row>
    <row r="84" ht="16.5" customHeight="1">
      <c r="A84" s="1"/>
      <c r="B84" s="68">
        <f>COUNTIF('05a Vendor Compare'!$I$7:$I$40,"NOT YET")</f>
        <v>0</v>
      </c>
      <c r="C84" s="69" t="s">
        <v>377</v>
      </c>
      <c r="D84" s="67"/>
      <c r="E84" s="51"/>
      <c r="F84" s="70" t="s">
        <v>423</v>
      </c>
      <c r="G84" s="67"/>
      <c r="H84" s="67"/>
      <c r="I84" s="67"/>
      <c r="J84" s="67"/>
      <c r="K84" s="67"/>
      <c r="L84" s="67"/>
      <c r="M84" s="67"/>
      <c r="N84" s="67"/>
      <c r="O84" s="67"/>
      <c r="P84" s="67"/>
      <c r="Q84" s="67"/>
      <c r="R84" s="67"/>
      <c r="S84" s="67"/>
      <c r="T84" s="51"/>
    </row>
    <row r="85" ht="16.5" customHeight="1">
      <c r="A85" s="1"/>
      <c r="B85" s="71"/>
      <c r="C85" s="67"/>
      <c r="D85" s="67"/>
      <c r="E85" s="67"/>
      <c r="F85" s="67"/>
      <c r="G85" s="67"/>
      <c r="H85" s="67"/>
      <c r="I85" s="67"/>
      <c r="J85" s="67"/>
      <c r="K85" s="67"/>
      <c r="L85" s="67"/>
      <c r="M85" s="67"/>
      <c r="N85" s="51"/>
      <c r="O85" s="1"/>
      <c r="P85" s="1"/>
      <c r="Q85" s="1"/>
      <c r="R85" s="1"/>
      <c r="S85" s="1"/>
      <c r="T85" s="1"/>
    </row>
    <row r="86" ht="16.5" customHeight="1">
      <c r="A86" s="4"/>
      <c r="B86" s="71" t="str">
        <f>IF(SUMPRODUCT(--(B62:B84&gt;0))=0,"Nothing needs your attention right now.","There are "&amp;SUMPRODUCT(--(B62:B84&gt;0))&amp;" item(s) above that need attention.")</f>
        <v>There are 9 item(s) above that need attention.</v>
      </c>
      <c r="C86" s="67"/>
      <c r="D86" s="67"/>
      <c r="E86" s="67"/>
      <c r="F86" s="67"/>
      <c r="G86" s="67"/>
      <c r="H86" s="67"/>
      <c r="I86" s="67"/>
      <c r="J86" s="67"/>
      <c r="K86" s="67"/>
      <c r="L86" s="67"/>
      <c r="M86" s="67"/>
      <c r="N86" s="51"/>
      <c r="O86" s="4"/>
      <c r="P86" s="4"/>
      <c r="Q86" s="4"/>
      <c r="R86" s="4"/>
      <c r="S86" s="4"/>
      <c r="T86" s="4"/>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8">
    <mergeCell ref="E53:F53"/>
    <mergeCell ref="G53:H53"/>
    <mergeCell ref="C54:D54"/>
    <mergeCell ref="E54:F54"/>
    <mergeCell ref="G54:H54"/>
    <mergeCell ref="I54:L54"/>
    <mergeCell ref="C55:D55"/>
    <mergeCell ref="I55:L55"/>
    <mergeCell ref="E55:F55"/>
    <mergeCell ref="G55:H55"/>
    <mergeCell ref="C56:D56"/>
    <mergeCell ref="E56:F56"/>
    <mergeCell ref="G56:H56"/>
    <mergeCell ref="I56:L56"/>
    <mergeCell ref="C57:D57"/>
    <mergeCell ref="I57:L57"/>
    <mergeCell ref="C66:E66"/>
    <mergeCell ref="C67:E67"/>
    <mergeCell ref="C68:E68"/>
    <mergeCell ref="C69:E69"/>
    <mergeCell ref="C70:E70"/>
    <mergeCell ref="C71:E71"/>
    <mergeCell ref="C72:E72"/>
    <mergeCell ref="C80:E80"/>
    <mergeCell ref="C81:E81"/>
    <mergeCell ref="C82:E82"/>
    <mergeCell ref="C83:E83"/>
    <mergeCell ref="C84:E84"/>
    <mergeCell ref="C73:E73"/>
    <mergeCell ref="C74:E74"/>
    <mergeCell ref="C75:E75"/>
    <mergeCell ref="C76:E76"/>
    <mergeCell ref="C77:E77"/>
    <mergeCell ref="C78:E78"/>
    <mergeCell ref="C79:E79"/>
    <mergeCell ref="G37:H37"/>
    <mergeCell ref="I37:L37"/>
    <mergeCell ref="C33:D33"/>
    <mergeCell ref="E33:F33"/>
    <mergeCell ref="G33:H33"/>
    <mergeCell ref="I33:J33"/>
    <mergeCell ref="K33:L33"/>
    <mergeCell ref="C37:D37"/>
    <mergeCell ref="E37:F37"/>
    <mergeCell ref="C38:D38"/>
    <mergeCell ref="E38:F38"/>
    <mergeCell ref="G38:H38"/>
    <mergeCell ref="I38:L38"/>
    <mergeCell ref="E39:F39"/>
    <mergeCell ref="G39:H39"/>
    <mergeCell ref="I39:L39"/>
    <mergeCell ref="G41:H41"/>
    <mergeCell ref="I41:L41"/>
    <mergeCell ref="C39:D39"/>
    <mergeCell ref="C40:D40"/>
    <mergeCell ref="E40:F40"/>
    <mergeCell ref="G40:H40"/>
    <mergeCell ref="I40:L40"/>
    <mergeCell ref="C41:D41"/>
    <mergeCell ref="E41:F41"/>
    <mergeCell ref="G45:H45"/>
    <mergeCell ref="I45:L45"/>
    <mergeCell ref="E57:F57"/>
    <mergeCell ref="G57:H57"/>
    <mergeCell ref="C61:E61"/>
    <mergeCell ref="C62:E62"/>
    <mergeCell ref="C63:E63"/>
    <mergeCell ref="C64:E64"/>
    <mergeCell ref="C65:E65"/>
    <mergeCell ref="L6:N6"/>
    <mergeCell ref="O6:Q6"/>
    <mergeCell ref="C5:E5"/>
    <mergeCell ref="F5:H5"/>
    <mergeCell ref="I5:K5"/>
    <mergeCell ref="L5:N5"/>
    <mergeCell ref="O5:Q5"/>
    <mergeCell ref="R5:T5"/>
    <mergeCell ref="C6:E6"/>
    <mergeCell ref="R6:T6"/>
    <mergeCell ref="F6:H6"/>
    <mergeCell ref="I6:K6"/>
    <mergeCell ref="F8:H8"/>
    <mergeCell ref="I8:K8"/>
    <mergeCell ref="L8:N8"/>
    <mergeCell ref="O8:Q8"/>
    <mergeCell ref="R8:T8"/>
    <mergeCell ref="C8:E8"/>
    <mergeCell ref="C9:E9"/>
    <mergeCell ref="F9:H9"/>
    <mergeCell ref="I9:K9"/>
    <mergeCell ref="L9:N9"/>
    <mergeCell ref="O9:Q9"/>
    <mergeCell ref="R9:T9"/>
    <mergeCell ref="G13:H13"/>
    <mergeCell ref="I13:J13"/>
    <mergeCell ref="E15:F15"/>
    <mergeCell ref="G15:H15"/>
    <mergeCell ref="I15:J15"/>
    <mergeCell ref="K15:L15"/>
    <mergeCell ref="C12:D12"/>
    <mergeCell ref="E12:F12"/>
    <mergeCell ref="G12:H12"/>
    <mergeCell ref="I12:J12"/>
    <mergeCell ref="K12:L12"/>
    <mergeCell ref="E13:F13"/>
    <mergeCell ref="K13:L13"/>
    <mergeCell ref="C13:D13"/>
    <mergeCell ref="C14:D14"/>
    <mergeCell ref="E14:F14"/>
    <mergeCell ref="G14:H14"/>
    <mergeCell ref="I14:J14"/>
    <mergeCell ref="K14:L14"/>
    <mergeCell ref="C15:D15"/>
    <mergeCell ref="G17:H17"/>
    <mergeCell ref="I17:J17"/>
    <mergeCell ref="C16:D16"/>
    <mergeCell ref="E16:F16"/>
    <mergeCell ref="G16:H16"/>
    <mergeCell ref="I16:J16"/>
    <mergeCell ref="K16:L16"/>
    <mergeCell ref="E17:F17"/>
    <mergeCell ref="K17:L17"/>
    <mergeCell ref="I19:J19"/>
    <mergeCell ref="K19:L19"/>
    <mergeCell ref="I20:J20"/>
    <mergeCell ref="K20:L20"/>
    <mergeCell ref="I21:J21"/>
    <mergeCell ref="K21:L21"/>
    <mergeCell ref="C17:D17"/>
    <mergeCell ref="C18:D18"/>
    <mergeCell ref="E18:F18"/>
    <mergeCell ref="G18:H18"/>
    <mergeCell ref="I18:J18"/>
    <mergeCell ref="K18:L18"/>
    <mergeCell ref="C19:D19"/>
    <mergeCell ref="E19:F19"/>
    <mergeCell ref="G19:H19"/>
    <mergeCell ref="C20:D20"/>
    <mergeCell ref="E20:F20"/>
    <mergeCell ref="G20:H20"/>
    <mergeCell ref="E21:F21"/>
    <mergeCell ref="G21:H21"/>
    <mergeCell ref="I31:J31"/>
    <mergeCell ref="K31:L31"/>
    <mergeCell ref="C29:D29"/>
    <mergeCell ref="C30:D30"/>
    <mergeCell ref="E30:F30"/>
    <mergeCell ref="G30:H30"/>
    <mergeCell ref="I30:J30"/>
    <mergeCell ref="K30:L30"/>
    <mergeCell ref="C31:D31"/>
    <mergeCell ref="I23:J23"/>
    <mergeCell ref="K23:L23"/>
    <mergeCell ref="I24:J24"/>
    <mergeCell ref="K24:L24"/>
    <mergeCell ref="I25:J25"/>
    <mergeCell ref="K25:L25"/>
    <mergeCell ref="C21:D21"/>
    <mergeCell ref="C22:D22"/>
    <mergeCell ref="E22:F22"/>
    <mergeCell ref="G22:H22"/>
    <mergeCell ref="I22:J22"/>
    <mergeCell ref="K22:L22"/>
    <mergeCell ref="C23:D23"/>
    <mergeCell ref="E23:F23"/>
    <mergeCell ref="G23:H23"/>
    <mergeCell ref="C24:D24"/>
    <mergeCell ref="E24:F24"/>
    <mergeCell ref="G24:H24"/>
    <mergeCell ref="E25:F25"/>
    <mergeCell ref="G25:H25"/>
    <mergeCell ref="I27:J27"/>
    <mergeCell ref="K27:L27"/>
    <mergeCell ref="I28:J28"/>
    <mergeCell ref="K28:L28"/>
    <mergeCell ref="I29:J29"/>
    <mergeCell ref="K29:L29"/>
    <mergeCell ref="C25:D25"/>
    <mergeCell ref="C26:D26"/>
    <mergeCell ref="E26:F26"/>
    <mergeCell ref="G26:H26"/>
    <mergeCell ref="I26:J26"/>
    <mergeCell ref="K26:L26"/>
    <mergeCell ref="C27:D27"/>
    <mergeCell ref="E27:F27"/>
    <mergeCell ref="G27:H27"/>
    <mergeCell ref="C28:D28"/>
    <mergeCell ref="E28:F28"/>
    <mergeCell ref="G28:H28"/>
    <mergeCell ref="E29:F29"/>
    <mergeCell ref="G29:H29"/>
    <mergeCell ref="E31:F31"/>
    <mergeCell ref="G31:H31"/>
    <mergeCell ref="C32:D32"/>
    <mergeCell ref="E32:F32"/>
    <mergeCell ref="G32:H32"/>
    <mergeCell ref="I32:J32"/>
    <mergeCell ref="K32:L32"/>
    <mergeCell ref="C42:D42"/>
    <mergeCell ref="E42:F42"/>
    <mergeCell ref="G42:H42"/>
    <mergeCell ref="I42:L42"/>
    <mergeCell ref="E43:F43"/>
    <mergeCell ref="G43:H43"/>
    <mergeCell ref="I43:L43"/>
    <mergeCell ref="C43:D43"/>
    <mergeCell ref="C44:D44"/>
    <mergeCell ref="E44:F44"/>
    <mergeCell ref="G44:H44"/>
    <mergeCell ref="I44:L44"/>
    <mergeCell ref="C45:D45"/>
    <mergeCell ref="E45:F45"/>
    <mergeCell ref="C46:D46"/>
    <mergeCell ref="E46:F46"/>
    <mergeCell ref="G46:H46"/>
    <mergeCell ref="I46:L46"/>
    <mergeCell ref="E47:F47"/>
    <mergeCell ref="G47:H47"/>
    <mergeCell ref="I47:L47"/>
    <mergeCell ref="C47:D47"/>
    <mergeCell ref="C48:D48"/>
    <mergeCell ref="E48:F48"/>
    <mergeCell ref="G48:H48"/>
    <mergeCell ref="I48:L48"/>
    <mergeCell ref="C49:D49"/>
    <mergeCell ref="E49:F49"/>
    <mergeCell ref="G49:H49"/>
    <mergeCell ref="I49:L49"/>
    <mergeCell ref="C50:D50"/>
    <mergeCell ref="E50:F50"/>
    <mergeCell ref="G50:H50"/>
    <mergeCell ref="I50:L50"/>
    <mergeCell ref="C51:D51"/>
    <mergeCell ref="I51:L51"/>
    <mergeCell ref="E51:F51"/>
    <mergeCell ref="G51:H51"/>
    <mergeCell ref="C52:D52"/>
    <mergeCell ref="E52:F52"/>
    <mergeCell ref="G52:H52"/>
    <mergeCell ref="I52:L52"/>
    <mergeCell ref="C53:D53"/>
    <mergeCell ref="I53:L53"/>
    <mergeCell ref="F61:T61"/>
    <mergeCell ref="F62:T62"/>
    <mergeCell ref="F63:T63"/>
    <mergeCell ref="F64:T64"/>
    <mergeCell ref="F65:T65"/>
    <mergeCell ref="F66:T66"/>
    <mergeCell ref="F67:T67"/>
    <mergeCell ref="F68:T68"/>
    <mergeCell ref="F69:T69"/>
    <mergeCell ref="F70:T70"/>
    <mergeCell ref="F71:T71"/>
    <mergeCell ref="F72:T72"/>
    <mergeCell ref="F73:T73"/>
    <mergeCell ref="F81:T81"/>
    <mergeCell ref="F82:T82"/>
    <mergeCell ref="F83:T83"/>
    <mergeCell ref="F84:T84"/>
    <mergeCell ref="B85:N85"/>
    <mergeCell ref="B86:N86"/>
    <mergeCell ref="F74:T74"/>
    <mergeCell ref="F75:T75"/>
    <mergeCell ref="F76:T76"/>
    <mergeCell ref="F77:T77"/>
    <mergeCell ref="F78:T78"/>
    <mergeCell ref="F79:T79"/>
    <mergeCell ref="F80:T80"/>
  </mergeCells>
  <conditionalFormatting sqref="R6:T6">
    <cfRule type="cellIs" dxfId="0" priority="1" operator="lessThan">
      <formula>0</formula>
    </cfRule>
  </conditionalFormatting>
  <conditionalFormatting sqref="C6:E6">
    <cfRule type="cellIs" dxfId="1" priority="2" operator="lessThan">
      <formula>0</formula>
    </cfRule>
  </conditionalFormatting>
  <conditionalFormatting sqref="K13:L33">
    <cfRule type="cellIs" dxfId="2" priority="3" operator="greaterThan">
      <formula>0</formula>
    </cfRule>
  </conditionalFormatting>
  <conditionalFormatting sqref="K13:L33">
    <cfRule type="cellIs" dxfId="3" priority="4" operator="lessThan">
      <formula>0</formula>
    </cfRule>
  </conditionalFormatting>
  <conditionalFormatting sqref="G38:H57">
    <cfRule type="cellIs" dxfId="3" priority="5" operator="greaterThanOrEqual">
      <formula>1</formula>
    </cfRule>
  </conditionalFormatting>
  <conditionalFormatting sqref="G38:H57">
    <cfRule type="cellIs" dxfId="4" priority="6" operator="equal">
      <formula>0</formula>
    </cfRule>
  </conditionalFormatting>
  <conditionalFormatting sqref="B62:T84">
    <cfRule type="expression" dxfId="5" priority="7">
      <formula>$B62=0</formula>
    </cfRule>
  </conditionalFormatting>
  <conditionalFormatting sqref="B62:T84">
    <cfRule type="expression" dxfId="2" priority="8">
      <formula>AND($B62&gt;0,$C62="CRITICAL")</formula>
    </cfRule>
  </conditionalFormatting>
  <conditionalFormatting sqref="B62:T84">
    <cfRule type="expression" dxfId="6" priority="9">
      <formula>AND($B62&gt;0,$C62="HIGH")</formula>
    </cfRule>
  </conditionalFormatting>
  <conditionalFormatting sqref="B62:T84">
    <cfRule type="expression" dxfId="7" priority="10">
      <formula>AND($B62&gt;0,OR($C62="MEDIUM",$C62="LOW"))</formula>
    </cfRule>
  </conditionalFormatting>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4E"/>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0"/>
    <col customWidth="1" min="2" max="2" width="8.57"/>
    <col customWidth="1" min="3" max="3" width="31.57"/>
    <col customWidth="1" min="4" max="4" width="45.0"/>
    <col customWidth="1" min="5" max="5" width="14.57"/>
    <col customWidth="1" min="6" max="6" width="13.86"/>
    <col customWidth="1" min="7" max="7" width="15.0"/>
    <col customWidth="1" min="8" max="8" width="21.43"/>
    <col customWidth="1" min="9" max="11" width="14.57"/>
    <col customWidth="1" min="12" max="12" width="15.0"/>
    <col customWidth="1" min="13" max="14" width="14.57"/>
    <col customWidth="1" min="15" max="17" width="15.0"/>
    <col customWidth="1" min="18" max="18" width="36.43"/>
    <col customWidth="1" min="19" max="19" width="9.0"/>
  </cols>
  <sheetData>
    <row r="1" ht="16.5" customHeight="1">
      <c r="A1" s="1"/>
      <c r="B1" s="1"/>
      <c r="C1" s="1"/>
      <c r="D1" s="1"/>
      <c r="E1" s="1"/>
      <c r="F1" s="1"/>
      <c r="G1" s="1"/>
      <c r="H1" s="1"/>
      <c r="I1" s="1"/>
      <c r="J1" s="1"/>
      <c r="K1" s="1"/>
      <c r="L1" s="1"/>
      <c r="M1" s="1"/>
      <c r="N1" s="1"/>
      <c r="O1" s="1"/>
      <c r="P1" s="1"/>
      <c r="Q1" s="1"/>
      <c r="R1" s="1"/>
      <c r="S1" s="4"/>
    </row>
    <row r="2" ht="33.75" customHeight="1">
      <c r="A2" s="2"/>
      <c r="B2" s="2" t="s">
        <v>4</v>
      </c>
      <c r="C2" s="2"/>
      <c r="D2" s="2"/>
      <c r="E2" s="2"/>
      <c r="F2" s="2"/>
      <c r="G2" s="2"/>
      <c r="H2" s="2"/>
      <c r="I2" s="2"/>
      <c r="J2" s="2"/>
      <c r="K2" s="2"/>
      <c r="L2" s="2"/>
      <c r="M2" s="2"/>
      <c r="N2" s="2"/>
      <c r="O2" s="2"/>
      <c r="P2" s="2"/>
      <c r="Q2" s="2"/>
      <c r="R2" s="2"/>
      <c r="S2" s="7"/>
    </row>
    <row r="3" ht="15.75" customHeight="1">
      <c r="A3" s="3"/>
      <c r="B3" s="3" t="s">
        <v>11</v>
      </c>
      <c r="C3" s="3"/>
      <c r="D3" s="3"/>
      <c r="E3" s="3"/>
      <c r="F3" s="3"/>
      <c r="G3" s="3"/>
      <c r="H3" s="3"/>
      <c r="I3" s="3"/>
      <c r="J3" s="3"/>
      <c r="K3" s="3"/>
      <c r="L3" s="3"/>
      <c r="M3" s="3"/>
      <c r="N3" s="3"/>
      <c r="O3" s="3"/>
      <c r="P3" s="3"/>
      <c r="Q3" s="3"/>
      <c r="R3" s="3"/>
      <c r="S3" s="9"/>
    </row>
    <row r="4" ht="16.5" customHeight="1">
      <c r="A4" s="1"/>
      <c r="B4" s="1"/>
      <c r="C4" s="1"/>
      <c r="D4" s="1"/>
      <c r="E4" s="1"/>
      <c r="F4" s="1"/>
      <c r="G4" s="1"/>
      <c r="H4" s="1"/>
      <c r="I4" s="1"/>
      <c r="J4" s="1"/>
      <c r="K4" s="1"/>
      <c r="L4" s="1"/>
      <c r="M4" s="1"/>
      <c r="N4" s="1"/>
      <c r="O4" s="1"/>
      <c r="P4" s="1"/>
      <c r="Q4" s="1"/>
      <c r="R4" s="1"/>
      <c r="S4" s="4"/>
    </row>
    <row r="5" ht="16.5" customHeight="1">
      <c r="A5" s="1"/>
      <c r="B5" s="1"/>
      <c r="C5" s="1"/>
      <c r="D5" s="5" t="s">
        <v>13</v>
      </c>
      <c r="E5" s="13">
        <f>SUM(E7:E300)</f>
        <v>7318000</v>
      </c>
      <c r="F5" s="1"/>
      <c r="G5" s="1"/>
      <c r="H5" s="1"/>
      <c r="I5" s="13">
        <f t="shared" ref="I5:P5" si="1">SUM(I7:I300)</f>
        <v>896000</v>
      </c>
      <c r="J5" s="13">
        <f t="shared" si="1"/>
        <v>0</v>
      </c>
      <c r="K5" s="13">
        <f t="shared" si="1"/>
        <v>896000</v>
      </c>
      <c r="L5" s="13">
        <f t="shared" si="1"/>
        <v>4702500</v>
      </c>
      <c r="M5" s="13">
        <f t="shared" si="1"/>
        <v>896000</v>
      </c>
      <c r="N5" s="13">
        <f t="shared" si="1"/>
        <v>3806500</v>
      </c>
      <c r="O5" s="13">
        <f t="shared" si="1"/>
        <v>0</v>
      </c>
      <c r="P5" s="13">
        <f t="shared" si="1"/>
        <v>-2615500</v>
      </c>
      <c r="Q5" s="1"/>
      <c r="R5" s="1"/>
      <c r="S5" s="4"/>
    </row>
    <row r="6" ht="30.0" customHeight="1">
      <c r="A6" s="16"/>
      <c r="B6" s="17" t="s">
        <v>24</v>
      </c>
      <c r="C6" s="17" t="s">
        <v>55</v>
      </c>
      <c r="D6" s="17" t="s">
        <v>58</v>
      </c>
      <c r="E6" s="17" t="s">
        <v>60</v>
      </c>
      <c r="F6" s="17" t="s">
        <v>62</v>
      </c>
      <c r="G6" s="17" t="s">
        <v>64</v>
      </c>
      <c r="H6" s="17" t="s">
        <v>66</v>
      </c>
      <c r="I6" s="17" t="s">
        <v>68</v>
      </c>
      <c r="J6" s="17" t="s">
        <v>72</v>
      </c>
      <c r="K6" s="17" t="s">
        <v>73</v>
      </c>
      <c r="L6" s="17" t="s">
        <v>75</v>
      </c>
      <c r="M6" s="17" t="s">
        <v>77</v>
      </c>
      <c r="N6" s="17" t="s">
        <v>81</v>
      </c>
      <c r="O6" s="17" t="s">
        <v>83</v>
      </c>
      <c r="P6" s="17" t="s">
        <v>86</v>
      </c>
      <c r="Q6" s="17" t="s">
        <v>88</v>
      </c>
      <c r="R6" s="17" t="s">
        <v>50</v>
      </c>
      <c r="S6" s="29"/>
    </row>
    <row r="7" ht="16.5" customHeight="1">
      <c r="A7" s="1"/>
      <c r="B7" s="31" t="s">
        <v>91</v>
      </c>
      <c r="C7" s="32" t="s">
        <v>93</v>
      </c>
      <c r="D7" s="32" t="s">
        <v>94</v>
      </c>
      <c r="E7" s="34">
        <v>0.0</v>
      </c>
      <c r="F7" s="36" t="s">
        <v>97</v>
      </c>
      <c r="G7" s="32"/>
      <c r="H7" s="32"/>
      <c r="I7" s="38"/>
      <c r="J7" s="38"/>
      <c r="K7" s="38"/>
      <c r="L7" s="41">
        <f t="shared" ref="L7:L300" si="2">IF($F7="Not Applicable",0,IF(K7&gt;0,K7,IF(J7&gt;0,J7,IF(I7&gt;0,I7,E7))))</f>
        <v>0</v>
      </c>
      <c r="M7" s="41">
        <f>SUMIFS('04 Payments'!$K$7:$K$400,'04 Payments'!$D$7:$D$400,$B7)</f>
        <v>0</v>
      </c>
      <c r="N7" s="41">
        <f t="shared" ref="N7:N300" si="3">MAX(0,L7-M7)</f>
        <v>0</v>
      </c>
      <c r="O7" s="38"/>
      <c r="P7" s="41">
        <f t="shared" ref="P7:P300" si="4">L7-E7</f>
        <v>0</v>
      </c>
      <c r="Q7" s="32" t="s">
        <v>117</v>
      </c>
      <c r="R7" s="32"/>
      <c r="S7" s="44"/>
    </row>
    <row r="8" ht="16.5" customHeight="1">
      <c r="A8" s="1"/>
      <c r="B8" s="31" t="s">
        <v>118</v>
      </c>
      <c r="C8" s="32" t="s">
        <v>93</v>
      </c>
      <c r="D8" s="32" t="s">
        <v>120</v>
      </c>
      <c r="E8" s="38">
        <v>0.0</v>
      </c>
      <c r="F8" s="36" t="s">
        <v>97</v>
      </c>
      <c r="G8" s="32"/>
      <c r="H8" s="32"/>
      <c r="I8" s="38"/>
      <c r="J8" s="38"/>
      <c r="K8" s="38"/>
      <c r="L8" s="41">
        <f t="shared" si="2"/>
        <v>0</v>
      </c>
      <c r="M8" s="41">
        <f>SUMIFS('04 Payments'!$K$7:$K$400,'04 Payments'!$D$7:$D$400,$B8)</f>
        <v>0</v>
      </c>
      <c r="N8" s="41">
        <f t="shared" si="3"/>
        <v>0</v>
      </c>
      <c r="O8" s="38"/>
      <c r="P8" s="41">
        <f t="shared" si="4"/>
        <v>0</v>
      </c>
      <c r="Q8" s="32" t="s">
        <v>117</v>
      </c>
      <c r="R8" s="32"/>
      <c r="S8" s="44"/>
    </row>
    <row r="9" ht="16.5" customHeight="1">
      <c r="A9" s="1"/>
      <c r="B9" s="31" t="s">
        <v>126</v>
      </c>
      <c r="C9" s="32" t="s">
        <v>93</v>
      </c>
      <c r="D9" s="32" t="s">
        <v>127</v>
      </c>
      <c r="E9" s="34">
        <v>10000.0</v>
      </c>
      <c r="F9" s="32" t="s">
        <v>128</v>
      </c>
      <c r="G9" s="36" t="s">
        <v>129</v>
      </c>
      <c r="H9" s="32"/>
      <c r="I9" s="38"/>
      <c r="J9" s="38"/>
      <c r="K9" s="38"/>
      <c r="L9" s="41">
        <f t="shared" si="2"/>
        <v>10000</v>
      </c>
      <c r="M9" s="41">
        <f>SUMIFS('04 Payments'!$K$7:$K$400,'04 Payments'!$D$7:$D$400,$B9)</f>
        <v>0</v>
      </c>
      <c r="N9" s="41">
        <f t="shared" si="3"/>
        <v>10000</v>
      </c>
      <c r="O9" s="38"/>
      <c r="P9" s="41">
        <f t="shared" si="4"/>
        <v>0</v>
      </c>
      <c r="Q9" s="32" t="s">
        <v>117</v>
      </c>
      <c r="R9" s="32"/>
      <c r="S9" s="44"/>
    </row>
    <row r="10" ht="16.5" customHeight="1">
      <c r="A10" s="1"/>
      <c r="B10" s="31" t="s">
        <v>137</v>
      </c>
      <c r="C10" s="32" t="s">
        <v>93</v>
      </c>
      <c r="D10" s="32" t="s">
        <v>139</v>
      </c>
      <c r="E10" s="34">
        <v>10000.0</v>
      </c>
      <c r="F10" s="32" t="s">
        <v>128</v>
      </c>
      <c r="G10" s="36" t="s">
        <v>129</v>
      </c>
      <c r="H10" s="32"/>
      <c r="I10" s="38"/>
      <c r="J10" s="38"/>
      <c r="K10" s="38"/>
      <c r="L10" s="41">
        <f t="shared" si="2"/>
        <v>10000</v>
      </c>
      <c r="M10" s="41">
        <f>SUMIFS('04 Payments'!$K$7:$K$400,'04 Payments'!$D$7:$D$400,$B10)</f>
        <v>0</v>
      </c>
      <c r="N10" s="41">
        <f t="shared" si="3"/>
        <v>10000</v>
      </c>
      <c r="O10" s="38"/>
      <c r="P10" s="41">
        <f t="shared" si="4"/>
        <v>0</v>
      </c>
      <c r="Q10" s="32" t="s">
        <v>117</v>
      </c>
      <c r="R10" s="32"/>
      <c r="S10" s="44"/>
    </row>
    <row r="11" ht="16.5" customHeight="1">
      <c r="A11" s="1"/>
      <c r="B11" s="31" t="s">
        <v>147</v>
      </c>
      <c r="C11" s="32" t="s">
        <v>93</v>
      </c>
      <c r="D11" s="36" t="s">
        <v>150</v>
      </c>
      <c r="E11" s="34">
        <v>180000.0</v>
      </c>
      <c r="F11" s="32" t="s">
        <v>128</v>
      </c>
      <c r="G11" s="36" t="s">
        <v>129</v>
      </c>
      <c r="H11" s="32"/>
      <c r="I11" s="38"/>
      <c r="J11" s="38"/>
      <c r="K11" s="38"/>
      <c r="L11" s="41">
        <f t="shared" si="2"/>
        <v>180000</v>
      </c>
      <c r="M11" s="41">
        <f>SUMIFS('04 Payments'!$K$7:$K$400,'04 Payments'!$D$7:$D$400,$B11)</f>
        <v>0</v>
      </c>
      <c r="N11" s="41">
        <f t="shared" si="3"/>
        <v>180000</v>
      </c>
      <c r="O11" s="38"/>
      <c r="P11" s="41">
        <f t="shared" si="4"/>
        <v>0</v>
      </c>
      <c r="Q11" s="32" t="s">
        <v>117</v>
      </c>
      <c r="R11" s="32"/>
      <c r="S11" s="44"/>
    </row>
    <row r="12" ht="16.5" customHeight="1">
      <c r="A12" s="1"/>
      <c r="B12" s="31" t="s">
        <v>152</v>
      </c>
      <c r="C12" s="32" t="s">
        <v>93</v>
      </c>
      <c r="D12" s="36" t="s">
        <v>153</v>
      </c>
      <c r="E12" s="34">
        <v>324000.0</v>
      </c>
      <c r="F12" s="32" t="s">
        <v>128</v>
      </c>
      <c r="G12" s="36" t="s">
        <v>129</v>
      </c>
      <c r="H12" s="32"/>
      <c r="I12" s="38"/>
      <c r="J12" s="38"/>
      <c r="K12" s="38"/>
      <c r="L12" s="41">
        <f t="shared" si="2"/>
        <v>324000</v>
      </c>
      <c r="M12" s="41">
        <f>SUMIFS('04 Payments'!$K$7:$K$400,'04 Payments'!$D$7:$D$400,$B12)</f>
        <v>0</v>
      </c>
      <c r="N12" s="41">
        <f t="shared" si="3"/>
        <v>324000</v>
      </c>
      <c r="O12" s="38"/>
      <c r="P12" s="41">
        <f t="shared" si="4"/>
        <v>0</v>
      </c>
      <c r="Q12" s="32" t="s">
        <v>117</v>
      </c>
      <c r="R12" s="32"/>
      <c r="S12" s="44"/>
    </row>
    <row r="13" ht="16.5" customHeight="1">
      <c r="A13" s="1"/>
      <c r="B13" s="31" t="s">
        <v>155</v>
      </c>
      <c r="C13" s="32" t="s">
        <v>93</v>
      </c>
      <c r="D13" s="32" t="s">
        <v>156</v>
      </c>
      <c r="E13" s="34">
        <v>0.0</v>
      </c>
      <c r="F13" s="36" t="s">
        <v>97</v>
      </c>
      <c r="G13" s="32"/>
      <c r="H13" s="32"/>
      <c r="I13" s="38"/>
      <c r="J13" s="38"/>
      <c r="K13" s="38"/>
      <c r="L13" s="41">
        <f t="shared" si="2"/>
        <v>0</v>
      </c>
      <c r="M13" s="41">
        <f>SUMIFS('04 Payments'!$K$7:$K$400,'04 Payments'!$D$7:$D$400,$B13)</f>
        <v>0</v>
      </c>
      <c r="N13" s="41">
        <f t="shared" si="3"/>
        <v>0</v>
      </c>
      <c r="O13" s="38"/>
      <c r="P13" s="41">
        <f t="shared" si="4"/>
        <v>0</v>
      </c>
      <c r="Q13" s="32" t="s">
        <v>117</v>
      </c>
      <c r="R13" s="32"/>
      <c r="S13" s="44"/>
    </row>
    <row r="14" ht="16.5" customHeight="1">
      <c r="A14" s="1"/>
      <c r="B14" s="31" t="s">
        <v>158</v>
      </c>
      <c r="C14" s="32" t="s">
        <v>93</v>
      </c>
      <c r="D14" s="32" t="s">
        <v>159</v>
      </c>
      <c r="E14" s="38">
        <v>40000.0</v>
      </c>
      <c r="F14" s="36" t="s">
        <v>97</v>
      </c>
      <c r="G14" s="32"/>
      <c r="H14" s="32"/>
      <c r="I14" s="38"/>
      <c r="J14" s="38"/>
      <c r="K14" s="38"/>
      <c r="L14" s="41">
        <f t="shared" si="2"/>
        <v>0</v>
      </c>
      <c r="M14" s="41">
        <f>SUMIFS('04 Payments'!$K$7:$K$400,'04 Payments'!$D$7:$D$400,$B14)</f>
        <v>0</v>
      </c>
      <c r="N14" s="41">
        <f t="shared" si="3"/>
        <v>0</v>
      </c>
      <c r="O14" s="38"/>
      <c r="P14" s="41">
        <f t="shared" si="4"/>
        <v>-40000</v>
      </c>
      <c r="Q14" s="32" t="s">
        <v>117</v>
      </c>
      <c r="R14" s="32"/>
      <c r="S14" s="44"/>
    </row>
    <row r="15" ht="16.5" customHeight="1">
      <c r="A15" s="1"/>
      <c r="B15" s="31" t="s">
        <v>160</v>
      </c>
      <c r="C15" s="32" t="s">
        <v>93</v>
      </c>
      <c r="D15" s="32" t="s">
        <v>161</v>
      </c>
      <c r="E15" s="38">
        <v>25000.0</v>
      </c>
      <c r="F15" s="36" t="s">
        <v>97</v>
      </c>
      <c r="G15" s="32"/>
      <c r="H15" s="32"/>
      <c r="I15" s="38"/>
      <c r="J15" s="38"/>
      <c r="K15" s="38"/>
      <c r="L15" s="41">
        <f t="shared" si="2"/>
        <v>0</v>
      </c>
      <c r="M15" s="41">
        <f>SUMIFS('04 Payments'!$K$7:$K$400,'04 Payments'!$D$7:$D$400,$B15)</f>
        <v>0</v>
      </c>
      <c r="N15" s="41">
        <f t="shared" si="3"/>
        <v>0</v>
      </c>
      <c r="O15" s="38"/>
      <c r="P15" s="41">
        <f t="shared" si="4"/>
        <v>-25000</v>
      </c>
      <c r="Q15" s="32" t="s">
        <v>117</v>
      </c>
      <c r="R15" s="32"/>
      <c r="S15" s="44"/>
    </row>
    <row r="16" ht="16.5" customHeight="1">
      <c r="A16" s="1"/>
      <c r="B16" s="31" t="s">
        <v>163</v>
      </c>
      <c r="C16" s="32" t="s">
        <v>93</v>
      </c>
      <c r="D16" s="32" t="s">
        <v>164</v>
      </c>
      <c r="E16" s="38">
        <v>0.0</v>
      </c>
      <c r="F16" s="36" t="s">
        <v>97</v>
      </c>
      <c r="G16" s="32"/>
      <c r="H16" s="32"/>
      <c r="I16" s="38"/>
      <c r="J16" s="38"/>
      <c r="K16" s="38"/>
      <c r="L16" s="41">
        <f t="shared" si="2"/>
        <v>0</v>
      </c>
      <c r="M16" s="41">
        <f>SUMIFS('04 Payments'!$K$7:$K$400,'04 Payments'!$D$7:$D$400,$B16)</f>
        <v>0</v>
      </c>
      <c r="N16" s="41">
        <f t="shared" si="3"/>
        <v>0</v>
      </c>
      <c r="O16" s="38"/>
      <c r="P16" s="41">
        <f t="shared" si="4"/>
        <v>0</v>
      </c>
      <c r="Q16" s="32" t="s">
        <v>117</v>
      </c>
      <c r="R16" s="32"/>
      <c r="S16" s="44"/>
    </row>
    <row r="17" ht="16.5" customHeight="1">
      <c r="A17" s="1"/>
      <c r="B17" s="31" t="s">
        <v>166</v>
      </c>
      <c r="C17" s="32" t="s">
        <v>93</v>
      </c>
      <c r="D17" s="32" t="s">
        <v>167</v>
      </c>
      <c r="E17" s="38">
        <v>15000.0</v>
      </c>
      <c r="F17" s="36" t="s">
        <v>97</v>
      </c>
      <c r="G17" s="32"/>
      <c r="H17" s="32"/>
      <c r="I17" s="38"/>
      <c r="J17" s="38"/>
      <c r="K17" s="38"/>
      <c r="L17" s="41">
        <f t="shared" si="2"/>
        <v>0</v>
      </c>
      <c r="M17" s="41">
        <f>SUMIFS('04 Payments'!$K$7:$K$400,'04 Payments'!$D$7:$D$400,$B17)</f>
        <v>0</v>
      </c>
      <c r="N17" s="41">
        <f t="shared" si="3"/>
        <v>0</v>
      </c>
      <c r="O17" s="38"/>
      <c r="P17" s="41">
        <f t="shared" si="4"/>
        <v>-15000</v>
      </c>
      <c r="Q17" s="32" t="s">
        <v>117</v>
      </c>
      <c r="R17" s="32"/>
      <c r="S17" s="44"/>
    </row>
    <row r="18" ht="16.5" customHeight="1">
      <c r="A18" s="1"/>
      <c r="B18" s="31" t="s">
        <v>169</v>
      </c>
      <c r="C18" s="32" t="s">
        <v>93</v>
      </c>
      <c r="D18" s="32" t="s">
        <v>170</v>
      </c>
      <c r="E18" s="38">
        <v>0.0</v>
      </c>
      <c r="F18" s="36" t="s">
        <v>97</v>
      </c>
      <c r="G18" s="32"/>
      <c r="H18" s="32"/>
      <c r="I18" s="38"/>
      <c r="J18" s="38"/>
      <c r="K18" s="38"/>
      <c r="L18" s="41">
        <f t="shared" si="2"/>
        <v>0</v>
      </c>
      <c r="M18" s="41">
        <f>SUMIFS('04 Payments'!$K$7:$K$400,'04 Payments'!$D$7:$D$400,$B18)</f>
        <v>0</v>
      </c>
      <c r="N18" s="41">
        <f t="shared" si="3"/>
        <v>0</v>
      </c>
      <c r="O18" s="38"/>
      <c r="P18" s="41">
        <f t="shared" si="4"/>
        <v>0</v>
      </c>
      <c r="Q18" s="32" t="s">
        <v>117</v>
      </c>
      <c r="R18" s="32"/>
      <c r="S18" s="44"/>
    </row>
    <row r="19" ht="16.5" customHeight="1">
      <c r="A19" s="1"/>
      <c r="B19" s="31" t="s">
        <v>172</v>
      </c>
      <c r="C19" s="32" t="s">
        <v>93</v>
      </c>
      <c r="D19" s="32" t="s">
        <v>173</v>
      </c>
      <c r="E19" s="38">
        <v>20000.0</v>
      </c>
      <c r="F19" s="36" t="s">
        <v>97</v>
      </c>
      <c r="G19" s="32"/>
      <c r="H19" s="32"/>
      <c r="I19" s="38"/>
      <c r="J19" s="38"/>
      <c r="K19" s="38"/>
      <c r="L19" s="41">
        <f t="shared" si="2"/>
        <v>0</v>
      </c>
      <c r="M19" s="41">
        <f>SUMIFS('04 Payments'!$K$7:$K$400,'04 Payments'!$D$7:$D$400,$B19)</f>
        <v>0</v>
      </c>
      <c r="N19" s="41">
        <f t="shared" si="3"/>
        <v>0</v>
      </c>
      <c r="O19" s="38"/>
      <c r="P19" s="41">
        <f t="shared" si="4"/>
        <v>-20000</v>
      </c>
      <c r="Q19" s="32" t="s">
        <v>117</v>
      </c>
      <c r="R19" s="32"/>
      <c r="S19" s="44"/>
    </row>
    <row r="20" ht="16.5" customHeight="1">
      <c r="A20" s="1"/>
      <c r="B20" s="31" t="s">
        <v>175</v>
      </c>
      <c r="C20" s="32" t="s">
        <v>151</v>
      </c>
      <c r="D20" s="32" t="s">
        <v>177</v>
      </c>
      <c r="E20" s="34">
        <v>1800000.0</v>
      </c>
      <c r="F20" s="32" t="s">
        <v>128</v>
      </c>
      <c r="G20" s="36" t="s">
        <v>129</v>
      </c>
      <c r="H20" s="32"/>
      <c r="I20" s="38"/>
      <c r="J20" s="38"/>
      <c r="K20" s="38"/>
      <c r="L20" s="41">
        <f t="shared" si="2"/>
        <v>1800000</v>
      </c>
      <c r="M20" s="41">
        <f>SUMIFS('04 Payments'!$K$7:$K$400,'04 Payments'!$D$7:$D$400,$B20)</f>
        <v>0</v>
      </c>
      <c r="N20" s="41">
        <f t="shared" si="3"/>
        <v>1800000</v>
      </c>
      <c r="O20" s="38"/>
      <c r="P20" s="41">
        <f t="shared" si="4"/>
        <v>0</v>
      </c>
      <c r="Q20" s="32" t="s">
        <v>117</v>
      </c>
      <c r="R20" s="32"/>
      <c r="S20" s="44"/>
    </row>
    <row r="21" ht="16.5" customHeight="1">
      <c r="A21" s="1"/>
      <c r="B21" s="31" t="s">
        <v>179</v>
      </c>
      <c r="C21" s="32" t="s">
        <v>151</v>
      </c>
      <c r="D21" s="32" t="s">
        <v>180</v>
      </c>
      <c r="E21" s="38">
        <v>45000.0</v>
      </c>
      <c r="F21" s="36" t="s">
        <v>97</v>
      </c>
      <c r="G21" s="32"/>
      <c r="H21" s="32"/>
      <c r="I21" s="38"/>
      <c r="J21" s="38"/>
      <c r="K21" s="38"/>
      <c r="L21" s="41">
        <f t="shared" si="2"/>
        <v>0</v>
      </c>
      <c r="M21" s="41">
        <f>SUMIFS('04 Payments'!$K$7:$K$400,'04 Payments'!$D$7:$D$400,$B21)</f>
        <v>0</v>
      </c>
      <c r="N21" s="41">
        <f t="shared" si="3"/>
        <v>0</v>
      </c>
      <c r="O21" s="38"/>
      <c r="P21" s="41">
        <f t="shared" si="4"/>
        <v>-45000</v>
      </c>
      <c r="Q21" s="32" t="s">
        <v>117</v>
      </c>
      <c r="R21" s="32"/>
      <c r="S21" s="44"/>
    </row>
    <row r="22" ht="16.5" customHeight="1">
      <c r="A22" s="1"/>
      <c r="B22" s="31" t="s">
        <v>189</v>
      </c>
      <c r="C22" s="32" t="s">
        <v>151</v>
      </c>
      <c r="D22" s="32" t="s">
        <v>191</v>
      </c>
      <c r="E22" s="38">
        <v>60000.0</v>
      </c>
      <c r="F22" s="36" t="s">
        <v>97</v>
      </c>
      <c r="G22" s="32"/>
      <c r="H22" s="32"/>
      <c r="I22" s="38"/>
      <c r="J22" s="38"/>
      <c r="K22" s="38"/>
      <c r="L22" s="41">
        <f t="shared" si="2"/>
        <v>0</v>
      </c>
      <c r="M22" s="41">
        <f>SUMIFS('04 Payments'!$K$7:$K$400,'04 Payments'!$D$7:$D$400,$B22)</f>
        <v>0</v>
      </c>
      <c r="N22" s="41">
        <f t="shared" si="3"/>
        <v>0</v>
      </c>
      <c r="O22" s="38"/>
      <c r="P22" s="41">
        <f t="shared" si="4"/>
        <v>-60000</v>
      </c>
      <c r="Q22" s="32" t="s">
        <v>117</v>
      </c>
      <c r="R22" s="32"/>
      <c r="S22" s="44"/>
    </row>
    <row r="23" ht="16.5" customHeight="1">
      <c r="A23" s="1"/>
      <c r="B23" s="31" t="s">
        <v>208</v>
      </c>
      <c r="C23" s="32" t="s">
        <v>151</v>
      </c>
      <c r="D23" s="32" t="s">
        <v>209</v>
      </c>
      <c r="E23" s="38">
        <v>70000.0</v>
      </c>
      <c r="F23" s="36" t="s">
        <v>97</v>
      </c>
      <c r="G23" s="32"/>
      <c r="H23" s="32"/>
      <c r="I23" s="38"/>
      <c r="J23" s="38"/>
      <c r="K23" s="38"/>
      <c r="L23" s="41">
        <f t="shared" si="2"/>
        <v>0</v>
      </c>
      <c r="M23" s="41">
        <f>SUMIFS('04 Payments'!$K$7:$K$400,'04 Payments'!$D$7:$D$400,$B23)</f>
        <v>0</v>
      </c>
      <c r="N23" s="41">
        <f t="shared" si="3"/>
        <v>0</v>
      </c>
      <c r="O23" s="38"/>
      <c r="P23" s="41">
        <f t="shared" si="4"/>
        <v>-70000</v>
      </c>
      <c r="Q23" s="32" t="s">
        <v>117</v>
      </c>
      <c r="R23" s="32"/>
      <c r="S23" s="44"/>
    </row>
    <row r="24" ht="16.5" customHeight="1">
      <c r="A24" s="1"/>
      <c r="B24" s="31" t="s">
        <v>211</v>
      </c>
      <c r="C24" s="32" t="s">
        <v>151</v>
      </c>
      <c r="D24" s="32" t="s">
        <v>212</v>
      </c>
      <c r="E24" s="38">
        <v>50000.0</v>
      </c>
      <c r="F24" s="36" t="s">
        <v>97</v>
      </c>
      <c r="G24" s="32"/>
      <c r="H24" s="32"/>
      <c r="I24" s="38"/>
      <c r="J24" s="38"/>
      <c r="K24" s="38"/>
      <c r="L24" s="41">
        <f t="shared" si="2"/>
        <v>0</v>
      </c>
      <c r="M24" s="41">
        <f>SUMIFS('04 Payments'!$K$7:$K$400,'04 Payments'!$D$7:$D$400,$B24)</f>
        <v>0</v>
      </c>
      <c r="N24" s="41">
        <f t="shared" si="3"/>
        <v>0</v>
      </c>
      <c r="O24" s="38"/>
      <c r="P24" s="41">
        <f t="shared" si="4"/>
        <v>-50000</v>
      </c>
      <c r="Q24" s="32" t="s">
        <v>117</v>
      </c>
      <c r="R24" s="32"/>
      <c r="S24" s="44"/>
    </row>
    <row r="25" ht="16.5" customHeight="1">
      <c r="A25" s="1"/>
      <c r="B25" s="31" t="s">
        <v>214</v>
      </c>
      <c r="C25" s="32" t="s">
        <v>151</v>
      </c>
      <c r="D25" s="32" t="s">
        <v>215</v>
      </c>
      <c r="E25" s="38">
        <v>25000.0</v>
      </c>
      <c r="F25" s="32" t="s">
        <v>128</v>
      </c>
      <c r="G25" s="36" t="s">
        <v>217</v>
      </c>
      <c r="H25" s="32"/>
      <c r="I25" s="38"/>
      <c r="J25" s="38"/>
      <c r="K25" s="38"/>
      <c r="L25" s="41">
        <f t="shared" si="2"/>
        <v>25000</v>
      </c>
      <c r="M25" s="41">
        <f>SUMIFS('04 Payments'!$K$7:$K$400,'04 Payments'!$D$7:$D$400,$B25)</f>
        <v>0</v>
      </c>
      <c r="N25" s="41">
        <f t="shared" si="3"/>
        <v>25000</v>
      </c>
      <c r="O25" s="38"/>
      <c r="P25" s="41">
        <f t="shared" si="4"/>
        <v>0</v>
      </c>
      <c r="Q25" s="32" t="s">
        <v>117</v>
      </c>
      <c r="R25" s="32"/>
      <c r="S25" s="44"/>
    </row>
    <row r="26" ht="16.5" customHeight="1">
      <c r="A26" s="1"/>
      <c r="B26" s="31" t="s">
        <v>221</v>
      </c>
      <c r="C26" s="32" t="s">
        <v>151</v>
      </c>
      <c r="D26" s="32" t="s">
        <v>222</v>
      </c>
      <c r="E26" s="38">
        <v>18000.0</v>
      </c>
      <c r="F26" s="36" t="s">
        <v>97</v>
      </c>
      <c r="G26" s="32"/>
      <c r="H26" s="32"/>
      <c r="I26" s="38"/>
      <c r="J26" s="38"/>
      <c r="K26" s="38"/>
      <c r="L26" s="41">
        <f t="shared" si="2"/>
        <v>0</v>
      </c>
      <c r="M26" s="41">
        <f>SUMIFS('04 Payments'!$K$7:$K$400,'04 Payments'!$D$7:$D$400,$B26)</f>
        <v>0</v>
      </c>
      <c r="N26" s="41">
        <f t="shared" si="3"/>
        <v>0</v>
      </c>
      <c r="O26" s="38"/>
      <c r="P26" s="41">
        <f t="shared" si="4"/>
        <v>-18000</v>
      </c>
      <c r="Q26" s="32" t="s">
        <v>117</v>
      </c>
      <c r="R26" s="32"/>
      <c r="S26" s="44"/>
    </row>
    <row r="27" ht="16.5" customHeight="1">
      <c r="A27" s="1"/>
      <c r="B27" s="31" t="s">
        <v>224</v>
      </c>
      <c r="C27" s="32" t="s">
        <v>151</v>
      </c>
      <c r="D27" s="32" t="s">
        <v>225</v>
      </c>
      <c r="E27" s="38">
        <v>45000.0</v>
      </c>
      <c r="F27" s="32" t="s">
        <v>128</v>
      </c>
      <c r="G27" s="36" t="s">
        <v>217</v>
      </c>
      <c r="H27" s="32"/>
      <c r="I27" s="38"/>
      <c r="J27" s="38"/>
      <c r="K27" s="38"/>
      <c r="L27" s="41">
        <f t="shared" si="2"/>
        <v>45000</v>
      </c>
      <c r="M27" s="41">
        <f>SUMIFS('04 Payments'!$K$7:$K$400,'04 Payments'!$D$7:$D$400,$B27)</f>
        <v>0</v>
      </c>
      <c r="N27" s="41">
        <f t="shared" si="3"/>
        <v>45000</v>
      </c>
      <c r="O27" s="38"/>
      <c r="P27" s="41">
        <f t="shared" si="4"/>
        <v>0</v>
      </c>
      <c r="Q27" s="32" t="s">
        <v>117</v>
      </c>
      <c r="R27" s="32"/>
      <c r="S27" s="44"/>
    </row>
    <row r="28" ht="16.5" customHeight="1">
      <c r="A28" s="1"/>
      <c r="B28" s="31" t="s">
        <v>230</v>
      </c>
      <c r="C28" s="32" t="s">
        <v>151</v>
      </c>
      <c r="D28" s="32" t="s">
        <v>231</v>
      </c>
      <c r="E28" s="34">
        <v>100000.0</v>
      </c>
      <c r="F28" s="36" t="s">
        <v>128</v>
      </c>
      <c r="G28" s="36" t="s">
        <v>217</v>
      </c>
      <c r="H28" s="32"/>
      <c r="I28" s="38"/>
      <c r="J28" s="38"/>
      <c r="K28" s="38"/>
      <c r="L28" s="41">
        <f t="shared" si="2"/>
        <v>100000</v>
      </c>
      <c r="M28" s="41">
        <f>SUMIFS('04 Payments'!$K$7:$K$400,'04 Payments'!$D$7:$D$400,$B28)</f>
        <v>0</v>
      </c>
      <c r="N28" s="41">
        <f t="shared" si="3"/>
        <v>100000</v>
      </c>
      <c r="O28" s="38"/>
      <c r="P28" s="41">
        <f t="shared" si="4"/>
        <v>0</v>
      </c>
      <c r="Q28" s="32" t="s">
        <v>117</v>
      </c>
      <c r="R28" s="32"/>
      <c r="S28" s="44"/>
    </row>
    <row r="29" ht="16.5" customHeight="1">
      <c r="A29" s="1"/>
      <c r="B29" s="31" t="s">
        <v>232</v>
      </c>
      <c r="C29" s="32" t="s">
        <v>151</v>
      </c>
      <c r="D29" s="32" t="s">
        <v>233</v>
      </c>
      <c r="E29" s="38">
        <v>30000.0</v>
      </c>
      <c r="F29" s="36" t="s">
        <v>97</v>
      </c>
      <c r="G29" s="32"/>
      <c r="H29" s="32"/>
      <c r="I29" s="38"/>
      <c r="J29" s="38"/>
      <c r="K29" s="38"/>
      <c r="L29" s="41">
        <f t="shared" si="2"/>
        <v>0</v>
      </c>
      <c r="M29" s="41">
        <f>SUMIFS('04 Payments'!$K$7:$K$400,'04 Payments'!$D$7:$D$400,$B29)</f>
        <v>0</v>
      </c>
      <c r="N29" s="41">
        <f t="shared" si="3"/>
        <v>0</v>
      </c>
      <c r="O29" s="38"/>
      <c r="P29" s="41">
        <f t="shared" si="4"/>
        <v>-30000</v>
      </c>
      <c r="Q29" s="32" t="s">
        <v>117</v>
      </c>
      <c r="R29" s="32"/>
      <c r="S29" s="44"/>
    </row>
    <row r="30" ht="16.5" customHeight="1">
      <c r="A30" s="1"/>
      <c r="B30" s="31" t="s">
        <v>238</v>
      </c>
      <c r="C30" s="32" t="s">
        <v>151</v>
      </c>
      <c r="D30" s="32" t="s">
        <v>239</v>
      </c>
      <c r="E30" s="34">
        <v>2000.0</v>
      </c>
      <c r="F30" s="32" t="s">
        <v>240</v>
      </c>
      <c r="G30" s="36" t="s">
        <v>129</v>
      </c>
      <c r="H30" s="32"/>
      <c r="I30" s="38"/>
      <c r="J30" s="38"/>
      <c r="K30" s="38"/>
      <c r="L30" s="41">
        <f t="shared" si="2"/>
        <v>2000</v>
      </c>
      <c r="M30" s="41">
        <f>SUMIFS('04 Payments'!$K$7:$K$400,'04 Payments'!$D$7:$D$400,$B30)</f>
        <v>0</v>
      </c>
      <c r="N30" s="41">
        <f t="shared" si="3"/>
        <v>2000</v>
      </c>
      <c r="O30" s="38"/>
      <c r="P30" s="41">
        <f t="shared" si="4"/>
        <v>0</v>
      </c>
      <c r="Q30" s="32" t="s">
        <v>117</v>
      </c>
      <c r="R30" s="32"/>
      <c r="S30" s="44"/>
    </row>
    <row r="31" ht="16.5" customHeight="1">
      <c r="A31" s="1"/>
      <c r="B31" s="31" t="s">
        <v>242</v>
      </c>
      <c r="C31" s="32" t="s">
        <v>151</v>
      </c>
      <c r="D31" s="32" t="s">
        <v>243</v>
      </c>
      <c r="E31" s="38">
        <v>25000.0</v>
      </c>
      <c r="F31" s="32" t="s">
        <v>128</v>
      </c>
      <c r="G31" s="36" t="s">
        <v>129</v>
      </c>
      <c r="H31" s="32"/>
      <c r="I31" s="38"/>
      <c r="J31" s="38"/>
      <c r="K31" s="38"/>
      <c r="L31" s="41">
        <f t="shared" si="2"/>
        <v>25000</v>
      </c>
      <c r="M31" s="41">
        <f>SUMIFS('04 Payments'!$K$7:$K$400,'04 Payments'!$D$7:$D$400,$B31)</f>
        <v>0</v>
      </c>
      <c r="N31" s="41">
        <f t="shared" si="3"/>
        <v>25000</v>
      </c>
      <c r="O31" s="38"/>
      <c r="P31" s="41">
        <f t="shared" si="4"/>
        <v>0</v>
      </c>
      <c r="Q31" s="32" t="s">
        <v>117</v>
      </c>
      <c r="R31" s="32"/>
      <c r="S31" s="44"/>
    </row>
    <row r="32" ht="16.5" customHeight="1">
      <c r="A32" s="1"/>
      <c r="B32" s="31" t="s">
        <v>247</v>
      </c>
      <c r="C32" s="32" t="s">
        <v>151</v>
      </c>
      <c r="D32" s="32" t="s">
        <v>248</v>
      </c>
      <c r="E32" s="34">
        <v>10000.0</v>
      </c>
      <c r="F32" s="32" t="s">
        <v>128</v>
      </c>
      <c r="G32" s="36" t="s">
        <v>129</v>
      </c>
      <c r="H32" s="32"/>
      <c r="I32" s="38"/>
      <c r="J32" s="38"/>
      <c r="K32" s="38"/>
      <c r="L32" s="41">
        <f t="shared" si="2"/>
        <v>10000</v>
      </c>
      <c r="M32" s="41">
        <f>SUMIFS('04 Payments'!$K$7:$K$400,'04 Payments'!$D$7:$D$400,$B32)</f>
        <v>0</v>
      </c>
      <c r="N32" s="41">
        <f t="shared" si="3"/>
        <v>10000</v>
      </c>
      <c r="O32" s="38"/>
      <c r="P32" s="41">
        <f t="shared" si="4"/>
        <v>0</v>
      </c>
      <c r="Q32" s="32" t="s">
        <v>117</v>
      </c>
      <c r="R32" s="32"/>
      <c r="S32" s="44"/>
    </row>
    <row r="33" ht="16.5" customHeight="1">
      <c r="A33" s="1"/>
      <c r="B33" s="31" t="s">
        <v>250</v>
      </c>
      <c r="C33" s="32" t="s">
        <v>151</v>
      </c>
      <c r="D33" s="32" t="s">
        <v>251</v>
      </c>
      <c r="E33" s="38">
        <v>0.0</v>
      </c>
      <c r="F33" s="36" t="s">
        <v>97</v>
      </c>
      <c r="G33" s="32"/>
      <c r="H33" s="32"/>
      <c r="I33" s="38"/>
      <c r="J33" s="38"/>
      <c r="K33" s="38"/>
      <c r="L33" s="41">
        <f t="shared" si="2"/>
        <v>0</v>
      </c>
      <c r="M33" s="41">
        <f>SUMIFS('04 Payments'!$K$7:$K$400,'04 Payments'!$D$7:$D$400,$B33)</f>
        <v>0</v>
      </c>
      <c r="N33" s="41">
        <f t="shared" si="3"/>
        <v>0</v>
      </c>
      <c r="O33" s="38"/>
      <c r="P33" s="41">
        <f t="shared" si="4"/>
        <v>0</v>
      </c>
      <c r="Q33" s="32" t="s">
        <v>117</v>
      </c>
      <c r="R33" s="32"/>
      <c r="S33" s="44"/>
    </row>
    <row r="34" ht="16.5" customHeight="1">
      <c r="A34" s="1"/>
      <c r="B34" s="31" t="s">
        <v>256</v>
      </c>
      <c r="C34" s="32" t="s">
        <v>154</v>
      </c>
      <c r="D34" s="32" t="s">
        <v>257</v>
      </c>
      <c r="E34" s="34">
        <v>30000.0</v>
      </c>
      <c r="F34" s="32" t="s">
        <v>128</v>
      </c>
      <c r="G34" s="36" t="s">
        <v>258</v>
      </c>
      <c r="H34" s="32"/>
      <c r="I34" s="38"/>
      <c r="J34" s="38"/>
      <c r="K34" s="38"/>
      <c r="L34" s="41">
        <f t="shared" si="2"/>
        <v>30000</v>
      </c>
      <c r="M34" s="41">
        <f>SUMIFS('04 Payments'!$K$7:$K$400,'04 Payments'!$D$7:$D$400,$B34)</f>
        <v>0</v>
      </c>
      <c r="N34" s="41">
        <f t="shared" si="3"/>
        <v>30000</v>
      </c>
      <c r="O34" s="38"/>
      <c r="P34" s="41">
        <f t="shared" si="4"/>
        <v>0</v>
      </c>
      <c r="Q34" s="32" t="s">
        <v>117</v>
      </c>
      <c r="R34" s="32"/>
      <c r="S34" s="44"/>
    </row>
    <row r="35" ht="16.5" customHeight="1">
      <c r="A35" s="1"/>
      <c r="B35" s="31" t="s">
        <v>261</v>
      </c>
      <c r="C35" s="32" t="s">
        <v>154</v>
      </c>
      <c r="D35" s="32" t="s">
        <v>262</v>
      </c>
      <c r="E35" s="34">
        <v>90000.0</v>
      </c>
      <c r="F35" s="32" t="s">
        <v>128</v>
      </c>
      <c r="G35" s="36" t="s">
        <v>258</v>
      </c>
      <c r="H35" s="32"/>
      <c r="I35" s="38"/>
      <c r="J35" s="38"/>
      <c r="K35" s="38"/>
      <c r="L35" s="41">
        <f t="shared" si="2"/>
        <v>90000</v>
      </c>
      <c r="M35" s="41">
        <f>SUMIFS('04 Payments'!$K$7:$K$400,'04 Payments'!$D$7:$D$400,$B35)</f>
        <v>0</v>
      </c>
      <c r="N35" s="41">
        <f t="shared" si="3"/>
        <v>90000</v>
      </c>
      <c r="O35" s="38"/>
      <c r="P35" s="41">
        <f t="shared" si="4"/>
        <v>0</v>
      </c>
      <c r="Q35" s="32" t="s">
        <v>117</v>
      </c>
      <c r="R35" s="32"/>
      <c r="S35" s="44"/>
    </row>
    <row r="36" ht="16.5" customHeight="1">
      <c r="A36" s="1"/>
      <c r="B36" s="31" t="s">
        <v>269</v>
      </c>
      <c r="C36" s="32" t="s">
        <v>154</v>
      </c>
      <c r="D36" s="32" t="s">
        <v>271</v>
      </c>
      <c r="E36" s="38">
        <v>6000.0</v>
      </c>
      <c r="F36" s="36" t="s">
        <v>97</v>
      </c>
      <c r="G36" s="32"/>
      <c r="H36" s="32"/>
      <c r="I36" s="38"/>
      <c r="J36" s="38"/>
      <c r="K36" s="38"/>
      <c r="L36" s="41">
        <f t="shared" si="2"/>
        <v>0</v>
      </c>
      <c r="M36" s="41">
        <f>SUMIFS('04 Payments'!$K$7:$K$400,'04 Payments'!$D$7:$D$400,$B36)</f>
        <v>0</v>
      </c>
      <c r="N36" s="41">
        <f t="shared" si="3"/>
        <v>0</v>
      </c>
      <c r="O36" s="38"/>
      <c r="P36" s="41">
        <f t="shared" si="4"/>
        <v>-6000</v>
      </c>
      <c r="Q36" s="32" t="s">
        <v>117</v>
      </c>
      <c r="R36" s="32"/>
      <c r="S36" s="44"/>
    </row>
    <row r="37" ht="16.5" customHeight="1">
      <c r="A37" s="1"/>
      <c r="B37" s="31" t="s">
        <v>274</v>
      </c>
      <c r="C37" s="32" t="s">
        <v>154</v>
      </c>
      <c r="D37" s="32" t="s">
        <v>275</v>
      </c>
      <c r="E37" s="38">
        <v>4000.0</v>
      </c>
      <c r="F37" s="36" t="s">
        <v>97</v>
      </c>
      <c r="G37" s="32"/>
      <c r="H37" s="32"/>
      <c r="I37" s="38"/>
      <c r="J37" s="38"/>
      <c r="K37" s="38"/>
      <c r="L37" s="41">
        <f t="shared" si="2"/>
        <v>0</v>
      </c>
      <c r="M37" s="41">
        <f>SUMIFS('04 Payments'!$K$7:$K$400,'04 Payments'!$D$7:$D$400,$B37)</f>
        <v>0</v>
      </c>
      <c r="N37" s="41">
        <f t="shared" si="3"/>
        <v>0</v>
      </c>
      <c r="O37" s="38"/>
      <c r="P37" s="41">
        <f t="shared" si="4"/>
        <v>-4000</v>
      </c>
      <c r="Q37" s="32" t="s">
        <v>117</v>
      </c>
      <c r="R37" s="32"/>
      <c r="S37" s="44"/>
    </row>
    <row r="38" ht="16.5" customHeight="1">
      <c r="A38" s="1"/>
      <c r="B38" s="31" t="s">
        <v>280</v>
      </c>
      <c r="C38" s="32" t="s">
        <v>154</v>
      </c>
      <c r="D38" s="32" t="s">
        <v>281</v>
      </c>
      <c r="E38" s="38">
        <v>5000.0</v>
      </c>
      <c r="F38" s="36" t="s">
        <v>97</v>
      </c>
      <c r="G38" s="32"/>
      <c r="H38" s="32"/>
      <c r="I38" s="38"/>
      <c r="J38" s="38"/>
      <c r="K38" s="38"/>
      <c r="L38" s="41">
        <f t="shared" si="2"/>
        <v>0</v>
      </c>
      <c r="M38" s="41">
        <f>SUMIFS('04 Payments'!$K$7:$K$400,'04 Payments'!$D$7:$D$400,$B38)</f>
        <v>0</v>
      </c>
      <c r="N38" s="41">
        <f t="shared" si="3"/>
        <v>0</v>
      </c>
      <c r="O38" s="38"/>
      <c r="P38" s="41">
        <f t="shared" si="4"/>
        <v>-5000</v>
      </c>
      <c r="Q38" s="32" t="s">
        <v>117</v>
      </c>
      <c r="R38" s="32"/>
      <c r="S38" s="44"/>
    </row>
    <row r="39" ht="16.5" customHeight="1">
      <c r="A39" s="1"/>
      <c r="B39" s="31" t="s">
        <v>283</v>
      </c>
      <c r="C39" s="32" t="s">
        <v>157</v>
      </c>
      <c r="D39" s="32" t="s">
        <v>286</v>
      </c>
      <c r="E39" s="34">
        <v>20000.0</v>
      </c>
      <c r="F39" s="36" t="s">
        <v>128</v>
      </c>
      <c r="G39" s="36" t="s">
        <v>129</v>
      </c>
      <c r="H39" s="32"/>
      <c r="I39" s="38"/>
      <c r="J39" s="38"/>
      <c r="K39" s="38"/>
      <c r="L39" s="41">
        <f t="shared" si="2"/>
        <v>20000</v>
      </c>
      <c r="M39" s="41">
        <f>SUMIFS('04 Payments'!$K$7:$K$400,'04 Payments'!$D$7:$D$400,$B39)</f>
        <v>0</v>
      </c>
      <c r="N39" s="41">
        <f t="shared" si="3"/>
        <v>20000</v>
      </c>
      <c r="O39" s="38"/>
      <c r="P39" s="41">
        <f t="shared" si="4"/>
        <v>0</v>
      </c>
      <c r="Q39" s="32" t="s">
        <v>117</v>
      </c>
      <c r="R39" s="32"/>
      <c r="S39" s="44"/>
    </row>
    <row r="40" ht="16.5" customHeight="1">
      <c r="A40" s="1"/>
      <c r="B40" s="31" t="s">
        <v>290</v>
      </c>
      <c r="C40" s="32" t="s">
        <v>157</v>
      </c>
      <c r="D40" s="32" t="s">
        <v>292</v>
      </c>
      <c r="E40" s="34">
        <v>150000.0</v>
      </c>
      <c r="F40" s="32" t="s">
        <v>128</v>
      </c>
      <c r="G40" s="36" t="s">
        <v>129</v>
      </c>
      <c r="H40" s="32"/>
      <c r="I40" s="38"/>
      <c r="J40" s="38"/>
      <c r="K40" s="38"/>
      <c r="L40" s="41">
        <f t="shared" si="2"/>
        <v>150000</v>
      </c>
      <c r="M40" s="41">
        <f>SUMIFS('04 Payments'!$K$7:$K$400,'04 Payments'!$D$7:$D$400,$B40)</f>
        <v>0</v>
      </c>
      <c r="N40" s="41">
        <f t="shared" si="3"/>
        <v>150000</v>
      </c>
      <c r="O40" s="38"/>
      <c r="P40" s="41">
        <f t="shared" si="4"/>
        <v>0</v>
      </c>
      <c r="Q40" s="32" t="s">
        <v>117</v>
      </c>
      <c r="R40" s="32"/>
      <c r="S40" s="44"/>
    </row>
    <row r="41" ht="16.5" customHeight="1">
      <c r="A41" s="1"/>
      <c r="B41" s="31" t="s">
        <v>299</v>
      </c>
      <c r="C41" s="32" t="s">
        <v>157</v>
      </c>
      <c r="D41" s="32" t="s">
        <v>300</v>
      </c>
      <c r="E41" s="38">
        <v>45000.0</v>
      </c>
      <c r="F41" s="36" t="s">
        <v>97</v>
      </c>
      <c r="G41" s="32"/>
      <c r="H41" s="32"/>
      <c r="I41" s="38"/>
      <c r="J41" s="38"/>
      <c r="K41" s="38"/>
      <c r="L41" s="41">
        <f t="shared" si="2"/>
        <v>0</v>
      </c>
      <c r="M41" s="41">
        <f>SUMIFS('04 Payments'!$K$7:$K$400,'04 Payments'!$D$7:$D$400,$B41)</f>
        <v>0</v>
      </c>
      <c r="N41" s="41">
        <f t="shared" si="3"/>
        <v>0</v>
      </c>
      <c r="O41" s="38"/>
      <c r="P41" s="41">
        <f t="shared" si="4"/>
        <v>-45000</v>
      </c>
      <c r="Q41" s="32" t="s">
        <v>117</v>
      </c>
      <c r="R41" s="32"/>
      <c r="S41" s="44"/>
    </row>
    <row r="42" ht="16.5" customHeight="1">
      <c r="A42" s="1"/>
      <c r="B42" s="31" t="s">
        <v>302</v>
      </c>
      <c r="C42" s="32" t="s">
        <v>157</v>
      </c>
      <c r="D42" s="32" t="s">
        <v>303</v>
      </c>
      <c r="E42" s="38">
        <v>15000.0</v>
      </c>
      <c r="F42" s="36" t="s">
        <v>97</v>
      </c>
      <c r="G42" s="32"/>
      <c r="H42" s="32"/>
      <c r="I42" s="38"/>
      <c r="J42" s="38"/>
      <c r="K42" s="38"/>
      <c r="L42" s="41">
        <f t="shared" si="2"/>
        <v>0</v>
      </c>
      <c r="M42" s="41">
        <f>SUMIFS('04 Payments'!$K$7:$K$400,'04 Payments'!$D$7:$D$400,$B42)</f>
        <v>0</v>
      </c>
      <c r="N42" s="41">
        <f t="shared" si="3"/>
        <v>0</v>
      </c>
      <c r="O42" s="38"/>
      <c r="P42" s="41">
        <f t="shared" si="4"/>
        <v>-15000</v>
      </c>
      <c r="Q42" s="32" t="s">
        <v>117</v>
      </c>
      <c r="R42" s="32"/>
      <c r="S42" s="44"/>
    </row>
    <row r="43" ht="16.5" customHeight="1">
      <c r="A43" s="1"/>
      <c r="B43" s="31" t="s">
        <v>307</v>
      </c>
      <c r="C43" s="32" t="s">
        <v>157</v>
      </c>
      <c r="D43" s="32" t="s">
        <v>308</v>
      </c>
      <c r="E43" s="38">
        <v>55000.0</v>
      </c>
      <c r="F43" s="36" t="s">
        <v>97</v>
      </c>
      <c r="G43" s="32"/>
      <c r="H43" s="32"/>
      <c r="I43" s="38"/>
      <c r="J43" s="38"/>
      <c r="K43" s="38"/>
      <c r="L43" s="41">
        <f t="shared" si="2"/>
        <v>0</v>
      </c>
      <c r="M43" s="41">
        <f>SUMIFS('04 Payments'!$K$7:$K$400,'04 Payments'!$D$7:$D$400,$B43)</f>
        <v>0</v>
      </c>
      <c r="N43" s="41">
        <f t="shared" si="3"/>
        <v>0</v>
      </c>
      <c r="O43" s="38"/>
      <c r="P43" s="41">
        <f t="shared" si="4"/>
        <v>-55000</v>
      </c>
      <c r="Q43" s="32" t="s">
        <v>117</v>
      </c>
      <c r="R43" s="32"/>
      <c r="S43" s="44"/>
    </row>
    <row r="44" ht="16.5" customHeight="1">
      <c r="A44" s="1"/>
      <c r="B44" s="31" t="s">
        <v>310</v>
      </c>
      <c r="C44" s="32" t="s">
        <v>157</v>
      </c>
      <c r="D44" s="32" t="s">
        <v>311</v>
      </c>
      <c r="E44" s="38">
        <v>30000.0</v>
      </c>
      <c r="F44" s="36" t="s">
        <v>97</v>
      </c>
      <c r="G44" s="32"/>
      <c r="H44" s="32"/>
      <c r="I44" s="38"/>
      <c r="J44" s="38"/>
      <c r="K44" s="38"/>
      <c r="L44" s="41">
        <f t="shared" si="2"/>
        <v>0</v>
      </c>
      <c r="M44" s="41">
        <f>SUMIFS('04 Payments'!$K$7:$K$400,'04 Payments'!$D$7:$D$400,$B44)</f>
        <v>0</v>
      </c>
      <c r="N44" s="41">
        <f t="shared" si="3"/>
        <v>0</v>
      </c>
      <c r="O44" s="38"/>
      <c r="P44" s="41">
        <f t="shared" si="4"/>
        <v>-30000</v>
      </c>
      <c r="Q44" s="32" t="s">
        <v>117</v>
      </c>
      <c r="R44" s="32"/>
      <c r="S44" s="44"/>
    </row>
    <row r="45" ht="16.5" customHeight="1">
      <c r="A45" s="1"/>
      <c r="B45" s="31" t="s">
        <v>317</v>
      </c>
      <c r="C45" s="32" t="s">
        <v>157</v>
      </c>
      <c r="D45" s="32" t="s">
        <v>318</v>
      </c>
      <c r="E45" s="38">
        <v>15000.0</v>
      </c>
      <c r="F45" s="36" t="s">
        <v>97</v>
      </c>
      <c r="G45" s="32"/>
      <c r="H45" s="32"/>
      <c r="I45" s="38"/>
      <c r="J45" s="38"/>
      <c r="K45" s="38"/>
      <c r="L45" s="41">
        <f t="shared" si="2"/>
        <v>0</v>
      </c>
      <c r="M45" s="41">
        <f>SUMIFS('04 Payments'!$K$7:$K$400,'04 Payments'!$D$7:$D$400,$B45)</f>
        <v>0</v>
      </c>
      <c r="N45" s="41">
        <f t="shared" si="3"/>
        <v>0</v>
      </c>
      <c r="O45" s="38"/>
      <c r="P45" s="41">
        <f t="shared" si="4"/>
        <v>-15000</v>
      </c>
      <c r="Q45" s="32" t="s">
        <v>117</v>
      </c>
      <c r="R45" s="32"/>
      <c r="S45" s="44"/>
    </row>
    <row r="46" ht="16.5" customHeight="1">
      <c r="A46" s="1"/>
      <c r="B46" s="31" t="s">
        <v>321</v>
      </c>
      <c r="C46" s="32" t="s">
        <v>157</v>
      </c>
      <c r="D46" s="36" t="s">
        <v>324</v>
      </c>
      <c r="E46" s="34">
        <v>10000.0</v>
      </c>
      <c r="F46" s="32" t="s">
        <v>240</v>
      </c>
      <c r="G46" s="36" t="s">
        <v>129</v>
      </c>
      <c r="H46" s="32"/>
      <c r="I46" s="38"/>
      <c r="J46" s="38"/>
      <c r="K46" s="38"/>
      <c r="L46" s="41">
        <f t="shared" si="2"/>
        <v>10000</v>
      </c>
      <c r="M46" s="41">
        <f>SUMIFS('04 Payments'!$K$7:$K$400,'04 Payments'!$D$7:$D$400,$B46)</f>
        <v>0</v>
      </c>
      <c r="N46" s="41">
        <f t="shared" si="3"/>
        <v>10000</v>
      </c>
      <c r="O46" s="38"/>
      <c r="P46" s="41">
        <f t="shared" si="4"/>
        <v>0</v>
      </c>
      <c r="Q46" s="32" t="s">
        <v>117</v>
      </c>
      <c r="R46" s="32"/>
      <c r="S46" s="44"/>
    </row>
    <row r="47" ht="16.5" customHeight="1">
      <c r="A47" s="1"/>
      <c r="B47" s="31" t="s">
        <v>325</v>
      </c>
      <c r="C47" s="32" t="s">
        <v>157</v>
      </c>
      <c r="D47" s="32" t="s">
        <v>326</v>
      </c>
      <c r="E47" s="34">
        <v>10000.0</v>
      </c>
      <c r="F47" s="36" t="s">
        <v>97</v>
      </c>
      <c r="G47" s="32"/>
      <c r="H47" s="32"/>
      <c r="I47" s="38"/>
      <c r="J47" s="38"/>
      <c r="K47" s="38"/>
      <c r="L47" s="41">
        <f t="shared" si="2"/>
        <v>0</v>
      </c>
      <c r="M47" s="41">
        <f>SUMIFS('04 Payments'!$K$7:$K$400,'04 Payments'!$D$7:$D$400,$B47)</f>
        <v>0</v>
      </c>
      <c r="N47" s="41">
        <f t="shared" si="3"/>
        <v>0</v>
      </c>
      <c r="O47" s="38"/>
      <c r="P47" s="41">
        <f t="shared" si="4"/>
        <v>-10000</v>
      </c>
      <c r="Q47" s="32" t="s">
        <v>117</v>
      </c>
      <c r="R47" s="32"/>
      <c r="S47" s="44"/>
    </row>
    <row r="48" ht="16.5" customHeight="1">
      <c r="A48" s="1"/>
      <c r="B48" s="31" t="s">
        <v>331</v>
      </c>
      <c r="C48" s="32" t="s">
        <v>157</v>
      </c>
      <c r="D48" s="32" t="s">
        <v>332</v>
      </c>
      <c r="E48" s="34">
        <v>0.0</v>
      </c>
      <c r="F48" s="32" t="s">
        <v>128</v>
      </c>
      <c r="G48" s="32"/>
      <c r="H48" s="32"/>
      <c r="I48" s="38"/>
      <c r="J48" s="38"/>
      <c r="K48" s="38"/>
      <c r="L48" s="41">
        <f t="shared" si="2"/>
        <v>0</v>
      </c>
      <c r="M48" s="41">
        <f>SUMIFS('04 Payments'!$K$7:$K$400,'04 Payments'!$D$7:$D$400,$B48)</f>
        <v>0</v>
      </c>
      <c r="N48" s="41">
        <f t="shared" si="3"/>
        <v>0</v>
      </c>
      <c r="O48" s="38"/>
      <c r="P48" s="41">
        <f t="shared" si="4"/>
        <v>0</v>
      </c>
      <c r="Q48" s="32" t="s">
        <v>117</v>
      </c>
      <c r="R48" s="32"/>
      <c r="S48" s="44"/>
    </row>
    <row r="49" ht="16.5" customHeight="1">
      <c r="A49" s="1"/>
      <c r="B49" s="31" t="s">
        <v>334</v>
      </c>
      <c r="C49" s="32" t="s">
        <v>157</v>
      </c>
      <c r="D49" s="32" t="s">
        <v>335</v>
      </c>
      <c r="E49" s="34">
        <v>0.0</v>
      </c>
      <c r="F49" s="32" t="s">
        <v>240</v>
      </c>
      <c r="G49" s="32"/>
      <c r="H49" s="32"/>
      <c r="I49" s="38"/>
      <c r="J49" s="38"/>
      <c r="K49" s="38"/>
      <c r="L49" s="41">
        <f t="shared" si="2"/>
        <v>0</v>
      </c>
      <c r="M49" s="41">
        <f>SUMIFS('04 Payments'!$K$7:$K$400,'04 Payments'!$D$7:$D$400,$B49)</f>
        <v>0</v>
      </c>
      <c r="N49" s="41">
        <f t="shared" si="3"/>
        <v>0</v>
      </c>
      <c r="O49" s="38"/>
      <c r="P49" s="41">
        <f t="shared" si="4"/>
        <v>0</v>
      </c>
      <c r="Q49" s="32" t="s">
        <v>117</v>
      </c>
      <c r="R49" s="32"/>
      <c r="S49" s="44"/>
    </row>
    <row r="50" ht="16.5" customHeight="1">
      <c r="A50" s="1"/>
      <c r="B50" s="31" t="s">
        <v>340</v>
      </c>
      <c r="C50" s="32" t="s">
        <v>157</v>
      </c>
      <c r="D50" s="32" t="s">
        <v>341</v>
      </c>
      <c r="E50" s="38">
        <v>0.0</v>
      </c>
      <c r="F50" s="32" t="s">
        <v>240</v>
      </c>
      <c r="G50" s="32"/>
      <c r="H50" s="32"/>
      <c r="I50" s="38"/>
      <c r="J50" s="38"/>
      <c r="K50" s="38"/>
      <c r="L50" s="41">
        <f t="shared" si="2"/>
        <v>0</v>
      </c>
      <c r="M50" s="41">
        <f>SUMIFS('04 Payments'!$K$7:$K$400,'04 Payments'!$D$7:$D$400,$B50)</f>
        <v>0</v>
      </c>
      <c r="N50" s="41">
        <f t="shared" si="3"/>
        <v>0</v>
      </c>
      <c r="O50" s="38"/>
      <c r="P50" s="41">
        <f t="shared" si="4"/>
        <v>0</v>
      </c>
      <c r="Q50" s="32" t="s">
        <v>117</v>
      </c>
      <c r="R50" s="32"/>
      <c r="S50" s="44"/>
    </row>
    <row r="51" ht="16.5" customHeight="1">
      <c r="A51" s="1"/>
      <c r="B51" s="31" t="s">
        <v>343</v>
      </c>
      <c r="C51" s="32" t="s">
        <v>162</v>
      </c>
      <c r="D51" s="32" t="s">
        <v>345</v>
      </c>
      <c r="E51" s="38">
        <v>35000.0</v>
      </c>
      <c r="F51" s="36" t="s">
        <v>97</v>
      </c>
      <c r="G51" s="32"/>
      <c r="H51" s="32"/>
      <c r="I51" s="38"/>
      <c r="J51" s="38"/>
      <c r="K51" s="38"/>
      <c r="L51" s="41">
        <f t="shared" si="2"/>
        <v>0</v>
      </c>
      <c r="M51" s="41">
        <f>SUMIFS('04 Payments'!$K$7:$K$400,'04 Payments'!$D$7:$D$400,$B51)</f>
        <v>0</v>
      </c>
      <c r="N51" s="41">
        <f t="shared" si="3"/>
        <v>0</v>
      </c>
      <c r="O51" s="38"/>
      <c r="P51" s="41">
        <f t="shared" si="4"/>
        <v>-35000</v>
      </c>
      <c r="Q51" s="32" t="s">
        <v>117</v>
      </c>
      <c r="R51" s="32"/>
      <c r="S51" s="44"/>
    </row>
    <row r="52" ht="16.5" customHeight="1">
      <c r="A52" s="1"/>
      <c r="B52" s="31" t="s">
        <v>350</v>
      </c>
      <c r="C52" s="32" t="s">
        <v>162</v>
      </c>
      <c r="D52" s="32" t="s">
        <v>351</v>
      </c>
      <c r="E52" s="38">
        <v>180000.0</v>
      </c>
      <c r="F52" s="36" t="s">
        <v>97</v>
      </c>
      <c r="G52" s="32"/>
      <c r="H52" s="32"/>
      <c r="I52" s="38"/>
      <c r="J52" s="38"/>
      <c r="K52" s="38"/>
      <c r="L52" s="41">
        <f t="shared" si="2"/>
        <v>0</v>
      </c>
      <c r="M52" s="41">
        <f>SUMIFS('04 Payments'!$K$7:$K$400,'04 Payments'!$D$7:$D$400,$B52)</f>
        <v>0</v>
      </c>
      <c r="N52" s="41">
        <f t="shared" si="3"/>
        <v>0</v>
      </c>
      <c r="O52" s="38"/>
      <c r="P52" s="41">
        <f t="shared" si="4"/>
        <v>-180000</v>
      </c>
      <c r="Q52" s="32" t="s">
        <v>117</v>
      </c>
      <c r="R52" s="32"/>
      <c r="S52" s="44"/>
    </row>
    <row r="53" ht="16.5" customHeight="1">
      <c r="A53" s="1"/>
      <c r="B53" s="31" t="s">
        <v>357</v>
      </c>
      <c r="C53" s="32" t="s">
        <v>162</v>
      </c>
      <c r="D53" s="32" t="s">
        <v>358</v>
      </c>
      <c r="E53" s="38">
        <v>40000.0</v>
      </c>
      <c r="F53" s="36" t="s">
        <v>97</v>
      </c>
      <c r="G53" s="32"/>
      <c r="H53" s="32"/>
      <c r="I53" s="38"/>
      <c r="J53" s="38"/>
      <c r="K53" s="38"/>
      <c r="L53" s="41">
        <f t="shared" si="2"/>
        <v>0</v>
      </c>
      <c r="M53" s="41">
        <f>SUMIFS('04 Payments'!$K$7:$K$400,'04 Payments'!$D$7:$D$400,$B53)</f>
        <v>0</v>
      </c>
      <c r="N53" s="41">
        <f t="shared" si="3"/>
        <v>0</v>
      </c>
      <c r="O53" s="38"/>
      <c r="P53" s="41">
        <f t="shared" si="4"/>
        <v>-40000</v>
      </c>
      <c r="Q53" s="32" t="s">
        <v>117</v>
      </c>
      <c r="R53" s="32"/>
      <c r="S53" s="44"/>
    </row>
    <row r="54" ht="16.5" customHeight="1">
      <c r="A54" s="1"/>
      <c r="B54" s="31" t="s">
        <v>364</v>
      </c>
      <c r="C54" s="32" t="s">
        <v>162</v>
      </c>
      <c r="D54" s="36" t="s">
        <v>365</v>
      </c>
      <c r="E54" s="34">
        <v>25000.0</v>
      </c>
      <c r="F54" s="32" t="s">
        <v>128</v>
      </c>
      <c r="G54" s="36" t="s">
        <v>129</v>
      </c>
      <c r="H54" s="32"/>
      <c r="I54" s="38"/>
      <c r="J54" s="38"/>
      <c r="K54" s="38"/>
      <c r="L54" s="41">
        <f t="shared" si="2"/>
        <v>25000</v>
      </c>
      <c r="M54" s="41">
        <f>SUMIFS('04 Payments'!$K$7:$K$400,'04 Payments'!$D$7:$D$400,$B54)</f>
        <v>0</v>
      </c>
      <c r="N54" s="41">
        <f t="shared" si="3"/>
        <v>25000</v>
      </c>
      <c r="O54" s="38"/>
      <c r="P54" s="41">
        <f t="shared" si="4"/>
        <v>0</v>
      </c>
      <c r="Q54" s="32" t="s">
        <v>117</v>
      </c>
      <c r="R54" s="32"/>
      <c r="S54" s="44"/>
    </row>
    <row r="55" ht="16.5" customHeight="1">
      <c r="A55" s="1"/>
      <c r="B55" s="31" t="s">
        <v>367</v>
      </c>
      <c r="C55" s="32" t="s">
        <v>162</v>
      </c>
      <c r="D55" s="32" t="s">
        <v>368</v>
      </c>
      <c r="E55" s="38">
        <v>25000.0</v>
      </c>
      <c r="F55" s="36" t="s">
        <v>97</v>
      </c>
      <c r="G55" s="32"/>
      <c r="H55" s="32"/>
      <c r="I55" s="38"/>
      <c r="J55" s="38"/>
      <c r="K55" s="38"/>
      <c r="L55" s="41">
        <f t="shared" si="2"/>
        <v>0</v>
      </c>
      <c r="M55" s="41">
        <f>SUMIFS('04 Payments'!$K$7:$K$400,'04 Payments'!$D$7:$D$400,$B55)</f>
        <v>0</v>
      </c>
      <c r="N55" s="41">
        <f t="shared" si="3"/>
        <v>0</v>
      </c>
      <c r="O55" s="38"/>
      <c r="P55" s="41">
        <f t="shared" si="4"/>
        <v>-25000</v>
      </c>
      <c r="Q55" s="32" t="s">
        <v>117</v>
      </c>
      <c r="R55" s="32"/>
      <c r="S55" s="44"/>
    </row>
    <row r="56" ht="16.5" customHeight="1">
      <c r="A56" s="1"/>
      <c r="B56" s="31" t="s">
        <v>374</v>
      </c>
      <c r="C56" s="32" t="s">
        <v>162</v>
      </c>
      <c r="D56" s="32" t="s">
        <v>376</v>
      </c>
      <c r="E56" s="34">
        <v>10000.0</v>
      </c>
      <c r="F56" s="32" t="s">
        <v>240</v>
      </c>
      <c r="G56" s="36" t="s">
        <v>129</v>
      </c>
      <c r="H56" s="32"/>
      <c r="I56" s="38"/>
      <c r="J56" s="38"/>
      <c r="K56" s="38"/>
      <c r="L56" s="41">
        <f t="shared" si="2"/>
        <v>10000</v>
      </c>
      <c r="M56" s="41">
        <f>SUMIFS('04 Payments'!$K$7:$K$400,'04 Payments'!$D$7:$D$400,$B56)</f>
        <v>0</v>
      </c>
      <c r="N56" s="41">
        <f t="shared" si="3"/>
        <v>10000</v>
      </c>
      <c r="O56" s="38"/>
      <c r="P56" s="41">
        <f t="shared" si="4"/>
        <v>0</v>
      </c>
      <c r="Q56" s="32" t="s">
        <v>117</v>
      </c>
      <c r="R56" s="32"/>
      <c r="S56" s="44"/>
    </row>
    <row r="57" ht="16.5" customHeight="1">
      <c r="A57" s="1"/>
      <c r="B57" s="31" t="s">
        <v>380</v>
      </c>
      <c r="C57" s="32" t="s">
        <v>162</v>
      </c>
      <c r="D57" s="32" t="s">
        <v>381</v>
      </c>
      <c r="E57" s="38">
        <v>30000.0</v>
      </c>
      <c r="F57" s="36" t="s">
        <v>97</v>
      </c>
      <c r="G57" s="32"/>
      <c r="H57" s="32"/>
      <c r="I57" s="38"/>
      <c r="J57" s="38"/>
      <c r="K57" s="38"/>
      <c r="L57" s="41">
        <f t="shared" si="2"/>
        <v>0</v>
      </c>
      <c r="M57" s="41">
        <f>SUMIFS('04 Payments'!$K$7:$K$400,'04 Payments'!$D$7:$D$400,$B57)</f>
        <v>0</v>
      </c>
      <c r="N57" s="41">
        <f t="shared" si="3"/>
        <v>0</v>
      </c>
      <c r="O57" s="38"/>
      <c r="P57" s="41">
        <f t="shared" si="4"/>
        <v>-30000</v>
      </c>
      <c r="Q57" s="32" t="s">
        <v>117</v>
      </c>
      <c r="R57" s="32"/>
      <c r="S57" s="44"/>
    </row>
    <row r="58" ht="16.5" customHeight="1">
      <c r="A58" s="1"/>
      <c r="B58" s="31" t="s">
        <v>385</v>
      </c>
      <c r="C58" s="32" t="s">
        <v>162</v>
      </c>
      <c r="D58" s="32" t="s">
        <v>386</v>
      </c>
      <c r="E58" s="34">
        <v>0.0</v>
      </c>
      <c r="F58" s="36" t="s">
        <v>128</v>
      </c>
      <c r="G58" s="32"/>
      <c r="H58" s="32"/>
      <c r="I58" s="38"/>
      <c r="J58" s="38"/>
      <c r="K58" s="38"/>
      <c r="L58" s="41">
        <f t="shared" si="2"/>
        <v>0</v>
      </c>
      <c r="M58" s="41">
        <f>SUMIFS('04 Payments'!$K$7:$K$400,'04 Payments'!$D$7:$D$400,$B58)</f>
        <v>0</v>
      </c>
      <c r="N58" s="41">
        <f t="shared" si="3"/>
        <v>0</v>
      </c>
      <c r="O58" s="38"/>
      <c r="P58" s="41">
        <f t="shared" si="4"/>
        <v>0</v>
      </c>
      <c r="Q58" s="32" t="s">
        <v>117</v>
      </c>
      <c r="R58" s="32"/>
      <c r="S58" s="44"/>
    </row>
    <row r="59" ht="16.5" customHeight="1">
      <c r="A59" s="1"/>
      <c r="B59" s="31" t="s">
        <v>390</v>
      </c>
      <c r="C59" s="32" t="s">
        <v>162</v>
      </c>
      <c r="D59" s="32" t="s">
        <v>341</v>
      </c>
      <c r="E59" s="38">
        <v>0.0</v>
      </c>
      <c r="F59" s="36" t="s">
        <v>97</v>
      </c>
      <c r="G59" s="32"/>
      <c r="H59" s="32"/>
      <c r="I59" s="38"/>
      <c r="J59" s="38"/>
      <c r="K59" s="38"/>
      <c r="L59" s="41">
        <f t="shared" si="2"/>
        <v>0</v>
      </c>
      <c r="M59" s="41">
        <f>SUMIFS('04 Payments'!$K$7:$K$400,'04 Payments'!$D$7:$D$400,$B59)</f>
        <v>0</v>
      </c>
      <c r="N59" s="41">
        <f t="shared" si="3"/>
        <v>0</v>
      </c>
      <c r="O59" s="38"/>
      <c r="P59" s="41">
        <f t="shared" si="4"/>
        <v>0</v>
      </c>
      <c r="Q59" s="32" t="s">
        <v>117</v>
      </c>
      <c r="R59" s="32"/>
      <c r="S59" s="44"/>
    </row>
    <row r="60" ht="16.5" customHeight="1">
      <c r="A60" s="1"/>
      <c r="B60" s="31" t="s">
        <v>393</v>
      </c>
      <c r="C60" s="32" t="s">
        <v>165</v>
      </c>
      <c r="D60" s="32" t="s">
        <v>394</v>
      </c>
      <c r="E60" s="34">
        <v>50000.0</v>
      </c>
      <c r="F60" s="32" t="s">
        <v>128</v>
      </c>
      <c r="G60" s="36" t="s">
        <v>395</v>
      </c>
      <c r="H60" s="32"/>
      <c r="I60" s="38"/>
      <c r="J60" s="38"/>
      <c r="K60" s="38"/>
      <c r="L60" s="41">
        <f t="shared" si="2"/>
        <v>50000</v>
      </c>
      <c r="M60" s="41">
        <f>SUMIFS('04 Payments'!$K$7:$K$400,'04 Payments'!$D$7:$D$400,$B60)</f>
        <v>0</v>
      </c>
      <c r="N60" s="41">
        <f t="shared" si="3"/>
        <v>50000</v>
      </c>
      <c r="O60" s="38"/>
      <c r="P60" s="41">
        <f t="shared" si="4"/>
        <v>0</v>
      </c>
      <c r="Q60" s="32" t="s">
        <v>117</v>
      </c>
      <c r="R60" s="32"/>
      <c r="S60" s="44"/>
    </row>
    <row r="61" ht="16.5" customHeight="1">
      <c r="A61" s="1"/>
      <c r="B61" s="31" t="s">
        <v>398</v>
      </c>
      <c r="C61" s="32" t="s">
        <v>165</v>
      </c>
      <c r="D61" s="32" t="s">
        <v>399</v>
      </c>
      <c r="E61" s="34">
        <v>0.0</v>
      </c>
      <c r="F61" s="32" t="s">
        <v>240</v>
      </c>
      <c r="G61" s="32"/>
      <c r="H61" s="32"/>
      <c r="I61" s="38"/>
      <c r="J61" s="38"/>
      <c r="K61" s="38"/>
      <c r="L61" s="41">
        <f t="shared" si="2"/>
        <v>0</v>
      </c>
      <c r="M61" s="41">
        <f>SUMIFS('04 Payments'!$K$7:$K$400,'04 Payments'!$D$7:$D$400,$B61)</f>
        <v>0</v>
      </c>
      <c r="N61" s="41">
        <f t="shared" si="3"/>
        <v>0</v>
      </c>
      <c r="O61" s="38"/>
      <c r="P61" s="41">
        <f t="shared" si="4"/>
        <v>0</v>
      </c>
      <c r="Q61" s="32" t="s">
        <v>117</v>
      </c>
      <c r="R61" s="32"/>
      <c r="S61" s="44"/>
    </row>
    <row r="62" ht="16.5" customHeight="1">
      <c r="A62" s="1"/>
      <c r="B62" s="31" t="s">
        <v>403</v>
      </c>
      <c r="C62" s="32" t="s">
        <v>165</v>
      </c>
      <c r="D62" s="32" t="s">
        <v>404</v>
      </c>
      <c r="E62" s="34">
        <v>5000.0</v>
      </c>
      <c r="F62" s="32" t="s">
        <v>128</v>
      </c>
      <c r="G62" s="36" t="s">
        <v>395</v>
      </c>
      <c r="H62" s="32"/>
      <c r="I62" s="38"/>
      <c r="J62" s="38"/>
      <c r="K62" s="38"/>
      <c r="L62" s="41">
        <f t="shared" si="2"/>
        <v>5000</v>
      </c>
      <c r="M62" s="41">
        <f>SUMIFS('04 Payments'!$K$7:$K$400,'04 Payments'!$D$7:$D$400,$B62)</f>
        <v>0</v>
      </c>
      <c r="N62" s="41">
        <f t="shared" si="3"/>
        <v>5000</v>
      </c>
      <c r="O62" s="38"/>
      <c r="P62" s="41">
        <f t="shared" si="4"/>
        <v>0</v>
      </c>
      <c r="Q62" s="32" t="s">
        <v>117</v>
      </c>
      <c r="R62" s="32"/>
      <c r="S62" s="44"/>
    </row>
    <row r="63" ht="16.5" customHeight="1">
      <c r="A63" s="1"/>
      <c r="B63" s="31" t="s">
        <v>406</v>
      </c>
      <c r="C63" s="32" t="s">
        <v>165</v>
      </c>
      <c r="D63" s="32" t="s">
        <v>407</v>
      </c>
      <c r="E63" s="38">
        <v>12000.0</v>
      </c>
      <c r="F63" s="36" t="s">
        <v>97</v>
      </c>
      <c r="G63" s="32"/>
      <c r="H63" s="32"/>
      <c r="I63" s="38"/>
      <c r="J63" s="38"/>
      <c r="K63" s="38"/>
      <c r="L63" s="41">
        <f t="shared" si="2"/>
        <v>0</v>
      </c>
      <c r="M63" s="41">
        <f>SUMIFS('04 Payments'!$K$7:$K$400,'04 Payments'!$D$7:$D$400,$B63)</f>
        <v>0</v>
      </c>
      <c r="N63" s="41">
        <f t="shared" si="3"/>
        <v>0</v>
      </c>
      <c r="O63" s="38"/>
      <c r="P63" s="41">
        <f t="shared" si="4"/>
        <v>-12000</v>
      </c>
      <c r="Q63" s="32" t="s">
        <v>117</v>
      </c>
      <c r="R63" s="32"/>
      <c r="S63" s="44"/>
    </row>
    <row r="64" ht="16.5" customHeight="1">
      <c r="A64" s="1"/>
      <c r="B64" s="31" t="s">
        <v>410</v>
      </c>
      <c r="C64" s="32" t="s">
        <v>165</v>
      </c>
      <c r="D64" s="32" t="s">
        <v>411</v>
      </c>
      <c r="E64" s="34">
        <v>5000.0</v>
      </c>
      <c r="F64" s="32" t="s">
        <v>128</v>
      </c>
      <c r="G64" s="36" t="s">
        <v>395</v>
      </c>
      <c r="H64" s="32"/>
      <c r="I64" s="38"/>
      <c r="J64" s="38"/>
      <c r="K64" s="38"/>
      <c r="L64" s="41">
        <f t="shared" si="2"/>
        <v>5000</v>
      </c>
      <c r="M64" s="41">
        <f>SUMIFS('04 Payments'!$K$7:$K$400,'04 Payments'!$D$7:$D$400,$B64)</f>
        <v>0</v>
      </c>
      <c r="N64" s="41">
        <f t="shared" si="3"/>
        <v>5000</v>
      </c>
      <c r="O64" s="38"/>
      <c r="P64" s="41">
        <f t="shared" si="4"/>
        <v>0</v>
      </c>
      <c r="Q64" s="32" t="s">
        <v>117</v>
      </c>
      <c r="R64" s="32"/>
      <c r="S64" s="44"/>
    </row>
    <row r="65" ht="16.5" customHeight="1">
      <c r="A65" s="1"/>
      <c r="B65" s="31" t="s">
        <v>414</v>
      </c>
      <c r="C65" s="32" t="s">
        <v>165</v>
      </c>
      <c r="D65" s="32" t="s">
        <v>415</v>
      </c>
      <c r="E65" s="38">
        <v>120000.0</v>
      </c>
      <c r="F65" s="32" t="s">
        <v>128</v>
      </c>
      <c r="G65" s="36" t="s">
        <v>395</v>
      </c>
      <c r="H65" s="32"/>
      <c r="I65" s="38"/>
      <c r="J65" s="38"/>
      <c r="K65" s="38"/>
      <c r="L65" s="41">
        <f t="shared" si="2"/>
        <v>120000</v>
      </c>
      <c r="M65" s="41">
        <f>SUMIFS('04 Payments'!$K$7:$K$400,'04 Payments'!$D$7:$D$400,$B65)</f>
        <v>0</v>
      </c>
      <c r="N65" s="41">
        <f t="shared" si="3"/>
        <v>120000</v>
      </c>
      <c r="O65" s="38"/>
      <c r="P65" s="41">
        <f t="shared" si="4"/>
        <v>0</v>
      </c>
      <c r="Q65" s="32" t="s">
        <v>117</v>
      </c>
      <c r="R65" s="32"/>
      <c r="S65" s="44"/>
    </row>
    <row r="66" ht="16.5" customHeight="1">
      <c r="A66" s="1"/>
      <c r="B66" s="31" t="s">
        <v>417</v>
      </c>
      <c r="C66" s="32" t="s">
        <v>165</v>
      </c>
      <c r="D66" s="32" t="s">
        <v>418</v>
      </c>
      <c r="E66" s="38">
        <v>20000.0</v>
      </c>
      <c r="F66" s="32" t="s">
        <v>128</v>
      </c>
      <c r="G66" s="36" t="s">
        <v>395</v>
      </c>
      <c r="H66" s="32"/>
      <c r="I66" s="38"/>
      <c r="J66" s="38"/>
      <c r="K66" s="38"/>
      <c r="L66" s="41">
        <f t="shared" si="2"/>
        <v>20000</v>
      </c>
      <c r="M66" s="41">
        <f>SUMIFS('04 Payments'!$K$7:$K$400,'04 Payments'!$D$7:$D$400,$B66)</f>
        <v>0</v>
      </c>
      <c r="N66" s="41">
        <f t="shared" si="3"/>
        <v>20000</v>
      </c>
      <c r="O66" s="38"/>
      <c r="P66" s="41">
        <f t="shared" si="4"/>
        <v>0</v>
      </c>
      <c r="Q66" s="32" t="s">
        <v>117</v>
      </c>
      <c r="R66" s="32"/>
      <c r="S66" s="44"/>
    </row>
    <row r="67" ht="16.5" customHeight="1">
      <c r="A67" s="1"/>
      <c r="B67" s="31" t="s">
        <v>421</v>
      </c>
      <c r="C67" s="32" t="s">
        <v>165</v>
      </c>
      <c r="D67" s="32" t="s">
        <v>422</v>
      </c>
      <c r="E67" s="38">
        <v>6000.0</v>
      </c>
      <c r="F67" s="32" t="s">
        <v>128</v>
      </c>
      <c r="G67" s="36" t="s">
        <v>395</v>
      </c>
      <c r="H67" s="32"/>
      <c r="I67" s="38"/>
      <c r="J67" s="38"/>
      <c r="K67" s="38"/>
      <c r="L67" s="41">
        <f t="shared" si="2"/>
        <v>6000</v>
      </c>
      <c r="M67" s="41">
        <f>SUMIFS('04 Payments'!$K$7:$K$400,'04 Payments'!$D$7:$D$400,$B67)</f>
        <v>0</v>
      </c>
      <c r="N67" s="41">
        <f t="shared" si="3"/>
        <v>6000</v>
      </c>
      <c r="O67" s="38"/>
      <c r="P67" s="41">
        <f t="shared" si="4"/>
        <v>0</v>
      </c>
      <c r="Q67" s="32" t="s">
        <v>117</v>
      </c>
      <c r="R67" s="32"/>
      <c r="S67" s="44"/>
    </row>
    <row r="68" ht="16.5" customHeight="1">
      <c r="A68" s="1"/>
      <c r="B68" s="31" t="s">
        <v>424</v>
      </c>
      <c r="C68" s="32" t="s">
        <v>165</v>
      </c>
      <c r="D68" s="32" t="s">
        <v>425</v>
      </c>
      <c r="E68" s="38">
        <v>35000.0</v>
      </c>
      <c r="F68" s="32" t="s">
        <v>128</v>
      </c>
      <c r="G68" s="36" t="s">
        <v>395</v>
      </c>
      <c r="H68" s="32"/>
      <c r="I68" s="38"/>
      <c r="J68" s="38"/>
      <c r="K68" s="38"/>
      <c r="L68" s="41">
        <f t="shared" si="2"/>
        <v>35000</v>
      </c>
      <c r="M68" s="41">
        <f>SUMIFS('04 Payments'!$K$7:$K$400,'04 Payments'!$D$7:$D$400,$B68)</f>
        <v>0</v>
      </c>
      <c r="N68" s="41">
        <f t="shared" si="3"/>
        <v>35000</v>
      </c>
      <c r="O68" s="38"/>
      <c r="P68" s="41">
        <f t="shared" si="4"/>
        <v>0</v>
      </c>
      <c r="Q68" s="32" t="s">
        <v>117</v>
      </c>
      <c r="R68" s="32"/>
      <c r="S68" s="44"/>
    </row>
    <row r="69" ht="16.5" customHeight="1">
      <c r="A69" s="1"/>
      <c r="B69" s="31" t="s">
        <v>426</v>
      </c>
      <c r="C69" s="32" t="s">
        <v>165</v>
      </c>
      <c r="D69" s="32" t="s">
        <v>427</v>
      </c>
      <c r="E69" s="38">
        <v>12000.0</v>
      </c>
      <c r="F69" s="32" t="s">
        <v>240</v>
      </c>
      <c r="G69" s="36" t="s">
        <v>395</v>
      </c>
      <c r="H69" s="32"/>
      <c r="I69" s="38"/>
      <c r="J69" s="38"/>
      <c r="K69" s="38"/>
      <c r="L69" s="41">
        <f t="shared" si="2"/>
        <v>12000</v>
      </c>
      <c r="M69" s="41">
        <f>SUMIFS('04 Payments'!$K$7:$K$400,'04 Payments'!$D$7:$D$400,$B69)</f>
        <v>0</v>
      </c>
      <c r="N69" s="41">
        <f t="shared" si="3"/>
        <v>12000</v>
      </c>
      <c r="O69" s="38"/>
      <c r="P69" s="41">
        <f t="shared" si="4"/>
        <v>0</v>
      </c>
      <c r="Q69" s="32" t="s">
        <v>117</v>
      </c>
      <c r="R69" s="32"/>
      <c r="S69" s="44"/>
    </row>
    <row r="70" ht="16.5" customHeight="1">
      <c r="A70" s="1"/>
      <c r="B70" s="31" t="s">
        <v>428</v>
      </c>
      <c r="C70" s="32" t="s">
        <v>165</v>
      </c>
      <c r="D70" s="32" t="s">
        <v>429</v>
      </c>
      <c r="E70" s="38">
        <v>10000.0</v>
      </c>
      <c r="F70" s="32" t="s">
        <v>128</v>
      </c>
      <c r="G70" s="36" t="s">
        <v>395</v>
      </c>
      <c r="H70" s="32"/>
      <c r="I70" s="38"/>
      <c r="J70" s="38"/>
      <c r="K70" s="38"/>
      <c r="L70" s="41">
        <f t="shared" si="2"/>
        <v>10000</v>
      </c>
      <c r="M70" s="41">
        <f>SUMIFS('04 Payments'!$K$7:$K$400,'04 Payments'!$D$7:$D$400,$B70)</f>
        <v>0</v>
      </c>
      <c r="N70" s="41">
        <f t="shared" si="3"/>
        <v>10000</v>
      </c>
      <c r="O70" s="38"/>
      <c r="P70" s="41">
        <f t="shared" si="4"/>
        <v>0</v>
      </c>
      <c r="Q70" s="32" t="s">
        <v>117</v>
      </c>
      <c r="R70" s="32"/>
      <c r="S70" s="44"/>
    </row>
    <row r="71" ht="16.5" customHeight="1">
      <c r="A71" s="1"/>
      <c r="B71" s="31" t="s">
        <v>430</v>
      </c>
      <c r="C71" s="32" t="s">
        <v>165</v>
      </c>
      <c r="D71" s="32" t="s">
        <v>431</v>
      </c>
      <c r="E71" s="38">
        <v>15000.0</v>
      </c>
      <c r="F71" s="36" t="s">
        <v>97</v>
      </c>
      <c r="G71" s="32"/>
      <c r="H71" s="32"/>
      <c r="I71" s="38"/>
      <c r="J71" s="38"/>
      <c r="K71" s="38"/>
      <c r="L71" s="41">
        <f t="shared" si="2"/>
        <v>0</v>
      </c>
      <c r="M71" s="41">
        <f>SUMIFS('04 Payments'!$K$7:$K$400,'04 Payments'!$D$7:$D$400,$B71)</f>
        <v>0</v>
      </c>
      <c r="N71" s="41">
        <f t="shared" si="3"/>
        <v>0</v>
      </c>
      <c r="O71" s="38"/>
      <c r="P71" s="41">
        <f t="shared" si="4"/>
        <v>-15000</v>
      </c>
      <c r="Q71" s="32" t="s">
        <v>117</v>
      </c>
      <c r="R71" s="32"/>
      <c r="S71" s="44"/>
    </row>
    <row r="72" ht="16.5" customHeight="1">
      <c r="A72" s="1"/>
      <c r="B72" s="31" t="s">
        <v>432</v>
      </c>
      <c r="C72" s="32" t="s">
        <v>165</v>
      </c>
      <c r="D72" s="32" t="s">
        <v>433</v>
      </c>
      <c r="E72" s="38">
        <v>8000.0</v>
      </c>
      <c r="F72" s="32" t="s">
        <v>128</v>
      </c>
      <c r="G72" s="36" t="s">
        <v>395</v>
      </c>
      <c r="H72" s="32"/>
      <c r="I72" s="38"/>
      <c r="J72" s="38"/>
      <c r="K72" s="38"/>
      <c r="L72" s="41">
        <f t="shared" si="2"/>
        <v>8000</v>
      </c>
      <c r="M72" s="41">
        <f>SUMIFS('04 Payments'!$K$7:$K$400,'04 Payments'!$D$7:$D$400,$B72)</f>
        <v>0</v>
      </c>
      <c r="N72" s="41">
        <f t="shared" si="3"/>
        <v>8000</v>
      </c>
      <c r="O72" s="38"/>
      <c r="P72" s="41">
        <f t="shared" si="4"/>
        <v>0</v>
      </c>
      <c r="Q72" s="32" t="s">
        <v>117</v>
      </c>
      <c r="R72" s="32"/>
      <c r="S72" s="44"/>
    </row>
    <row r="73" ht="16.5" customHeight="1">
      <c r="A73" s="1"/>
      <c r="B73" s="31" t="s">
        <v>434</v>
      </c>
      <c r="C73" s="32" t="s">
        <v>168</v>
      </c>
      <c r="D73" s="32" t="s">
        <v>435</v>
      </c>
      <c r="E73" s="34">
        <v>10000.0</v>
      </c>
      <c r="F73" s="32" t="s">
        <v>128</v>
      </c>
      <c r="G73" s="36" t="s">
        <v>129</v>
      </c>
      <c r="H73" s="32"/>
      <c r="I73" s="38"/>
      <c r="J73" s="38"/>
      <c r="K73" s="38"/>
      <c r="L73" s="41">
        <f t="shared" si="2"/>
        <v>10000</v>
      </c>
      <c r="M73" s="41">
        <f>SUMIFS('04 Payments'!$K$7:$K$400,'04 Payments'!$D$7:$D$400,$B73)</f>
        <v>0</v>
      </c>
      <c r="N73" s="41">
        <f t="shared" si="3"/>
        <v>10000</v>
      </c>
      <c r="O73" s="38"/>
      <c r="P73" s="41">
        <f t="shared" si="4"/>
        <v>0</v>
      </c>
      <c r="Q73" s="32" t="s">
        <v>117</v>
      </c>
      <c r="R73" s="32"/>
      <c r="S73" s="44"/>
    </row>
    <row r="74" ht="16.5" customHeight="1">
      <c r="A74" s="1"/>
      <c r="B74" s="31" t="s">
        <v>436</v>
      </c>
      <c r="C74" s="32" t="s">
        <v>168</v>
      </c>
      <c r="D74" s="32" t="s">
        <v>437</v>
      </c>
      <c r="E74" s="34">
        <v>3000.0</v>
      </c>
      <c r="F74" s="32" t="s">
        <v>128</v>
      </c>
      <c r="G74" s="36" t="s">
        <v>129</v>
      </c>
      <c r="H74" s="32"/>
      <c r="I74" s="38"/>
      <c r="J74" s="38"/>
      <c r="K74" s="38"/>
      <c r="L74" s="41">
        <f t="shared" si="2"/>
        <v>3000</v>
      </c>
      <c r="M74" s="41">
        <f>SUMIFS('04 Payments'!$K$7:$K$400,'04 Payments'!$D$7:$D$400,$B74)</f>
        <v>0</v>
      </c>
      <c r="N74" s="41">
        <f t="shared" si="3"/>
        <v>3000</v>
      </c>
      <c r="O74" s="38"/>
      <c r="P74" s="41">
        <f t="shared" si="4"/>
        <v>0</v>
      </c>
      <c r="Q74" s="32" t="s">
        <v>117</v>
      </c>
      <c r="R74" s="32"/>
      <c r="S74" s="44"/>
    </row>
    <row r="75" ht="16.5" customHeight="1">
      <c r="A75" s="1"/>
      <c r="B75" s="31" t="s">
        <v>438</v>
      </c>
      <c r="C75" s="32" t="s">
        <v>168</v>
      </c>
      <c r="D75" s="32" t="s">
        <v>439</v>
      </c>
      <c r="E75" s="34">
        <v>1000.0</v>
      </c>
      <c r="F75" s="32" t="s">
        <v>128</v>
      </c>
      <c r="G75" s="36" t="s">
        <v>129</v>
      </c>
      <c r="H75" s="32"/>
      <c r="I75" s="38"/>
      <c r="J75" s="38"/>
      <c r="K75" s="38"/>
      <c r="L75" s="41">
        <f t="shared" si="2"/>
        <v>1000</v>
      </c>
      <c r="M75" s="41">
        <f>SUMIFS('04 Payments'!$K$7:$K$400,'04 Payments'!$D$7:$D$400,$B75)</f>
        <v>0</v>
      </c>
      <c r="N75" s="41">
        <f t="shared" si="3"/>
        <v>1000</v>
      </c>
      <c r="O75" s="38"/>
      <c r="P75" s="41">
        <f t="shared" si="4"/>
        <v>0</v>
      </c>
      <c r="Q75" s="32" t="s">
        <v>117</v>
      </c>
      <c r="R75" s="32"/>
      <c r="S75" s="44"/>
    </row>
    <row r="76" ht="16.5" customHeight="1">
      <c r="A76" s="1"/>
      <c r="B76" s="31" t="s">
        <v>440</v>
      </c>
      <c r="C76" s="32" t="s">
        <v>168</v>
      </c>
      <c r="D76" s="32" t="s">
        <v>441</v>
      </c>
      <c r="E76" s="34">
        <v>4000.0</v>
      </c>
      <c r="F76" s="32" t="s">
        <v>128</v>
      </c>
      <c r="G76" s="36" t="s">
        <v>129</v>
      </c>
      <c r="H76" s="32"/>
      <c r="I76" s="38"/>
      <c r="J76" s="38"/>
      <c r="K76" s="38"/>
      <c r="L76" s="41">
        <f t="shared" si="2"/>
        <v>4000</v>
      </c>
      <c r="M76" s="41">
        <f>SUMIFS('04 Payments'!$K$7:$K$400,'04 Payments'!$D$7:$D$400,$B76)</f>
        <v>0</v>
      </c>
      <c r="N76" s="41">
        <f t="shared" si="3"/>
        <v>4000</v>
      </c>
      <c r="O76" s="38"/>
      <c r="P76" s="41">
        <f t="shared" si="4"/>
        <v>0</v>
      </c>
      <c r="Q76" s="32" t="s">
        <v>117</v>
      </c>
      <c r="R76" s="32"/>
      <c r="S76" s="44"/>
    </row>
    <row r="77" ht="16.5" customHeight="1">
      <c r="A77" s="1"/>
      <c r="B77" s="31" t="s">
        <v>442</v>
      </c>
      <c r="C77" s="32" t="s">
        <v>168</v>
      </c>
      <c r="D77" s="32" t="s">
        <v>443</v>
      </c>
      <c r="E77" s="34">
        <v>2000.0</v>
      </c>
      <c r="F77" s="32" t="s">
        <v>128</v>
      </c>
      <c r="G77" s="36" t="s">
        <v>129</v>
      </c>
      <c r="H77" s="32"/>
      <c r="I77" s="38"/>
      <c r="J77" s="38"/>
      <c r="K77" s="38"/>
      <c r="L77" s="41">
        <f t="shared" si="2"/>
        <v>2000</v>
      </c>
      <c r="M77" s="41">
        <f>SUMIFS('04 Payments'!$K$7:$K$400,'04 Payments'!$D$7:$D$400,$B77)</f>
        <v>0</v>
      </c>
      <c r="N77" s="41">
        <f t="shared" si="3"/>
        <v>2000</v>
      </c>
      <c r="O77" s="38"/>
      <c r="P77" s="41">
        <f t="shared" si="4"/>
        <v>0</v>
      </c>
      <c r="Q77" s="32" t="s">
        <v>117</v>
      </c>
      <c r="R77" s="32"/>
      <c r="S77" s="44"/>
    </row>
    <row r="78" ht="16.5" customHeight="1">
      <c r="A78" s="1"/>
      <c r="B78" s="31" t="s">
        <v>444</v>
      </c>
      <c r="C78" s="32" t="s">
        <v>168</v>
      </c>
      <c r="D78" s="32" t="s">
        <v>445</v>
      </c>
      <c r="E78" s="34">
        <v>2000.0</v>
      </c>
      <c r="F78" s="36" t="s">
        <v>128</v>
      </c>
      <c r="G78" s="36" t="s">
        <v>129</v>
      </c>
      <c r="H78" s="32"/>
      <c r="I78" s="38"/>
      <c r="J78" s="38"/>
      <c r="K78" s="38"/>
      <c r="L78" s="41">
        <f t="shared" si="2"/>
        <v>2000</v>
      </c>
      <c r="M78" s="41">
        <f>SUMIFS('04 Payments'!$K$7:$K$400,'04 Payments'!$D$7:$D$400,$B78)</f>
        <v>0</v>
      </c>
      <c r="N78" s="41">
        <f t="shared" si="3"/>
        <v>2000</v>
      </c>
      <c r="O78" s="38"/>
      <c r="P78" s="41">
        <f t="shared" si="4"/>
        <v>0</v>
      </c>
      <c r="Q78" s="32" t="s">
        <v>117</v>
      </c>
      <c r="R78" s="32"/>
      <c r="S78" s="44"/>
    </row>
    <row r="79" ht="16.5" customHeight="1">
      <c r="A79" s="1"/>
      <c r="B79" s="31" t="s">
        <v>446</v>
      </c>
      <c r="C79" s="32" t="s">
        <v>168</v>
      </c>
      <c r="D79" s="32" t="s">
        <v>447</v>
      </c>
      <c r="E79" s="38">
        <v>0.0</v>
      </c>
      <c r="F79" s="32" t="s">
        <v>240</v>
      </c>
      <c r="G79" s="32"/>
      <c r="H79" s="32"/>
      <c r="I79" s="38"/>
      <c r="J79" s="38"/>
      <c r="K79" s="38"/>
      <c r="L79" s="41">
        <f t="shared" si="2"/>
        <v>0</v>
      </c>
      <c r="M79" s="41">
        <f>SUMIFS('04 Payments'!$K$7:$K$400,'04 Payments'!$D$7:$D$400,$B79)</f>
        <v>0</v>
      </c>
      <c r="N79" s="41">
        <f t="shared" si="3"/>
        <v>0</v>
      </c>
      <c r="O79" s="38"/>
      <c r="P79" s="41">
        <f t="shared" si="4"/>
        <v>0</v>
      </c>
      <c r="Q79" s="32" t="s">
        <v>117</v>
      </c>
      <c r="R79" s="32"/>
      <c r="S79" s="44"/>
    </row>
    <row r="80" ht="16.5" customHeight="1">
      <c r="A80" s="1"/>
      <c r="B80" s="31" t="s">
        <v>448</v>
      </c>
      <c r="C80" s="32" t="s">
        <v>168</v>
      </c>
      <c r="D80" s="32" t="s">
        <v>449</v>
      </c>
      <c r="E80" s="38">
        <v>15000.0</v>
      </c>
      <c r="F80" s="32" t="s">
        <v>128</v>
      </c>
      <c r="G80" s="36" t="s">
        <v>129</v>
      </c>
      <c r="H80" s="32"/>
      <c r="I80" s="38"/>
      <c r="J80" s="38"/>
      <c r="K80" s="38"/>
      <c r="L80" s="41">
        <f t="shared" si="2"/>
        <v>15000</v>
      </c>
      <c r="M80" s="41">
        <f>SUMIFS('04 Payments'!$K$7:$K$400,'04 Payments'!$D$7:$D$400,$B80)</f>
        <v>0</v>
      </c>
      <c r="N80" s="41">
        <f t="shared" si="3"/>
        <v>15000</v>
      </c>
      <c r="O80" s="38"/>
      <c r="P80" s="41">
        <f t="shared" si="4"/>
        <v>0</v>
      </c>
      <c r="Q80" s="32" t="s">
        <v>117</v>
      </c>
      <c r="R80" s="32"/>
      <c r="S80" s="44"/>
    </row>
    <row r="81" ht="16.5" customHeight="1">
      <c r="A81" s="1"/>
      <c r="B81" s="31" t="s">
        <v>450</v>
      </c>
      <c r="C81" s="32" t="s">
        <v>168</v>
      </c>
      <c r="D81" s="32" t="s">
        <v>451</v>
      </c>
      <c r="E81" s="38">
        <v>3000.0</v>
      </c>
      <c r="F81" s="32" t="s">
        <v>128</v>
      </c>
      <c r="G81" s="36" t="s">
        <v>129</v>
      </c>
      <c r="H81" s="32"/>
      <c r="I81" s="38"/>
      <c r="J81" s="38"/>
      <c r="K81" s="38"/>
      <c r="L81" s="41">
        <f t="shared" si="2"/>
        <v>3000</v>
      </c>
      <c r="M81" s="41">
        <f>SUMIFS('04 Payments'!$K$7:$K$400,'04 Payments'!$D$7:$D$400,$B81)</f>
        <v>0</v>
      </c>
      <c r="N81" s="41">
        <f t="shared" si="3"/>
        <v>3000</v>
      </c>
      <c r="O81" s="38"/>
      <c r="P81" s="41">
        <f t="shared" si="4"/>
        <v>0</v>
      </c>
      <c r="Q81" s="32" t="s">
        <v>117</v>
      </c>
      <c r="R81" s="32"/>
      <c r="S81" s="44"/>
    </row>
    <row r="82" ht="16.5" customHeight="1">
      <c r="A82" s="1"/>
      <c r="B82" s="31" t="s">
        <v>452</v>
      </c>
      <c r="C82" s="32" t="s">
        <v>168</v>
      </c>
      <c r="D82" s="32" t="s">
        <v>453</v>
      </c>
      <c r="E82" s="38">
        <v>6000.0</v>
      </c>
      <c r="F82" s="32" t="s">
        <v>240</v>
      </c>
      <c r="G82" s="36" t="s">
        <v>129</v>
      </c>
      <c r="H82" s="32"/>
      <c r="I82" s="38"/>
      <c r="J82" s="38"/>
      <c r="K82" s="38"/>
      <c r="L82" s="41">
        <f t="shared" si="2"/>
        <v>6000</v>
      </c>
      <c r="M82" s="41">
        <f>SUMIFS('04 Payments'!$K$7:$K$400,'04 Payments'!$D$7:$D$400,$B82)</f>
        <v>0</v>
      </c>
      <c r="N82" s="41">
        <f t="shared" si="3"/>
        <v>6000</v>
      </c>
      <c r="O82" s="38"/>
      <c r="P82" s="41">
        <f t="shared" si="4"/>
        <v>0</v>
      </c>
      <c r="Q82" s="32" t="s">
        <v>117</v>
      </c>
      <c r="R82" s="32"/>
      <c r="S82" s="44"/>
    </row>
    <row r="83" ht="16.5" customHeight="1">
      <c r="A83" s="1"/>
      <c r="B83" s="31" t="s">
        <v>71</v>
      </c>
      <c r="C83" s="32" t="s">
        <v>171</v>
      </c>
      <c r="D83" s="32" t="s">
        <v>454</v>
      </c>
      <c r="E83" s="38">
        <v>260000.0</v>
      </c>
      <c r="F83" s="32" t="s">
        <v>128</v>
      </c>
      <c r="G83" s="32" t="s">
        <v>129</v>
      </c>
      <c r="H83" s="36" t="s">
        <v>101</v>
      </c>
      <c r="I83" s="34">
        <v>395000.0</v>
      </c>
      <c r="J83" s="38"/>
      <c r="K83" s="34">
        <v>395000.0</v>
      </c>
      <c r="L83" s="41">
        <f t="shared" si="2"/>
        <v>395000</v>
      </c>
      <c r="M83" s="56">
        <v>395000.0</v>
      </c>
      <c r="N83" s="41">
        <f t="shared" si="3"/>
        <v>0</v>
      </c>
      <c r="O83" s="38"/>
      <c r="P83" s="41">
        <f t="shared" si="4"/>
        <v>135000</v>
      </c>
      <c r="Q83" s="36" t="s">
        <v>273</v>
      </c>
      <c r="R83" s="32"/>
      <c r="S83" s="44"/>
    </row>
    <row r="84" ht="16.5" customHeight="1">
      <c r="A84" s="1"/>
      <c r="B84" s="31" t="s">
        <v>455</v>
      </c>
      <c r="C84" s="32" t="s">
        <v>171</v>
      </c>
      <c r="D84" s="32" t="s">
        <v>456</v>
      </c>
      <c r="E84" s="38">
        <v>40000.0</v>
      </c>
      <c r="F84" s="32" t="s">
        <v>97</v>
      </c>
      <c r="G84" s="32"/>
      <c r="H84" s="32"/>
      <c r="I84" s="38"/>
      <c r="J84" s="38"/>
      <c r="K84" s="38"/>
      <c r="L84" s="41">
        <f t="shared" si="2"/>
        <v>0</v>
      </c>
      <c r="M84" s="41">
        <f>SUMIFS('04 Payments'!$K$7:$K$400,'04 Payments'!$D$7:$D$400,$B84)</f>
        <v>0</v>
      </c>
      <c r="N84" s="41">
        <f t="shared" si="3"/>
        <v>0</v>
      </c>
      <c r="O84" s="38"/>
      <c r="P84" s="41">
        <f t="shared" si="4"/>
        <v>-40000</v>
      </c>
      <c r="Q84" s="32" t="s">
        <v>117</v>
      </c>
      <c r="R84" s="32"/>
      <c r="S84" s="44"/>
    </row>
    <row r="85" ht="16.5" customHeight="1">
      <c r="A85" s="1"/>
      <c r="B85" s="31" t="s">
        <v>462</v>
      </c>
      <c r="C85" s="32" t="s">
        <v>171</v>
      </c>
      <c r="D85" s="32" t="s">
        <v>466</v>
      </c>
      <c r="E85" s="38">
        <v>35000.0</v>
      </c>
      <c r="F85" s="32" t="s">
        <v>97</v>
      </c>
      <c r="G85" s="32"/>
      <c r="H85" s="32"/>
      <c r="I85" s="38"/>
      <c r="J85" s="38"/>
      <c r="K85" s="38"/>
      <c r="L85" s="41">
        <f t="shared" si="2"/>
        <v>0</v>
      </c>
      <c r="M85" s="41">
        <f>SUMIFS('04 Payments'!$K$7:$K$400,'04 Payments'!$D$7:$D$400,$B85)</f>
        <v>0</v>
      </c>
      <c r="N85" s="41">
        <f t="shared" si="3"/>
        <v>0</v>
      </c>
      <c r="O85" s="38"/>
      <c r="P85" s="41">
        <f t="shared" si="4"/>
        <v>-35000</v>
      </c>
      <c r="Q85" s="32" t="s">
        <v>117</v>
      </c>
      <c r="R85" s="32"/>
      <c r="S85" s="44"/>
    </row>
    <row r="86" ht="16.5" customHeight="1">
      <c r="A86" s="1"/>
      <c r="B86" s="31" t="s">
        <v>472</v>
      </c>
      <c r="C86" s="32" t="s">
        <v>171</v>
      </c>
      <c r="D86" s="32" t="s">
        <v>473</v>
      </c>
      <c r="E86" s="38">
        <v>30000.0</v>
      </c>
      <c r="F86" s="32" t="s">
        <v>97</v>
      </c>
      <c r="G86" s="32"/>
      <c r="H86" s="32"/>
      <c r="I86" s="38"/>
      <c r="J86" s="38"/>
      <c r="K86" s="38"/>
      <c r="L86" s="41">
        <f t="shared" si="2"/>
        <v>0</v>
      </c>
      <c r="M86" s="41">
        <f>SUMIFS('04 Payments'!$K$7:$K$400,'04 Payments'!$D$7:$D$400,$B86)</f>
        <v>0</v>
      </c>
      <c r="N86" s="41">
        <f t="shared" si="3"/>
        <v>0</v>
      </c>
      <c r="O86" s="38"/>
      <c r="P86" s="41">
        <f t="shared" si="4"/>
        <v>-30000</v>
      </c>
      <c r="Q86" s="32" t="s">
        <v>117</v>
      </c>
      <c r="R86" s="32"/>
      <c r="S86" s="44"/>
    </row>
    <row r="87" ht="16.5" customHeight="1">
      <c r="A87" s="1"/>
      <c r="B87" s="31" t="s">
        <v>476</v>
      </c>
      <c r="C87" s="32" t="s">
        <v>171</v>
      </c>
      <c r="D87" s="32" t="s">
        <v>477</v>
      </c>
      <c r="E87" s="38">
        <v>0.0</v>
      </c>
      <c r="F87" s="32" t="s">
        <v>97</v>
      </c>
      <c r="G87" s="32"/>
      <c r="H87" s="32"/>
      <c r="I87" s="38"/>
      <c r="J87" s="38"/>
      <c r="K87" s="38"/>
      <c r="L87" s="41">
        <f t="shared" si="2"/>
        <v>0</v>
      </c>
      <c r="M87" s="41">
        <f>SUMIFS('04 Payments'!$K$7:$K$400,'04 Payments'!$D$7:$D$400,$B87)</f>
        <v>0</v>
      </c>
      <c r="N87" s="41">
        <f t="shared" si="3"/>
        <v>0</v>
      </c>
      <c r="O87" s="38"/>
      <c r="P87" s="41">
        <f t="shared" si="4"/>
        <v>0</v>
      </c>
      <c r="Q87" s="32" t="s">
        <v>117</v>
      </c>
      <c r="R87" s="32"/>
      <c r="S87" s="44"/>
    </row>
    <row r="88" ht="16.5" customHeight="1">
      <c r="A88" s="1"/>
      <c r="B88" s="31" t="s">
        <v>121</v>
      </c>
      <c r="C88" s="32" t="s">
        <v>171</v>
      </c>
      <c r="D88" s="32" t="s">
        <v>480</v>
      </c>
      <c r="E88" s="38">
        <v>432500.0</v>
      </c>
      <c r="F88" s="32" t="s">
        <v>128</v>
      </c>
      <c r="G88" s="32" t="s">
        <v>129</v>
      </c>
      <c r="H88" s="36" t="s">
        <v>101</v>
      </c>
      <c r="I88" s="34">
        <v>485000.0</v>
      </c>
      <c r="J88" s="38"/>
      <c r="K88" s="34">
        <v>485000.0</v>
      </c>
      <c r="L88" s="41">
        <f t="shared" si="2"/>
        <v>485000</v>
      </c>
      <c r="M88" s="56">
        <v>485000.0</v>
      </c>
      <c r="N88" s="41">
        <f t="shared" si="3"/>
        <v>0</v>
      </c>
      <c r="O88" s="38"/>
      <c r="P88" s="41">
        <f t="shared" si="4"/>
        <v>52500</v>
      </c>
      <c r="Q88" s="36" t="s">
        <v>273</v>
      </c>
      <c r="R88" s="32"/>
      <c r="S88" s="44"/>
    </row>
    <row r="89" ht="16.5" customHeight="1">
      <c r="A89" s="1"/>
      <c r="B89" s="31" t="s">
        <v>141</v>
      </c>
      <c r="C89" s="32" t="s">
        <v>171</v>
      </c>
      <c r="D89" s="32" t="s">
        <v>482</v>
      </c>
      <c r="E89" s="38">
        <v>43000.0</v>
      </c>
      <c r="F89" s="32" t="s">
        <v>240</v>
      </c>
      <c r="G89" s="32" t="s">
        <v>129</v>
      </c>
      <c r="H89" s="36" t="s">
        <v>101</v>
      </c>
      <c r="I89" s="34">
        <v>16000.0</v>
      </c>
      <c r="J89" s="38"/>
      <c r="K89" s="34">
        <v>16000.0</v>
      </c>
      <c r="L89" s="41">
        <f t="shared" si="2"/>
        <v>16000</v>
      </c>
      <c r="M89" s="56">
        <v>16000.0</v>
      </c>
      <c r="N89" s="41">
        <f t="shared" si="3"/>
        <v>0</v>
      </c>
      <c r="O89" s="38"/>
      <c r="P89" s="41">
        <f t="shared" si="4"/>
        <v>-27000</v>
      </c>
      <c r="Q89" s="36" t="s">
        <v>273</v>
      </c>
      <c r="R89" s="32"/>
      <c r="S89" s="44"/>
    </row>
    <row r="90" ht="16.5" customHeight="1">
      <c r="A90" s="1"/>
      <c r="B90" s="31" t="s">
        <v>483</v>
      </c>
      <c r="C90" s="32" t="s">
        <v>171</v>
      </c>
      <c r="D90" s="32" t="s">
        <v>484</v>
      </c>
      <c r="E90" s="38">
        <v>50000.0</v>
      </c>
      <c r="F90" s="32" t="s">
        <v>97</v>
      </c>
      <c r="G90" s="32"/>
      <c r="H90" s="32"/>
      <c r="I90" s="38"/>
      <c r="J90" s="38"/>
      <c r="K90" s="38"/>
      <c r="L90" s="41">
        <f t="shared" si="2"/>
        <v>0</v>
      </c>
      <c r="M90" s="41">
        <f>SUMIFS('04 Payments'!$K$7:$K$400,'04 Payments'!$D$7:$D$400,$B90)</f>
        <v>0</v>
      </c>
      <c r="N90" s="41">
        <f t="shared" si="3"/>
        <v>0</v>
      </c>
      <c r="O90" s="38"/>
      <c r="P90" s="41">
        <f t="shared" si="4"/>
        <v>-50000</v>
      </c>
      <c r="Q90" s="32" t="s">
        <v>117</v>
      </c>
      <c r="R90" s="32"/>
      <c r="S90" s="44"/>
    </row>
    <row r="91" ht="16.5" customHeight="1">
      <c r="A91" s="1"/>
      <c r="B91" s="31" t="s">
        <v>486</v>
      </c>
      <c r="C91" s="32" t="s">
        <v>171</v>
      </c>
      <c r="D91" s="32" t="s">
        <v>487</v>
      </c>
      <c r="E91" s="38">
        <v>15000.0</v>
      </c>
      <c r="F91" s="32" t="s">
        <v>97</v>
      </c>
      <c r="G91" s="32"/>
      <c r="H91" s="32"/>
      <c r="I91" s="38"/>
      <c r="J91" s="38"/>
      <c r="K91" s="38"/>
      <c r="L91" s="41">
        <f t="shared" si="2"/>
        <v>0</v>
      </c>
      <c r="M91" s="41">
        <f>SUMIFS('04 Payments'!$K$7:$K$400,'04 Payments'!$D$7:$D$400,$B91)</f>
        <v>0</v>
      </c>
      <c r="N91" s="41">
        <f t="shared" si="3"/>
        <v>0</v>
      </c>
      <c r="O91" s="38"/>
      <c r="P91" s="41">
        <f t="shared" si="4"/>
        <v>-15000</v>
      </c>
      <c r="Q91" s="32" t="s">
        <v>117</v>
      </c>
      <c r="R91" s="32"/>
      <c r="S91" s="44"/>
    </row>
    <row r="92" ht="16.5" customHeight="1">
      <c r="A92" s="1"/>
      <c r="B92" s="31" t="s">
        <v>490</v>
      </c>
      <c r="C92" s="32" t="s">
        <v>171</v>
      </c>
      <c r="D92" s="32" t="s">
        <v>491</v>
      </c>
      <c r="E92" s="38">
        <v>0.0</v>
      </c>
      <c r="F92" s="32" t="s">
        <v>97</v>
      </c>
      <c r="G92" s="32"/>
      <c r="H92" s="32"/>
      <c r="I92" s="38"/>
      <c r="J92" s="38"/>
      <c r="K92" s="38"/>
      <c r="L92" s="41">
        <f t="shared" si="2"/>
        <v>0</v>
      </c>
      <c r="M92" s="41">
        <f>SUMIFS('04 Payments'!$K$7:$K$400,'04 Payments'!$D$7:$D$400,$B92)</f>
        <v>0</v>
      </c>
      <c r="N92" s="41">
        <f t="shared" si="3"/>
        <v>0</v>
      </c>
      <c r="O92" s="38"/>
      <c r="P92" s="41">
        <f t="shared" si="4"/>
        <v>0</v>
      </c>
      <c r="Q92" s="32" t="s">
        <v>117</v>
      </c>
      <c r="R92" s="32"/>
      <c r="S92" s="44"/>
    </row>
    <row r="93" ht="16.5" customHeight="1">
      <c r="A93" s="1"/>
      <c r="B93" s="31" t="s">
        <v>493</v>
      </c>
      <c r="C93" s="32" t="s">
        <v>178</v>
      </c>
      <c r="D93" s="32" t="s">
        <v>494</v>
      </c>
      <c r="E93" s="34">
        <v>30000.0</v>
      </c>
      <c r="F93" s="32" t="s">
        <v>128</v>
      </c>
      <c r="G93" s="36" t="s">
        <v>395</v>
      </c>
      <c r="H93" s="32"/>
      <c r="I93" s="38"/>
      <c r="J93" s="38"/>
      <c r="K93" s="38"/>
      <c r="L93" s="41">
        <f t="shared" si="2"/>
        <v>30000</v>
      </c>
      <c r="M93" s="41">
        <f>SUMIFS('04 Payments'!$K$7:$K$400,'04 Payments'!$D$7:$D$400,$B93)</f>
        <v>0</v>
      </c>
      <c r="N93" s="41">
        <f t="shared" si="3"/>
        <v>30000</v>
      </c>
      <c r="O93" s="38"/>
      <c r="P93" s="41">
        <f t="shared" si="4"/>
        <v>0</v>
      </c>
      <c r="Q93" s="32" t="s">
        <v>117</v>
      </c>
      <c r="R93" s="32"/>
      <c r="S93" s="44"/>
    </row>
    <row r="94" ht="16.5" customHeight="1">
      <c r="A94" s="1"/>
      <c r="B94" s="31" t="s">
        <v>496</v>
      </c>
      <c r="C94" s="32" t="s">
        <v>178</v>
      </c>
      <c r="D94" s="32" t="s">
        <v>498</v>
      </c>
      <c r="E94" s="34">
        <v>5000.0</v>
      </c>
      <c r="F94" s="32" t="s">
        <v>128</v>
      </c>
      <c r="G94" s="36" t="s">
        <v>129</v>
      </c>
      <c r="H94" s="32"/>
      <c r="I94" s="38"/>
      <c r="J94" s="38"/>
      <c r="K94" s="38"/>
      <c r="L94" s="41">
        <f t="shared" si="2"/>
        <v>5000</v>
      </c>
      <c r="M94" s="41">
        <f>SUMIFS('04 Payments'!$K$7:$K$400,'04 Payments'!$D$7:$D$400,$B94)</f>
        <v>0</v>
      </c>
      <c r="N94" s="41">
        <f t="shared" si="3"/>
        <v>5000</v>
      </c>
      <c r="O94" s="38"/>
      <c r="P94" s="41">
        <f t="shared" si="4"/>
        <v>0</v>
      </c>
      <c r="Q94" s="32" t="s">
        <v>117</v>
      </c>
      <c r="R94" s="32"/>
      <c r="S94" s="44"/>
    </row>
    <row r="95" ht="16.5" customHeight="1">
      <c r="A95" s="1"/>
      <c r="B95" s="31" t="s">
        <v>499</v>
      </c>
      <c r="C95" s="32" t="s">
        <v>178</v>
      </c>
      <c r="D95" s="32" t="s">
        <v>500</v>
      </c>
      <c r="E95" s="38">
        <v>25000.0</v>
      </c>
      <c r="F95" s="36" t="s">
        <v>97</v>
      </c>
      <c r="G95" s="32"/>
      <c r="H95" s="32"/>
      <c r="I95" s="38"/>
      <c r="J95" s="38"/>
      <c r="K95" s="38"/>
      <c r="L95" s="41">
        <f t="shared" si="2"/>
        <v>0</v>
      </c>
      <c r="M95" s="41">
        <f>SUMIFS('04 Payments'!$K$7:$K$400,'04 Payments'!$D$7:$D$400,$B95)</f>
        <v>0</v>
      </c>
      <c r="N95" s="41">
        <f t="shared" si="3"/>
        <v>0</v>
      </c>
      <c r="O95" s="38"/>
      <c r="P95" s="41">
        <f t="shared" si="4"/>
        <v>-25000</v>
      </c>
      <c r="Q95" s="32" t="s">
        <v>117</v>
      </c>
      <c r="R95" s="32"/>
      <c r="S95" s="44"/>
    </row>
    <row r="96" ht="16.5" customHeight="1">
      <c r="A96" s="1"/>
      <c r="B96" s="31" t="s">
        <v>504</v>
      </c>
      <c r="C96" s="32" t="s">
        <v>178</v>
      </c>
      <c r="D96" s="32" t="s">
        <v>507</v>
      </c>
      <c r="E96" s="34">
        <v>20000.0</v>
      </c>
      <c r="F96" s="32" t="s">
        <v>128</v>
      </c>
      <c r="G96" s="36" t="s">
        <v>395</v>
      </c>
      <c r="H96" s="32"/>
      <c r="I96" s="38"/>
      <c r="J96" s="38"/>
      <c r="K96" s="38"/>
      <c r="L96" s="41">
        <f t="shared" si="2"/>
        <v>20000</v>
      </c>
      <c r="M96" s="41">
        <f>SUMIFS('04 Payments'!$K$7:$K$400,'04 Payments'!$D$7:$D$400,$B96)</f>
        <v>0</v>
      </c>
      <c r="N96" s="41">
        <f t="shared" si="3"/>
        <v>20000</v>
      </c>
      <c r="O96" s="38"/>
      <c r="P96" s="41">
        <f t="shared" si="4"/>
        <v>0</v>
      </c>
      <c r="Q96" s="32" t="s">
        <v>117</v>
      </c>
      <c r="R96" s="32"/>
      <c r="S96" s="44"/>
    </row>
    <row r="97" ht="16.5" customHeight="1">
      <c r="A97" s="1"/>
      <c r="B97" s="31" t="s">
        <v>513</v>
      </c>
      <c r="C97" s="32" t="s">
        <v>178</v>
      </c>
      <c r="D97" s="32" t="s">
        <v>514</v>
      </c>
      <c r="E97" s="34">
        <v>10000.0</v>
      </c>
      <c r="F97" s="32" t="s">
        <v>128</v>
      </c>
      <c r="G97" s="36" t="s">
        <v>395</v>
      </c>
      <c r="H97" s="32"/>
      <c r="I97" s="38"/>
      <c r="J97" s="38"/>
      <c r="K97" s="38"/>
      <c r="L97" s="41">
        <f t="shared" si="2"/>
        <v>10000</v>
      </c>
      <c r="M97" s="41">
        <f>SUMIFS('04 Payments'!$K$7:$K$400,'04 Payments'!$D$7:$D$400,$B97)</f>
        <v>0</v>
      </c>
      <c r="N97" s="41">
        <f t="shared" si="3"/>
        <v>10000</v>
      </c>
      <c r="O97" s="38"/>
      <c r="P97" s="41">
        <f t="shared" si="4"/>
        <v>0</v>
      </c>
      <c r="Q97" s="32" t="s">
        <v>117</v>
      </c>
      <c r="R97" s="32"/>
      <c r="S97" s="44"/>
    </row>
    <row r="98" ht="16.5" customHeight="1">
      <c r="A98" s="1"/>
      <c r="B98" s="31" t="s">
        <v>518</v>
      </c>
      <c r="C98" s="32" t="s">
        <v>178</v>
      </c>
      <c r="D98" s="36" t="s">
        <v>520</v>
      </c>
      <c r="E98" s="34">
        <v>2000.0</v>
      </c>
      <c r="F98" s="32" t="s">
        <v>128</v>
      </c>
      <c r="G98" s="36" t="s">
        <v>129</v>
      </c>
      <c r="H98" s="32"/>
      <c r="I98" s="38"/>
      <c r="J98" s="38"/>
      <c r="K98" s="38"/>
      <c r="L98" s="41">
        <f t="shared" si="2"/>
        <v>2000</v>
      </c>
      <c r="M98" s="41">
        <f>SUMIFS('04 Payments'!$K$7:$K$400,'04 Payments'!$D$7:$D$400,$B98)</f>
        <v>0</v>
      </c>
      <c r="N98" s="41">
        <f t="shared" si="3"/>
        <v>2000</v>
      </c>
      <c r="O98" s="38"/>
      <c r="P98" s="41">
        <f t="shared" si="4"/>
        <v>0</v>
      </c>
      <c r="Q98" s="32" t="s">
        <v>117</v>
      </c>
      <c r="R98" s="32"/>
      <c r="S98" s="44"/>
    </row>
    <row r="99" ht="16.5" customHeight="1">
      <c r="A99" s="1"/>
      <c r="B99" s="31" t="s">
        <v>524</v>
      </c>
      <c r="C99" s="32" t="s">
        <v>178</v>
      </c>
      <c r="D99" s="32" t="s">
        <v>525</v>
      </c>
      <c r="E99" s="38">
        <v>30000.0</v>
      </c>
      <c r="F99" s="36" t="s">
        <v>97</v>
      </c>
      <c r="G99" s="32"/>
      <c r="H99" s="32"/>
      <c r="I99" s="38"/>
      <c r="J99" s="38"/>
      <c r="K99" s="38"/>
      <c r="L99" s="41">
        <f t="shared" si="2"/>
        <v>0</v>
      </c>
      <c r="M99" s="41">
        <f>SUMIFS('04 Payments'!$K$7:$K$400,'04 Payments'!$D$7:$D$400,$B99)</f>
        <v>0</v>
      </c>
      <c r="N99" s="41">
        <f t="shared" si="3"/>
        <v>0</v>
      </c>
      <c r="O99" s="38"/>
      <c r="P99" s="41">
        <f t="shared" si="4"/>
        <v>-30000</v>
      </c>
      <c r="Q99" s="32" t="s">
        <v>117</v>
      </c>
      <c r="R99" s="32"/>
      <c r="S99" s="44"/>
    </row>
    <row r="100" ht="16.5" customHeight="1">
      <c r="A100" s="1"/>
      <c r="B100" s="31" t="s">
        <v>528</v>
      </c>
      <c r="C100" s="32" t="s">
        <v>188</v>
      </c>
      <c r="D100" s="32" t="s">
        <v>530</v>
      </c>
      <c r="E100" s="38">
        <v>120000.0</v>
      </c>
      <c r="F100" s="36" t="s">
        <v>97</v>
      </c>
      <c r="G100" s="32"/>
      <c r="H100" s="32"/>
      <c r="I100" s="38"/>
      <c r="J100" s="38"/>
      <c r="K100" s="38"/>
      <c r="L100" s="41">
        <f t="shared" si="2"/>
        <v>0</v>
      </c>
      <c r="M100" s="41">
        <f>SUMIFS('04 Payments'!$K$7:$K$400,'04 Payments'!$D$7:$D$400,$B100)</f>
        <v>0</v>
      </c>
      <c r="N100" s="41">
        <f t="shared" si="3"/>
        <v>0</v>
      </c>
      <c r="O100" s="38"/>
      <c r="P100" s="41">
        <f t="shared" si="4"/>
        <v>-120000</v>
      </c>
      <c r="Q100" s="32" t="s">
        <v>117</v>
      </c>
      <c r="R100" s="32"/>
      <c r="S100" s="44"/>
    </row>
    <row r="101" ht="16.5" customHeight="1">
      <c r="A101" s="1"/>
      <c r="B101" s="31" t="s">
        <v>537</v>
      </c>
      <c r="C101" s="32" t="s">
        <v>188</v>
      </c>
      <c r="D101" s="32" t="s">
        <v>538</v>
      </c>
      <c r="E101" s="38">
        <v>60000.0</v>
      </c>
      <c r="F101" s="36" t="s">
        <v>97</v>
      </c>
      <c r="G101" s="32"/>
      <c r="H101" s="32"/>
      <c r="I101" s="38"/>
      <c r="J101" s="38"/>
      <c r="K101" s="38"/>
      <c r="L101" s="41">
        <f t="shared" si="2"/>
        <v>0</v>
      </c>
      <c r="M101" s="41">
        <f>SUMIFS('04 Payments'!$K$7:$K$400,'04 Payments'!$D$7:$D$400,$B101)</f>
        <v>0</v>
      </c>
      <c r="N101" s="41">
        <f t="shared" si="3"/>
        <v>0</v>
      </c>
      <c r="O101" s="38"/>
      <c r="P101" s="41">
        <f t="shared" si="4"/>
        <v>-60000</v>
      </c>
      <c r="Q101" s="32" t="s">
        <v>117</v>
      </c>
      <c r="R101" s="32"/>
      <c r="S101" s="44"/>
    </row>
    <row r="102" ht="16.5" customHeight="1">
      <c r="A102" s="1"/>
      <c r="B102" s="31" t="s">
        <v>544</v>
      </c>
      <c r="C102" s="32" t="s">
        <v>188</v>
      </c>
      <c r="D102" s="32" t="s">
        <v>546</v>
      </c>
      <c r="E102" s="38">
        <v>90000.0</v>
      </c>
      <c r="F102" s="36" t="s">
        <v>97</v>
      </c>
      <c r="G102" s="32"/>
      <c r="H102" s="32"/>
      <c r="I102" s="38"/>
      <c r="J102" s="38"/>
      <c r="K102" s="38"/>
      <c r="L102" s="41">
        <f t="shared" si="2"/>
        <v>0</v>
      </c>
      <c r="M102" s="41">
        <f>SUMIFS('04 Payments'!$K$7:$K$400,'04 Payments'!$D$7:$D$400,$B102)</f>
        <v>0</v>
      </c>
      <c r="N102" s="41">
        <f t="shared" si="3"/>
        <v>0</v>
      </c>
      <c r="O102" s="38"/>
      <c r="P102" s="41">
        <f t="shared" si="4"/>
        <v>-90000</v>
      </c>
      <c r="Q102" s="32" t="s">
        <v>117</v>
      </c>
      <c r="R102" s="32"/>
      <c r="S102" s="44"/>
    </row>
    <row r="103" ht="16.5" customHeight="1">
      <c r="A103" s="1"/>
      <c r="B103" s="31" t="s">
        <v>552</v>
      </c>
      <c r="C103" s="32" t="s">
        <v>188</v>
      </c>
      <c r="D103" s="32" t="s">
        <v>553</v>
      </c>
      <c r="E103" s="38">
        <v>45000.0</v>
      </c>
      <c r="F103" s="36" t="s">
        <v>97</v>
      </c>
      <c r="G103" s="32"/>
      <c r="H103" s="32"/>
      <c r="I103" s="38"/>
      <c r="J103" s="38"/>
      <c r="K103" s="38"/>
      <c r="L103" s="41">
        <f t="shared" si="2"/>
        <v>0</v>
      </c>
      <c r="M103" s="41">
        <f>SUMIFS('04 Payments'!$K$7:$K$400,'04 Payments'!$D$7:$D$400,$B103)</f>
        <v>0</v>
      </c>
      <c r="N103" s="41">
        <f t="shared" si="3"/>
        <v>0</v>
      </c>
      <c r="O103" s="38"/>
      <c r="P103" s="41">
        <f t="shared" si="4"/>
        <v>-45000</v>
      </c>
      <c r="Q103" s="32" t="s">
        <v>117</v>
      </c>
      <c r="R103" s="32"/>
      <c r="S103" s="44"/>
    </row>
    <row r="104" ht="16.5" customHeight="1">
      <c r="A104" s="1"/>
      <c r="B104" s="31" t="s">
        <v>560</v>
      </c>
      <c r="C104" s="32" t="s">
        <v>188</v>
      </c>
      <c r="D104" s="32" t="s">
        <v>563</v>
      </c>
      <c r="E104" s="38">
        <v>25000.0</v>
      </c>
      <c r="F104" s="36" t="s">
        <v>97</v>
      </c>
      <c r="G104" s="32"/>
      <c r="H104" s="32"/>
      <c r="I104" s="38"/>
      <c r="J104" s="38"/>
      <c r="K104" s="38"/>
      <c r="L104" s="41">
        <f t="shared" si="2"/>
        <v>0</v>
      </c>
      <c r="M104" s="41">
        <f>SUMIFS('04 Payments'!$K$7:$K$400,'04 Payments'!$D$7:$D$400,$B104)</f>
        <v>0</v>
      </c>
      <c r="N104" s="41">
        <f t="shared" si="3"/>
        <v>0</v>
      </c>
      <c r="O104" s="38"/>
      <c r="P104" s="41">
        <f t="shared" si="4"/>
        <v>-25000</v>
      </c>
      <c r="Q104" s="32" t="s">
        <v>117</v>
      </c>
      <c r="R104" s="32"/>
      <c r="S104" s="44"/>
    </row>
    <row r="105" ht="16.5" customHeight="1">
      <c r="A105" s="1"/>
      <c r="B105" s="31" t="s">
        <v>571</v>
      </c>
      <c r="C105" s="32" t="s">
        <v>188</v>
      </c>
      <c r="D105" s="32" t="s">
        <v>572</v>
      </c>
      <c r="E105" s="38">
        <v>80000.0</v>
      </c>
      <c r="F105" s="36" t="s">
        <v>97</v>
      </c>
      <c r="G105" s="32"/>
      <c r="H105" s="32"/>
      <c r="I105" s="38"/>
      <c r="J105" s="38"/>
      <c r="K105" s="38"/>
      <c r="L105" s="41">
        <f t="shared" si="2"/>
        <v>0</v>
      </c>
      <c r="M105" s="41">
        <f>SUMIFS('04 Payments'!$K$7:$K$400,'04 Payments'!$D$7:$D$400,$B105)</f>
        <v>0</v>
      </c>
      <c r="N105" s="41">
        <f t="shared" si="3"/>
        <v>0</v>
      </c>
      <c r="O105" s="38"/>
      <c r="P105" s="41">
        <f t="shared" si="4"/>
        <v>-80000</v>
      </c>
      <c r="Q105" s="32" t="s">
        <v>117</v>
      </c>
      <c r="R105" s="32"/>
      <c r="S105" s="44"/>
    </row>
    <row r="106" ht="16.5" customHeight="1">
      <c r="A106" s="1"/>
      <c r="B106" s="31" t="s">
        <v>579</v>
      </c>
      <c r="C106" s="32" t="s">
        <v>188</v>
      </c>
      <c r="D106" s="32" t="s">
        <v>580</v>
      </c>
      <c r="E106" s="38">
        <v>12000.0</v>
      </c>
      <c r="F106" s="36" t="s">
        <v>97</v>
      </c>
      <c r="G106" s="32"/>
      <c r="H106" s="32"/>
      <c r="I106" s="38"/>
      <c r="J106" s="38"/>
      <c r="K106" s="38"/>
      <c r="L106" s="41">
        <f t="shared" si="2"/>
        <v>0</v>
      </c>
      <c r="M106" s="41">
        <f>SUMIFS('04 Payments'!$K$7:$K$400,'04 Payments'!$D$7:$D$400,$B106)</f>
        <v>0</v>
      </c>
      <c r="N106" s="41">
        <f t="shared" si="3"/>
        <v>0</v>
      </c>
      <c r="O106" s="38"/>
      <c r="P106" s="41">
        <f t="shared" si="4"/>
        <v>-12000</v>
      </c>
      <c r="Q106" s="32" t="s">
        <v>117</v>
      </c>
      <c r="R106" s="32"/>
      <c r="S106" s="44"/>
    </row>
    <row r="107" ht="16.5" customHeight="1">
      <c r="A107" s="1"/>
      <c r="B107" s="31" t="s">
        <v>587</v>
      </c>
      <c r="C107" s="32" t="s">
        <v>188</v>
      </c>
      <c r="D107" s="32" t="s">
        <v>588</v>
      </c>
      <c r="E107" s="38">
        <v>8000.0</v>
      </c>
      <c r="F107" s="36" t="s">
        <v>97</v>
      </c>
      <c r="G107" s="32"/>
      <c r="H107" s="32"/>
      <c r="I107" s="38"/>
      <c r="J107" s="38"/>
      <c r="K107" s="38"/>
      <c r="L107" s="41">
        <f t="shared" si="2"/>
        <v>0</v>
      </c>
      <c r="M107" s="41">
        <f>SUMIFS('04 Payments'!$K$7:$K$400,'04 Payments'!$D$7:$D$400,$B107)</f>
        <v>0</v>
      </c>
      <c r="N107" s="41">
        <f t="shared" si="3"/>
        <v>0</v>
      </c>
      <c r="O107" s="38"/>
      <c r="P107" s="41">
        <f t="shared" si="4"/>
        <v>-8000</v>
      </c>
      <c r="Q107" s="32" t="s">
        <v>117</v>
      </c>
      <c r="R107" s="32"/>
      <c r="S107" s="44"/>
    </row>
    <row r="108" ht="16.5" customHeight="1">
      <c r="A108" s="1"/>
      <c r="B108" s="31" t="s">
        <v>595</v>
      </c>
      <c r="C108" s="32" t="s">
        <v>188</v>
      </c>
      <c r="D108" s="32" t="s">
        <v>597</v>
      </c>
      <c r="E108" s="38">
        <v>10000.0</v>
      </c>
      <c r="F108" s="36" t="s">
        <v>97</v>
      </c>
      <c r="G108" s="32"/>
      <c r="H108" s="32"/>
      <c r="I108" s="38"/>
      <c r="J108" s="38"/>
      <c r="K108" s="38"/>
      <c r="L108" s="41">
        <f t="shared" si="2"/>
        <v>0</v>
      </c>
      <c r="M108" s="41">
        <f>SUMIFS('04 Payments'!$K$7:$K$400,'04 Payments'!$D$7:$D$400,$B108)</f>
        <v>0</v>
      </c>
      <c r="N108" s="41">
        <f t="shared" si="3"/>
        <v>0</v>
      </c>
      <c r="O108" s="38"/>
      <c r="P108" s="41">
        <f t="shared" si="4"/>
        <v>-10000</v>
      </c>
      <c r="Q108" s="32" t="s">
        <v>117</v>
      </c>
      <c r="R108" s="32"/>
      <c r="S108" s="44"/>
    </row>
    <row r="109" ht="16.5" customHeight="1">
      <c r="A109" s="1"/>
      <c r="B109" s="31" t="s">
        <v>605</v>
      </c>
      <c r="C109" s="32" t="s">
        <v>188</v>
      </c>
      <c r="D109" s="32" t="s">
        <v>606</v>
      </c>
      <c r="E109" s="38">
        <v>15000.0</v>
      </c>
      <c r="F109" s="36" t="s">
        <v>97</v>
      </c>
      <c r="G109" s="32"/>
      <c r="H109" s="32"/>
      <c r="I109" s="38"/>
      <c r="J109" s="38"/>
      <c r="K109" s="38"/>
      <c r="L109" s="41">
        <f t="shared" si="2"/>
        <v>0</v>
      </c>
      <c r="M109" s="41">
        <f>SUMIFS('04 Payments'!$K$7:$K$400,'04 Payments'!$D$7:$D$400,$B109)</f>
        <v>0</v>
      </c>
      <c r="N109" s="41">
        <f t="shared" si="3"/>
        <v>0</v>
      </c>
      <c r="O109" s="38"/>
      <c r="P109" s="41">
        <f t="shared" si="4"/>
        <v>-15000</v>
      </c>
      <c r="Q109" s="32" t="s">
        <v>117</v>
      </c>
      <c r="R109" s="32"/>
      <c r="S109" s="44"/>
    </row>
    <row r="110" ht="16.5" customHeight="1">
      <c r="A110" s="1"/>
      <c r="B110" s="31" t="s">
        <v>607</v>
      </c>
      <c r="C110" s="32" t="s">
        <v>188</v>
      </c>
      <c r="D110" s="32" t="s">
        <v>608</v>
      </c>
      <c r="E110" s="38">
        <v>12000.0</v>
      </c>
      <c r="F110" s="36" t="s">
        <v>97</v>
      </c>
      <c r="G110" s="32"/>
      <c r="H110" s="32"/>
      <c r="I110" s="38"/>
      <c r="J110" s="38"/>
      <c r="K110" s="38"/>
      <c r="L110" s="41">
        <f t="shared" si="2"/>
        <v>0</v>
      </c>
      <c r="M110" s="41">
        <f>SUMIFS('04 Payments'!$K$7:$K$400,'04 Payments'!$D$7:$D$400,$B110)</f>
        <v>0</v>
      </c>
      <c r="N110" s="41">
        <f t="shared" si="3"/>
        <v>0</v>
      </c>
      <c r="O110" s="38"/>
      <c r="P110" s="41">
        <f t="shared" si="4"/>
        <v>-12000</v>
      </c>
      <c r="Q110" s="32" t="s">
        <v>117</v>
      </c>
      <c r="R110" s="32"/>
      <c r="S110" s="44"/>
    </row>
    <row r="111" ht="16.5" customHeight="1">
      <c r="A111" s="1"/>
      <c r="B111" s="31" t="s">
        <v>609</v>
      </c>
      <c r="C111" s="32" t="s">
        <v>188</v>
      </c>
      <c r="D111" s="32" t="s">
        <v>610</v>
      </c>
      <c r="E111" s="38">
        <v>35000.0</v>
      </c>
      <c r="F111" s="36" t="s">
        <v>97</v>
      </c>
      <c r="G111" s="32"/>
      <c r="H111" s="32"/>
      <c r="I111" s="38"/>
      <c r="J111" s="38"/>
      <c r="K111" s="38"/>
      <c r="L111" s="41">
        <f t="shared" si="2"/>
        <v>0</v>
      </c>
      <c r="M111" s="41">
        <f>SUMIFS('04 Payments'!$K$7:$K$400,'04 Payments'!$D$7:$D$400,$B111)</f>
        <v>0</v>
      </c>
      <c r="N111" s="41">
        <f t="shared" si="3"/>
        <v>0</v>
      </c>
      <c r="O111" s="38"/>
      <c r="P111" s="41">
        <f t="shared" si="4"/>
        <v>-35000</v>
      </c>
      <c r="Q111" s="32" t="s">
        <v>117</v>
      </c>
      <c r="R111" s="32"/>
      <c r="S111" s="44"/>
    </row>
    <row r="112" ht="16.5" customHeight="1">
      <c r="A112" s="1"/>
      <c r="B112" s="31" t="s">
        <v>612</v>
      </c>
      <c r="C112" s="32" t="s">
        <v>188</v>
      </c>
      <c r="D112" s="32" t="s">
        <v>613</v>
      </c>
      <c r="E112" s="38">
        <v>0.0</v>
      </c>
      <c r="F112" s="36" t="s">
        <v>97</v>
      </c>
      <c r="G112" s="32"/>
      <c r="H112" s="32"/>
      <c r="I112" s="38"/>
      <c r="J112" s="38"/>
      <c r="K112" s="38"/>
      <c r="L112" s="41">
        <f t="shared" si="2"/>
        <v>0</v>
      </c>
      <c r="M112" s="41">
        <f>SUMIFS('04 Payments'!$K$7:$K$400,'04 Payments'!$D$7:$D$400,$B112)</f>
        <v>0</v>
      </c>
      <c r="N112" s="41">
        <f t="shared" si="3"/>
        <v>0</v>
      </c>
      <c r="O112" s="38"/>
      <c r="P112" s="41">
        <f t="shared" si="4"/>
        <v>0</v>
      </c>
      <c r="Q112" s="32" t="s">
        <v>117</v>
      </c>
      <c r="R112" s="32"/>
      <c r="S112" s="44"/>
    </row>
    <row r="113" ht="16.5" customHeight="1">
      <c r="A113" s="1"/>
      <c r="B113" s="31" t="s">
        <v>614</v>
      </c>
      <c r="C113" s="32" t="s">
        <v>188</v>
      </c>
      <c r="D113" s="32" t="s">
        <v>615</v>
      </c>
      <c r="E113" s="38">
        <v>40000.0</v>
      </c>
      <c r="F113" s="36" t="s">
        <v>97</v>
      </c>
      <c r="G113" s="32"/>
      <c r="H113" s="32"/>
      <c r="I113" s="38"/>
      <c r="J113" s="38"/>
      <c r="K113" s="38"/>
      <c r="L113" s="41">
        <f t="shared" si="2"/>
        <v>0</v>
      </c>
      <c r="M113" s="41">
        <f>SUMIFS('04 Payments'!$K$7:$K$400,'04 Payments'!$D$7:$D$400,$B113)</f>
        <v>0</v>
      </c>
      <c r="N113" s="41">
        <f t="shared" si="3"/>
        <v>0</v>
      </c>
      <c r="O113" s="38"/>
      <c r="P113" s="41">
        <f t="shared" si="4"/>
        <v>-40000</v>
      </c>
      <c r="Q113" s="32" t="s">
        <v>117</v>
      </c>
      <c r="R113" s="32"/>
      <c r="S113" s="44"/>
    </row>
    <row r="114" ht="16.5" customHeight="1">
      <c r="A114" s="1"/>
      <c r="B114" s="31" t="s">
        <v>616</v>
      </c>
      <c r="C114" s="32" t="s">
        <v>188</v>
      </c>
      <c r="D114" s="32" t="s">
        <v>617</v>
      </c>
      <c r="E114" s="38">
        <v>25000.0</v>
      </c>
      <c r="F114" s="36" t="s">
        <v>97</v>
      </c>
      <c r="G114" s="32"/>
      <c r="H114" s="32"/>
      <c r="I114" s="38"/>
      <c r="J114" s="38"/>
      <c r="K114" s="38"/>
      <c r="L114" s="41">
        <f t="shared" si="2"/>
        <v>0</v>
      </c>
      <c r="M114" s="41">
        <f>SUMIFS('04 Payments'!$K$7:$K$400,'04 Payments'!$D$7:$D$400,$B114)</f>
        <v>0</v>
      </c>
      <c r="N114" s="41">
        <f t="shared" si="3"/>
        <v>0</v>
      </c>
      <c r="O114" s="38"/>
      <c r="P114" s="41">
        <f t="shared" si="4"/>
        <v>-25000</v>
      </c>
      <c r="Q114" s="32" t="s">
        <v>117</v>
      </c>
      <c r="R114" s="32"/>
      <c r="S114" s="44"/>
    </row>
    <row r="115" ht="16.5" customHeight="1">
      <c r="A115" s="1"/>
      <c r="B115" s="31" t="s">
        <v>618</v>
      </c>
      <c r="C115" s="32" t="s">
        <v>188</v>
      </c>
      <c r="D115" s="32" t="s">
        <v>619</v>
      </c>
      <c r="E115" s="38">
        <v>15000.0</v>
      </c>
      <c r="F115" s="36" t="s">
        <v>97</v>
      </c>
      <c r="G115" s="32"/>
      <c r="H115" s="32"/>
      <c r="I115" s="38"/>
      <c r="J115" s="38"/>
      <c r="K115" s="38"/>
      <c r="L115" s="41">
        <f t="shared" si="2"/>
        <v>0</v>
      </c>
      <c r="M115" s="41">
        <f>SUMIFS('04 Payments'!$K$7:$K$400,'04 Payments'!$D$7:$D$400,$B115)</f>
        <v>0</v>
      </c>
      <c r="N115" s="41">
        <f t="shared" si="3"/>
        <v>0</v>
      </c>
      <c r="O115" s="38"/>
      <c r="P115" s="41">
        <f t="shared" si="4"/>
        <v>-15000</v>
      </c>
      <c r="Q115" s="32" t="s">
        <v>117</v>
      </c>
      <c r="R115" s="32"/>
      <c r="S115" s="44"/>
    </row>
    <row r="116" ht="16.5" customHeight="1">
      <c r="A116" s="1"/>
      <c r="B116" s="31" t="s">
        <v>621</v>
      </c>
      <c r="C116" s="32" t="s">
        <v>188</v>
      </c>
      <c r="D116" s="32" t="s">
        <v>623</v>
      </c>
      <c r="E116" s="38">
        <v>70000.0</v>
      </c>
      <c r="F116" s="36" t="s">
        <v>97</v>
      </c>
      <c r="G116" s="32"/>
      <c r="H116" s="32"/>
      <c r="I116" s="38"/>
      <c r="J116" s="38"/>
      <c r="K116" s="38"/>
      <c r="L116" s="41">
        <f t="shared" si="2"/>
        <v>0</v>
      </c>
      <c r="M116" s="41">
        <f>SUMIFS('04 Payments'!$K$7:$K$400,'04 Payments'!$D$7:$D$400,$B116)</f>
        <v>0</v>
      </c>
      <c r="N116" s="41">
        <f t="shared" si="3"/>
        <v>0</v>
      </c>
      <c r="O116" s="38"/>
      <c r="P116" s="41">
        <f t="shared" si="4"/>
        <v>-70000</v>
      </c>
      <c r="Q116" s="32" t="s">
        <v>117</v>
      </c>
      <c r="R116" s="32"/>
      <c r="S116" s="44"/>
    </row>
    <row r="117" ht="16.5" customHeight="1">
      <c r="A117" s="1"/>
      <c r="B117" s="31" t="s">
        <v>630</v>
      </c>
      <c r="C117" s="32" t="s">
        <v>188</v>
      </c>
      <c r="D117" s="32" t="s">
        <v>631</v>
      </c>
      <c r="E117" s="38">
        <v>6000.0</v>
      </c>
      <c r="F117" s="32" t="s">
        <v>128</v>
      </c>
      <c r="G117" s="36" t="s">
        <v>258</v>
      </c>
      <c r="H117" s="32"/>
      <c r="I117" s="38"/>
      <c r="J117" s="38"/>
      <c r="K117" s="38"/>
      <c r="L117" s="41">
        <f t="shared" si="2"/>
        <v>6000</v>
      </c>
      <c r="M117" s="41">
        <f>SUMIFS('04 Payments'!$K$7:$K$400,'04 Payments'!$D$7:$D$400,$B117)</f>
        <v>0</v>
      </c>
      <c r="N117" s="41">
        <f t="shared" si="3"/>
        <v>6000</v>
      </c>
      <c r="O117" s="38"/>
      <c r="P117" s="41">
        <f t="shared" si="4"/>
        <v>0</v>
      </c>
      <c r="Q117" s="32" t="s">
        <v>117</v>
      </c>
      <c r="R117" s="32"/>
      <c r="S117" s="44"/>
    </row>
    <row r="118" ht="16.5" customHeight="1">
      <c r="A118" s="1"/>
      <c r="B118" s="31" t="s">
        <v>638</v>
      </c>
      <c r="C118" s="32" t="s">
        <v>188</v>
      </c>
      <c r="D118" s="32" t="s">
        <v>639</v>
      </c>
      <c r="E118" s="38">
        <v>8000.0</v>
      </c>
      <c r="F118" s="36" t="s">
        <v>97</v>
      </c>
      <c r="G118" s="32"/>
      <c r="H118" s="32"/>
      <c r="I118" s="38"/>
      <c r="J118" s="38"/>
      <c r="K118" s="38"/>
      <c r="L118" s="41">
        <f t="shared" si="2"/>
        <v>0</v>
      </c>
      <c r="M118" s="41">
        <f>SUMIFS('04 Payments'!$K$7:$K$400,'04 Payments'!$D$7:$D$400,$B118)</f>
        <v>0</v>
      </c>
      <c r="N118" s="41">
        <f t="shared" si="3"/>
        <v>0</v>
      </c>
      <c r="O118" s="38"/>
      <c r="P118" s="41">
        <f t="shared" si="4"/>
        <v>-8000</v>
      </c>
      <c r="Q118" s="32" t="s">
        <v>117</v>
      </c>
      <c r="R118" s="32"/>
      <c r="S118" s="44"/>
    </row>
    <row r="119" ht="16.5" customHeight="1">
      <c r="A119" s="1"/>
      <c r="B119" s="31" t="s">
        <v>646</v>
      </c>
      <c r="C119" s="32" t="s">
        <v>210</v>
      </c>
      <c r="D119" s="32" t="s">
        <v>647</v>
      </c>
      <c r="E119" s="38">
        <v>55000.0</v>
      </c>
      <c r="F119" s="36" t="s">
        <v>97</v>
      </c>
      <c r="G119" s="32"/>
      <c r="H119" s="32"/>
      <c r="I119" s="38"/>
      <c r="J119" s="38"/>
      <c r="K119" s="38"/>
      <c r="L119" s="41">
        <f t="shared" si="2"/>
        <v>0</v>
      </c>
      <c r="M119" s="41">
        <f>SUMIFS('04 Payments'!$K$7:$K$400,'04 Payments'!$D$7:$D$400,$B119)</f>
        <v>0</v>
      </c>
      <c r="N119" s="41">
        <f t="shared" si="3"/>
        <v>0</v>
      </c>
      <c r="O119" s="38"/>
      <c r="P119" s="41">
        <f t="shared" si="4"/>
        <v>-55000</v>
      </c>
      <c r="Q119" s="32" t="s">
        <v>117</v>
      </c>
      <c r="R119" s="32"/>
      <c r="S119" s="44"/>
    </row>
    <row r="120" ht="16.5" customHeight="1">
      <c r="A120" s="1"/>
      <c r="B120" s="31" t="s">
        <v>654</v>
      </c>
      <c r="C120" s="32" t="s">
        <v>210</v>
      </c>
      <c r="D120" s="32" t="s">
        <v>655</v>
      </c>
      <c r="E120" s="38">
        <v>15000.0</v>
      </c>
      <c r="F120" s="36" t="s">
        <v>97</v>
      </c>
      <c r="G120" s="32"/>
      <c r="H120" s="32"/>
      <c r="I120" s="38"/>
      <c r="J120" s="38"/>
      <c r="K120" s="38"/>
      <c r="L120" s="41">
        <f t="shared" si="2"/>
        <v>0</v>
      </c>
      <c r="M120" s="41">
        <f>SUMIFS('04 Payments'!$K$7:$K$400,'04 Payments'!$D$7:$D$400,$B120)</f>
        <v>0</v>
      </c>
      <c r="N120" s="41">
        <f t="shared" si="3"/>
        <v>0</v>
      </c>
      <c r="O120" s="38"/>
      <c r="P120" s="41">
        <f t="shared" si="4"/>
        <v>-15000</v>
      </c>
      <c r="Q120" s="32" t="s">
        <v>117</v>
      </c>
      <c r="R120" s="32"/>
      <c r="S120" s="44"/>
    </row>
    <row r="121" ht="16.5" customHeight="1">
      <c r="A121" s="1"/>
      <c r="B121" s="31" t="s">
        <v>660</v>
      </c>
      <c r="C121" s="32" t="s">
        <v>210</v>
      </c>
      <c r="D121" s="32" t="s">
        <v>661</v>
      </c>
      <c r="E121" s="38">
        <v>45000.0</v>
      </c>
      <c r="F121" s="36" t="s">
        <v>97</v>
      </c>
      <c r="G121" s="32"/>
      <c r="H121" s="32"/>
      <c r="I121" s="38"/>
      <c r="J121" s="38"/>
      <c r="K121" s="38"/>
      <c r="L121" s="41">
        <f t="shared" si="2"/>
        <v>0</v>
      </c>
      <c r="M121" s="41">
        <f>SUMIFS('04 Payments'!$K$7:$K$400,'04 Payments'!$D$7:$D$400,$B121)</f>
        <v>0</v>
      </c>
      <c r="N121" s="41">
        <f t="shared" si="3"/>
        <v>0</v>
      </c>
      <c r="O121" s="38"/>
      <c r="P121" s="41">
        <f t="shared" si="4"/>
        <v>-45000</v>
      </c>
      <c r="Q121" s="32" t="s">
        <v>117</v>
      </c>
      <c r="R121" s="32"/>
      <c r="S121" s="44"/>
    </row>
    <row r="122" ht="16.5" customHeight="1">
      <c r="A122" s="1"/>
      <c r="B122" s="31" t="s">
        <v>664</v>
      </c>
      <c r="C122" s="32" t="s">
        <v>210</v>
      </c>
      <c r="D122" s="32" t="s">
        <v>665</v>
      </c>
      <c r="E122" s="38">
        <v>40000.0</v>
      </c>
      <c r="F122" s="36" t="s">
        <v>97</v>
      </c>
      <c r="G122" s="32"/>
      <c r="H122" s="32"/>
      <c r="I122" s="38"/>
      <c r="J122" s="38"/>
      <c r="K122" s="38"/>
      <c r="L122" s="41">
        <f t="shared" si="2"/>
        <v>0</v>
      </c>
      <c r="M122" s="41">
        <f>SUMIFS('04 Payments'!$K$7:$K$400,'04 Payments'!$D$7:$D$400,$B122)</f>
        <v>0</v>
      </c>
      <c r="N122" s="41">
        <f t="shared" si="3"/>
        <v>0</v>
      </c>
      <c r="O122" s="38"/>
      <c r="P122" s="41">
        <f t="shared" si="4"/>
        <v>-40000</v>
      </c>
      <c r="Q122" s="32" t="s">
        <v>117</v>
      </c>
      <c r="R122" s="32"/>
      <c r="S122" s="44"/>
    </row>
    <row r="123" ht="16.5" customHeight="1">
      <c r="A123" s="1"/>
      <c r="B123" s="31" t="s">
        <v>666</v>
      </c>
      <c r="C123" s="32" t="s">
        <v>210</v>
      </c>
      <c r="D123" s="32" t="s">
        <v>667</v>
      </c>
      <c r="E123" s="38">
        <v>15000.0</v>
      </c>
      <c r="F123" s="36" t="s">
        <v>97</v>
      </c>
      <c r="G123" s="32"/>
      <c r="H123" s="32"/>
      <c r="I123" s="38"/>
      <c r="J123" s="38"/>
      <c r="K123" s="38"/>
      <c r="L123" s="41">
        <f t="shared" si="2"/>
        <v>0</v>
      </c>
      <c r="M123" s="41">
        <f>SUMIFS('04 Payments'!$K$7:$K$400,'04 Payments'!$D$7:$D$400,$B123)</f>
        <v>0</v>
      </c>
      <c r="N123" s="41">
        <f t="shared" si="3"/>
        <v>0</v>
      </c>
      <c r="O123" s="38"/>
      <c r="P123" s="41">
        <f t="shared" si="4"/>
        <v>-15000</v>
      </c>
      <c r="Q123" s="32" t="s">
        <v>117</v>
      </c>
      <c r="R123" s="32"/>
      <c r="S123" s="44"/>
    </row>
    <row r="124" ht="16.5" customHeight="1">
      <c r="A124" s="1"/>
      <c r="B124" s="31" t="s">
        <v>668</v>
      </c>
      <c r="C124" s="32" t="s">
        <v>210</v>
      </c>
      <c r="D124" s="32" t="s">
        <v>669</v>
      </c>
      <c r="E124" s="38">
        <v>10000.0</v>
      </c>
      <c r="F124" s="36" t="s">
        <v>97</v>
      </c>
      <c r="G124" s="32"/>
      <c r="H124" s="32"/>
      <c r="I124" s="38"/>
      <c r="J124" s="38"/>
      <c r="K124" s="38"/>
      <c r="L124" s="41">
        <f t="shared" si="2"/>
        <v>0</v>
      </c>
      <c r="M124" s="41">
        <f>SUMIFS('04 Payments'!$K$7:$K$400,'04 Payments'!$D$7:$D$400,$B124)</f>
        <v>0</v>
      </c>
      <c r="N124" s="41">
        <f t="shared" si="3"/>
        <v>0</v>
      </c>
      <c r="O124" s="38"/>
      <c r="P124" s="41">
        <f t="shared" si="4"/>
        <v>-10000</v>
      </c>
      <c r="Q124" s="32" t="s">
        <v>117</v>
      </c>
      <c r="R124" s="32"/>
      <c r="S124" s="44"/>
    </row>
    <row r="125" ht="16.5" customHeight="1">
      <c r="A125" s="1"/>
      <c r="B125" s="31" t="s">
        <v>670</v>
      </c>
      <c r="C125" s="32" t="s">
        <v>213</v>
      </c>
      <c r="D125" s="32" t="s">
        <v>672</v>
      </c>
      <c r="E125" s="38">
        <v>70000.0</v>
      </c>
      <c r="F125" s="32" t="s">
        <v>128</v>
      </c>
      <c r="G125" s="36" t="s">
        <v>129</v>
      </c>
      <c r="H125" s="32"/>
      <c r="I125" s="38"/>
      <c r="J125" s="38"/>
      <c r="K125" s="38"/>
      <c r="L125" s="41">
        <f t="shared" si="2"/>
        <v>70000</v>
      </c>
      <c r="M125" s="41">
        <f>SUMIFS('04 Payments'!$K$7:$K$400,'04 Payments'!$D$7:$D$400,$B125)</f>
        <v>0</v>
      </c>
      <c r="N125" s="41">
        <f t="shared" si="3"/>
        <v>70000</v>
      </c>
      <c r="O125" s="38"/>
      <c r="P125" s="41">
        <f t="shared" si="4"/>
        <v>0</v>
      </c>
      <c r="Q125" s="32" t="s">
        <v>117</v>
      </c>
      <c r="R125" s="32"/>
      <c r="S125" s="44"/>
    </row>
    <row r="126" ht="16.5" customHeight="1">
      <c r="A126" s="1"/>
      <c r="B126" s="31" t="s">
        <v>673</v>
      </c>
      <c r="C126" s="32" t="s">
        <v>213</v>
      </c>
      <c r="D126" s="32" t="s">
        <v>674</v>
      </c>
      <c r="E126" s="38">
        <v>35000.0</v>
      </c>
      <c r="F126" s="32" t="s">
        <v>128</v>
      </c>
      <c r="G126" s="36" t="s">
        <v>129</v>
      </c>
      <c r="H126" s="32"/>
      <c r="I126" s="38"/>
      <c r="J126" s="38"/>
      <c r="K126" s="38"/>
      <c r="L126" s="41">
        <f t="shared" si="2"/>
        <v>35000</v>
      </c>
      <c r="M126" s="41">
        <f>SUMIFS('04 Payments'!$K$7:$K$400,'04 Payments'!$D$7:$D$400,$B126)</f>
        <v>0</v>
      </c>
      <c r="N126" s="41">
        <f t="shared" si="3"/>
        <v>35000</v>
      </c>
      <c r="O126" s="38"/>
      <c r="P126" s="41">
        <f t="shared" si="4"/>
        <v>0</v>
      </c>
      <c r="Q126" s="32" t="s">
        <v>117</v>
      </c>
      <c r="R126" s="32"/>
      <c r="S126" s="44"/>
    </row>
    <row r="127" ht="16.5" customHeight="1">
      <c r="A127" s="1"/>
      <c r="B127" s="31" t="s">
        <v>675</v>
      </c>
      <c r="C127" s="32" t="s">
        <v>213</v>
      </c>
      <c r="D127" s="32" t="s">
        <v>676</v>
      </c>
      <c r="E127" s="34">
        <v>10000.0</v>
      </c>
      <c r="F127" s="32" t="s">
        <v>128</v>
      </c>
      <c r="G127" s="36" t="s">
        <v>129</v>
      </c>
      <c r="H127" s="32"/>
      <c r="I127" s="38"/>
      <c r="J127" s="38"/>
      <c r="K127" s="38"/>
      <c r="L127" s="41">
        <f t="shared" si="2"/>
        <v>10000</v>
      </c>
      <c r="M127" s="41">
        <f>SUMIFS('04 Payments'!$K$7:$K$400,'04 Payments'!$D$7:$D$400,$B127)</f>
        <v>0</v>
      </c>
      <c r="N127" s="41">
        <f t="shared" si="3"/>
        <v>10000</v>
      </c>
      <c r="O127" s="38"/>
      <c r="P127" s="41">
        <f t="shared" si="4"/>
        <v>0</v>
      </c>
      <c r="Q127" s="32" t="s">
        <v>117</v>
      </c>
      <c r="R127" s="32"/>
      <c r="S127" s="44"/>
    </row>
    <row r="128" ht="16.5" customHeight="1">
      <c r="A128" s="1"/>
      <c r="B128" s="31" t="s">
        <v>677</v>
      </c>
      <c r="C128" s="32" t="s">
        <v>213</v>
      </c>
      <c r="D128" s="32" t="s">
        <v>678</v>
      </c>
      <c r="E128" s="38">
        <v>25000.0</v>
      </c>
      <c r="F128" s="32" t="s">
        <v>128</v>
      </c>
      <c r="G128" s="36" t="s">
        <v>129</v>
      </c>
      <c r="H128" s="32"/>
      <c r="I128" s="38"/>
      <c r="J128" s="38"/>
      <c r="K128" s="38"/>
      <c r="L128" s="41">
        <f t="shared" si="2"/>
        <v>25000</v>
      </c>
      <c r="M128" s="41">
        <f>SUMIFS('04 Payments'!$K$7:$K$400,'04 Payments'!$D$7:$D$400,$B128)</f>
        <v>0</v>
      </c>
      <c r="N128" s="41">
        <f t="shared" si="3"/>
        <v>25000</v>
      </c>
      <c r="O128" s="38"/>
      <c r="P128" s="41">
        <f t="shared" si="4"/>
        <v>0</v>
      </c>
      <c r="Q128" s="32" t="s">
        <v>117</v>
      </c>
      <c r="R128" s="32"/>
      <c r="S128" s="44"/>
    </row>
    <row r="129" ht="16.5" customHeight="1">
      <c r="A129" s="1"/>
      <c r="B129" s="31" t="s">
        <v>679</v>
      </c>
      <c r="C129" s="32" t="s">
        <v>213</v>
      </c>
      <c r="D129" s="32" t="s">
        <v>680</v>
      </c>
      <c r="E129" s="38">
        <v>45000.0</v>
      </c>
      <c r="F129" s="36" t="s">
        <v>97</v>
      </c>
      <c r="G129" s="32"/>
      <c r="H129" s="32"/>
      <c r="I129" s="38"/>
      <c r="J129" s="38"/>
      <c r="K129" s="38"/>
      <c r="L129" s="41">
        <f t="shared" si="2"/>
        <v>0</v>
      </c>
      <c r="M129" s="41">
        <f>SUMIFS('04 Payments'!$K$7:$K$400,'04 Payments'!$D$7:$D$400,$B129)</f>
        <v>0</v>
      </c>
      <c r="N129" s="41">
        <f t="shared" si="3"/>
        <v>0</v>
      </c>
      <c r="O129" s="38"/>
      <c r="P129" s="41">
        <f t="shared" si="4"/>
        <v>-45000</v>
      </c>
      <c r="Q129" s="32" t="s">
        <v>117</v>
      </c>
      <c r="R129" s="32"/>
      <c r="S129" s="44"/>
    </row>
    <row r="130" ht="16.5" customHeight="1">
      <c r="A130" s="1"/>
      <c r="B130" s="31" t="s">
        <v>684</v>
      </c>
      <c r="C130" s="32" t="s">
        <v>213</v>
      </c>
      <c r="D130" s="32" t="s">
        <v>329</v>
      </c>
      <c r="E130" s="38">
        <v>70000.0</v>
      </c>
      <c r="F130" s="36" t="s">
        <v>97</v>
      </c>
      <c r="G130" s="32"/>
      <c r="H130" s="32"/>
      <c r="I130" s="38"/>
      <c r="J130" s="38"/>
      <c r="K130" s="38"/>
      <c r="L130" s="41">
        <f t="shared" si="2"/>
        <v>0</v>
      </c>
      <c r="M130" s="41">
        <f>SUMIFS('04 Payments'!$K$7:$K$400,'04 Payments'!$D$7:$D$400,$B130)</f>
        <v>0</v>
      </c>
      <c r="N130" s="41">
        <f t="shared" si="3"/>
        <v>0</v>
      </c>
      <c r="O130" s="38"/>
      <c r="P130" s="41">
        <f t="shared" si="4"/>
        <v>-70000</v>
      </c>
      <c r="Q130" s="32" t="s">
        <v>117</v>
      </c>
      <c r="R130" s="32"/>
      <c r="S130" s="44"/>
    </row>
    <row r="131" ht="16.5" customHeight="1">
      <c r="A131" s="1"/>
      <c r="B131" s="31" t="s">
        <v>692</v>
      </c>
      <c r="C131" s="32" t="s">
        <v>213</v>
      </c>
      <c r="D131" s="32" t="s">
        <v>693</v>
      </c>
      <c r="E131" s="34">
        <v>100000.0</v>
      </c>
      <c r="F131" s="36" t="s">
        <v>128</v>
      </c>
      <c r="G131" s="36" t="s">
        <v>129</v>
      </c>
      <c r="H131" s="32"/>
      <c r="I131" s="38"/>
      <c r="J131" s="38"/>
      <c r="K131" s="38"/>
      <c r="L131" s="41">
        <f t="shared" si="2"/>
        <v>100000</v>
      </c>
      <c r="M131" s="41">
        <f>SUMIFS('04 Payments'!$K$7:$K$400,'04 Payments'!$D$7:$D$400,$B131)</f>
        <v>0</v>
      </c>
      <c r="N131" s="41">
        <f t="shared" si="3"/>
        <v>100000</v>
      </c>
      <c r="O131" s="38"/>
      <c r="P131" s="41">
        <f t="shared" si="4"/>
        <v>0</v>
      </c>
      <c r="Q131" s="32" t="s">
        <v>117</v>
      </c>
      <c r="R131" s="32"/>
      <c r="S131" s="44"/>
    </row>
    <row r="132" ht="16.5" customHeight="1">
      <c r="A132" s="1"/>
      <c r="B132" s="31" t="s">
        <v>700</v>
      </c>
      <c r="C132" s="32" t="s">
        <v>213</v>
      </c>
      <c r="D132" s="32" t="s">
        <v>701</v>
      </c>
      <c r="E132" s="38">
        <v>0.0</v>
      </c>
      <c r="F132" s="36" t="s">
        <v>97</v>
      </c>
      <c r="G132" s="32"/>
      <c r="H132" s="32"/>
      <c r="I132" s="38"/>
      <c r="J132" s="38"/>
      <c r="K132" s="38"/>
      <c r="L132" s="41">
        <f t="shared" si="2"/>
        <v>0</v>
      </c>
      <c r="M132" s="41">
        <f>SUMIFS('04 Payments'!$K$7:$K$400,'04 Payments'!$D$7:$D$400,$B132)</f>
        <v>0</v>
      </c>
      <c r="N132" s="41">
        <f t="shared" si="3"/>
        <v>0</v>
      </c>
      <c r="O132" s="38"/>
      <c r="P132" s="41">
        <f t="shared" si="4"/>
        <v>0</v>
      </c>
      <c r="Q132" s="32" t="s">
        <v>117</v>
      </c>
      <c r="R132" s="32"/>
      <c r="S132" s="44"/>
    </row>
    <row r="133" ht="16.5" customHeight="1">
      <c r="A133" s="1"/>
      <c r="B133" s="31" t="s">
        <v>710</v>
      </c>
      <c r="C133" s="32" t="s">
        <v>213</v>
      </c>
      <c r="D133" s="32" t="s">
        <v>711</v>
      </c>
      <c r="E133" s="38">
        <v>20000.0</v>
      </c>
      <c r="F133" s="36" t="s">
        <v>97</v>
      </c>
      <c r="G133" s="32"/>
      <c r="H133" s="32"/>
      <c r="I133" s="38"/>
      <c r="J133" s="38"/>
      <c r="K133" s="38"/>
      <c r="L133" s="41">
        <f t="shared" si="2"/>
        <v>0</v>
      </c>
      <c r="M133" s="41">
        <f>SUMIFS('04 Payments'!$K$7:$K$400,'04 Payments'!$D$7:$D$400,$B133)</f>
        <v>0</v>
      </c>
      <c r="N133" s="41">
        <f t="shared" si="3"/>
        <v>0</v>
      </c>
      <c r="O133" s="38"/>
      <c r="P133" s="41">
        <f t="shared" si="4"/>
        <v>-20000</v>
      </c>
      <c r="Q133" s="32" t="s">
        <v>117</v>
      </c>
      <c r="R133" s="32"/>
      <c r="S133" s="44"/>
    </row>
    <row r="134" ht="16.5" customHeight="1">
      <c r="A134" s="1"/>
      <c r="B134" s="31" t="s">
        <v>720</v>
      </c>
      <c r="C134" s="32" t="s">
        <v>213</v>
      </c>
      <c r="D134" s="32" t="s">
        <v>721</v>
      </c>
      <c r="E134" s="38">
        <v>0.0</v>
      </c>
      <c r="F134" s="36" t="s">
        <v>97</v>
      </c>
      <c r="G134" s="32"/>
      <c r="H134" s="32"/>
      <c r="I134" s="38"/>
      <c r="J134" s="38"/>
      <c r="K134" s="38"/>
      <c r="L134" s="41">
        <f t="shared" si="2"/>
        <v>0</v>
      </c>
      <c r="M134" s="41">
        <f>SUMIFS('04 Payments'!$K$7:$K$400,'04 Payments'!$D$7:$D$400,$B134)</f>
        <v>0</v>
      </c>
      <c r="N134" s="41">
        <f t="shared" si="3"/>
        <v>0</v>
      </c>
      <c r="O134" s="38"/>
      <c r="P134" s="41">
        <f t="shared" si="4"/>
        <v>0</v>
      </c>
      <c r="Q134" s="32" t="s">
        <v>117</v>
      </c>
      <c r="R134" s="32"/>
      <c r="S134" s="44"/>
    </row>
    <row r="135" ht="16.5" customHeight="1">
      <c r="A135" s="1"/>
      <c r="B135" s="31" t="s">
        <v>728</v>
      </c>
      <c r="C135" s="32" t="s">
        <v>223</v>
      </c>
      <c r="D135" s="32" t="s">
        <v>729</v>
      </c>
      <c r="E135" s="34">
        <v>25000.0</v>
      </c>
      <c r="F135" s="32" t="s">
        <v>128</v>
      </c>
      <c r="G135" s="36" t="s">
        <v>395</v>
      </c>
      <c r="H135" s="32"/>
      <c r="I135" s="38"/>
      <c r="J135" s="38"/>
      <c r="K135" s="38"/>
      <c r="L135" s="41">
        <f t="shared" si="2"/>
        <v>25000</v>
      </c>
      <c r="M135" s="41">
        <f>SUMIFS('04 Payments'!$K$7:$K$400,'04 Payments'!$D$7:$D$400,$B135)</f>
        <v>0</v>
      </c>
      <c r="N135" s="41">
        <f t="shared" si="3"/>
        <v>25000</v>
      </c>
      <c r="O135" s="38"/>
      <c r="P135" s="41">
        <f t="shared" si="4"/>
        <v>0</v>
      </c>
      <c r="Q135" s="32" t="s">
        <v>117</v>
      </c>
      <c r="R135" s="32"/>
      <c r="S135" s="44"/>
    </row>
    <row r="136" ht="16.5" customHeight="1">
      <c r="A136" s="1"/>
      <c r="B136" s="31" t="s">
        <v>730</v>
      </c>
      <c r="C136" s="32" t="s">
        <v>223</v>
      </c>
      <c r="D136" s="32" t="s">
        <v>731</v>
      </c>
      <c r="E136" s="34">
        <v>10000.0</v>
      </c>
      <c r="F136" s="32" t="s">
        <v>128</v>
      </c>
      <c r="G136" s="36" t="s">
        <v>129</v>
      </c>
      <c r="H136" s="32"/>
      <c r="I136" s="38"/>
      <c r="J136" s="38"/>
      <c r="K136" s="38"/>
      <c r="L136" s="41">
        <f t="shared" si="2"/>
        <v>10000</v>
      </c>
      <c r="M136" s="41">
        <f>SUMIFS('04 Payments'!$K$7:$K$400,'04 Payments'!$D$7:$D$400,$B136)</f>
        <v>0</v>
      </c>
      <c r="N136" s="41">
        <f t="shared" si="3"/>
        <v>10000</v>
      </c>
      <c r="O136" s="38"/>
      <c r="P136" s="41">
        <f t="shared" si="4"/>
        <v>0</v>
      </c>
      <c r="Q136" s="32" t="s">
        <v>117</v>
      </c>
      <c r="R136" s="32"/>
      <c r="S136" s="44"/>
    </row>
    <row r="137" ht="16.5" customHeight="1">
      <c r="A137" s="1"/>
      <c r="B137" s="31" t="s">
        <v>733</v>
      </c>
      <c r="C137" s="32" t="s">
        <v>223</v>
      </c>
      <c r="D137" s="32" t="s">
        <v>734</v>
      </c>
      <c r="E137" s="38">
        <v>30000.0</v>
      </c>
      <c r="F137" s="36" t="s">
        <v>97</v>
      </c>
      <c r="G137" s="32"/>
      <c r="H137" s="32"/>
      <c r="I137" s="38"/>
      <c r="J137" s="38"/>
      <c r="K137" s="38"/>
      <c r="L137" s="41">
        <f t="shared" si="2"/>
        <v>0</v>
      </c>
      <c r="M137" s="41">
        <f>SUMIFS('04 Payments'!$K$7:$K$400,'04 Payments'!$D$7:$D$400,$B137)</f>
        <v>0</v>
      </c>
      <c r="N137" s="41">
        <f t="shared" si="3"/>
        <v>0</v>
      </c>
      <c r="O137" s="38"/>
      <c r="P137" s="41">
        <f t="shared" si="4"/>
        <v>-30000</v>
      </c>
      <c r="Q137" s="32" t="s">
        <v>117</v>
      </c>
      <c r="R137" s="32"/>
      <c r="S137" s="44"/>
    </row>
    <row r="138" ht="16.5" customHeight="1">
      <c r="A138" s="1"/>
      <c r="B138" s="31" t="s">
        <v>735</v>
      </c>
      <c r="C138" s="32" t="s">
        <v>223</v>
      </c>
      <c r="D138" s="32" t="s">
        <v>736</v>
      </c>
      <c r="E138" s="38">
        <v>30000.0</v>
      </c>
      <c r="F138" s="36" t="s">
        <v>97</v>
      </c>
      <c r="G138" s="32"/>
      <c r="H138" s="32"/>
      <c r="I138" s="38"/>
      <c r="J138" s="38"/>
      <c r="K138" s="38"/>
      <c r="L138" s="41">
        <f t="shared" si="2"/>
        <v>0</v>
      </c>
      <c r="M138" s="41">
        <f>SUMIFS('04 Payments'!$K$7:$K$400,'04 Payments'!$D$7:$D$400,$B138)</f>
        <v>0</v>
      </c>
      <c r="N138" s="41">
        <f t="shared" si="3"/>
        <v>0</v>
      </c>
      <c r="O138" s="38"/>
      <c r="P138" s="41">
        <f t="shared" si="4"/>
        <v>-30000</v>
      </c>
      <c r="Q138" s="32" t="s">
        <v>117</v>
      </c>
      <c r="R138" s="32"/>
      <c r="S138" s="44"/>
    </row>
    <row r="139" ht="16.5" customHeight="1">
      <c r="A139" s="1"/>
      <c r="B139" s="31" t="s">
        <v>737</v>
      </c>
      <c r="C139" s="32" t="s">
        <v>223</v>
      </c>
      <c r="D139" s="32" t="s">
        <v>738</v>
      </c>
      <c r="E139" s="38">
        <v>60000.0</v>
      </c>
      <c r="F139" s="36" t="s">
        <v>97</v>
      </c>
      <c r="G139" s="32"/>
      <c r="H139" s="32"/>
      <c r="I139" s="38"/>
      <c r="J139" s="38"/>
      <c r="K139" s="38"/>
      <c r="L139" s="41">
        <f t="shared" si="2"/>
        <v>0</v>
      </c>
      <c r="M139" s="41">
        <f>SUMIFS('04 Payments'!$K$7:$K$400,'04 Payments'!$D$7:$D$400,$B139)</f>
        <v>0</v>
      </c>
      <c r="N139" s="41">
        <f t="shared" si="3"/>
        <v>0</v>
      </c>
      <c r="O139" s="38"/>
      <c r="P139" s="41">
        <f t="shared" si="4"/>
        <v>-60000</v>
      </c>
      <c r="Q139" s="32" t="s">
        <v>117</v>
      </c>
      <c r="R139" s="32"/>
      <c r="S139" s="44"/>
    </row>
    <row r="140" ht="16.5" customHeight="1">
      <c r="A140" s="1"/>
      <c r="B140" s="31" t="s">
        <v>739</v>
      </c>
      <c r="C140" s="32" t="s">
        <v>223</v>
      </c>
      <c r="D140" s="32" t="s">
        <v>740</v>
      </c>
      <c r="E140" s="38">
        <v>15000.0</v>
      </c>
      <c r="F140" s="36" t="s">
        <v>97</v>
      </c>
      <c r="G140" s="32"/>
      <c r="H140" s="32"/>
      <c r="I140" s="38"/>
      <c r="J140" s="38"/>
      <c r="K140" s="38"/>
      <c r="L140" s="41">
        <f t="shared" si="2"/>
        <v>0</v>
      </c>
      <c r="M140" s="41">
        <f>SUMIFS('04 Payments'!$K$7:$K$400,'04 Payments'!$D$7:$D$400,$B140)</f>
        <v>0</v>
      </c>
      <c r="N140" s="41">
        <f t="shared" si="3"/>
        <v>0</v>
      </c>
      <c r="O140" s="38"/>
      <c r="P140" s="41">
        <f t="shared" si="4"/>
        <v>-15000</v>
      </c>
      <c r="Q140" s="32" t="s">
        <v>117</v>
      </c>
      <c r="R140" s="32"/>
      <c r="S140" s="44"/>
    </row>
    <row r="141" ht="16.5" customHeight="1">
      <c r="A141" s="1"/>
      <c r="B141" s="31" t="s">
        <v>747</v>
      </c>
      <c r="C141" s="32" t="s">
        <v>223</v>
      </c>
      <c r="D141" s="32" t="s">
        <v>748</v>
      </c>
      <c r="E141" s="38">
        <v>20000.0</v>
      </c>
      <c r="F141" s="36" t="s">
        <v>97</v>
      </c>
      <c r="G141" s="32"/>
      <c r="H141" s="32"/>
      <c r="I141" s="38"/>
      <c r="J141" s="38"/>
      <c r="K141" s="38"/>
      <c r="L141" s="41">
        <f t="shared" si="2"/>
        <v>0</v>
      </c>
      <c r="M141" s="41">
        <f>SUMIFS('04 Payments'!$K$7:$K$400,'04 Payments'!$D$7:$D$400,$B141)</f>
        <v>0</v>
      </c>
      <c r="N141" s="41">
        <f t="shared" si="3"/>
        <v>0</v>
      </c>
      <c r="O141" s="38"/>
      <c r="P141" s="41">
        <f t="shared" si="4"/>
        <v>-20000</v>
      </c>
      <c r="Q141" s="32" t="s">
        <v>117</v>
      </c>
      <c r="R141" s="32"/>
      <c r="S141" s="44"/>
    </row>
    <row r="142" ht="16.5" customHeight="1">
      <c r="A142" s="1"/>
      <c r="B142" s="31" t="s">
        <v>757</v>
      </c>
      <c r="C142" s="32" t="s">
        <v>223</v>
      </c>
      <c r="D142" s="32" t="s">
        <v>758</v>
      </c>
      <c r="E142" s="38">
        <v>15000.0</v>
      </c>
      <c r="F142" s="36" t="s">
        <v>97</v>
      </c>
      <c r="G142" s="32"/>
      <c r="H142" s="32"/>
      <c r="I142" s="38"/>
      <c r="J142" s="38"/>
      <c r="K142" s="38"/>
      <c r="L142" s="41">
        <f t="shared" si="2"/>
        <v>0</v>
      </c>
      <c r="M142" s="41">
        <f>SUMIFS('04 Payments'!$K$7:$K$400,'04 Payments'!$D$7:$D$400,$B142)</f>
        <v>0</v>
      </c>
      <c r="N142" s="41">
        <f t="shared" si="3"/>
        <v>0</v>
      </c>
      <c r="O142" s="38"/>
      <c r="P142" s="41">
        <f t="shared" si="4"/>
        <v>-15000</v>
      </c>
      <c r="Q142" s="32" t="s">
        <v>117</v>
      </c>
      <c r="R142" s="32"/>
      <c r="S142" s="44"/>
    </row>
    <row r="143" ht="16.5" customHeight="1">
      <c r="A143" s="1"/>
      <c r="B143" s="31" t="s">
        <v>767</v>
      </c>
      <c r="C143" s="32" t="s">
        <v>223</v>
      </c>
      <c r="D143" s="32" t="s">
        <v>768</v>
      </c>
      <c r="E143" s="38">
        <v>20000.0</v>
      </c>
      <c r="F143" s="32" t="s">
        <v>128</v>
      </c>
      <c r="G143" s="36" t="s">
        <v>129</v>
      </c>
      <c r="H143" s="32"/>
      <c r="I143" s="38"/>
      <c r="J143" s="38"/>
      <c r="K143" s="38"/>
      <c r="L143" s="41">
        <f t="shared" si="2"/>
        <v>20000</v>
      </c>
      <c r="M143" s="41">
        <f>SUMIFS('04 Payments'!$K$7:$K$400,'04 Payments'!$D$7:$D$400,$B143)</f>
        <v>0</v>
      </c>
      <c r="N143" s="41">
        <f t="shared" si="3"/>
        <v>20000</v>
      </c>
      <c r="O143" s="38"/>
      <c r="P143" s="41">
        <f t="shared" si="4"/>
        <v>0</v>
      </c>
      <c r="Q143" s="32" t="s">
        <v>117</v>
      </c>
      <c r="R143" s="32"/>
      <c r="S143" s="44"/>
    </row>
    <row r="144" ht="16.5" customHeight="1">
      <c r="A144" s="1"/>
      <c r="B144" s="31" t="s">
        <v>777</v>
      </c>
      <c r="C144" s="32" t="s">
        <v>223</v>
      </c>
      <c r="D144" s="32" t="s">
        <v>778</v>
      </c>
      <c r="E144" s="38">
        <v>5000.0</v>
      </c>
      <c r="F144" s="32" t="s">
        <v>128</v>
      </c>
      <c r="G144" s="36" t="s">
        <v>129</v>
      </c>
      <c r="H144" s="32"/>
      <c r="I144" s="38"/>
      <c r="J144" s="38"/>
      <c r="K144" s="38"/>
      <c r="L144" s="41">
        <f t="shared" si="2"/>
        <v>5000</v>
      </c>
      <c r="M144" s="41">
        <f>SUMIFS('04 Payments'!$K$7:$K$400,'04 Payments'!$D$7:$D$400,$B144)</f>
        <v>0</v>
      </c>
      <c r="N144" s="41">
        <f t="shared" si="3"/>
        <v>5000</v>
      </c>
      <c r="O144" s="38"/>
      <c r="P144" s="41">
        <f t="shared" si="4"/>
        <v>0</v>
      </c>
      <c r="Q144" s="32" t="s">
        <v>117</v>
      </c>
      <c r="R144" s="32"/>
      <c r="S144" s="44"/>
    </row>
    <row r="145" ht="16.5" customHeight="1">
      <c r="A145" s="1"/>
      <c r="B145" s="31" t="s">
        <v>779</v>
      </c>
      <c r="C145" s="32" t="s">
        <v>223</v>
      </c>
      <c r="D145" s="32" t="s">
        <v>780</v>
      </c>
      <c r="E145" s="38">
        <v>0.0</v>
      </c>
      <c r="F145" s="32" t="s">
        <v>240</v>
      </c>
      <c r="G145" s="32"/>
      <c r="H145" s="32"/>
      <c r="I145" s="38"/>
      <c r="J145" s="38"/>
      <c r="K145" s="38"/>
      <c r="L145" s="41">
        <f t="shared" si="2"/>
        <v>0</v>
      </c>
      <c r="M145" s="41">
        <f>SUMIFS('04 Payments'!$K$7:$K$400,'04 Payments'!$D$7:$D$400,$B145)</f>
        <v>0</v>
      </c>
      <c r="N145" s="41">
        <f t="shared" si="3"/>
        <v>0</v>
      </c>
      <c r="O145" s="38"/>
      <c r="P145" s="41">
        <f t="shared" si="4"/>
        <v>0</v>
      </c>
      <c r="Q145" s="32" t="s">
        <v>117</v>
      </c>
      <c r="R145" s="32"/>
      <c r="S145" s="44"/>
    </row>
    <row r="146" ht="16.5" customHeight="1">
      <c r="A146" s="1"/>
      <c r="B146" s="31" t="s">
        <v>781</v>
      </c>
      <c r="C146" s="32" t="s">
        <v>227</v>
      </c>
      <c r="D146" s="32" t="s">
        <v>782</v>
      </c>
      <c r="E146" s="38">
        <v>60000.0</v>
      </c>
      <c r="F146" s="36" t="s">
        <v>97</v>
      </c>
      <c r="G146" s="32"/>
      <c r="H146" s="32"/>
      <c r="I146" s="38"/>
      <c r="J146" s="38"/>
      <c r="K146" s="38"/>
      <c r="L146" s="41">
        <f t="shared" si="2"/>
        <v>0</v>
      </c>
      <c r="M146" s="41">
        <f>SUMIFS('04 Payments'!$K$7:$K$400,'04 Payments'!$D$7:$D$400,$B146)</f>
        <v>0</v>
      </c>
      <c r="N146" s="41">
        <f t="shared" si="3"/>
        <v>0</v>
      </c>
      <c r="O146" s="38"/>
      <c r="P146" s="41">
        <f t="shared" si="4"/>
        <v>-60000</v>
      </c>
      <c r="Q146" s="32" t="s">
        <v>117</v>
      </c>
      <c r="R146" s="32"/>
      <c r="S146" s="44"/>
    </row>
    <row r="147" ht="16.5" customHeight="1">
      <c r="A147" s="1"/>
      <c r="B147" s="31" t="s">
        <v>784</v>
      </c>
      <c r="C147" s="32" t="s">
        <v>227</v>
      </c>
      <c r="D147" s="32" t="s">
        <v>785</v>
      </c>
      <c r="E147" s="38">
        <v>60000.0</v>
      </c>
      <c r="F147" s="36" t="s">
        <v>97</v>
      </c>
      <c r="G147" s="32"/>
      <c r="H147" s="32"/>
      <c r="I147" s="38"/>
      <c r="J147" s="38"/>
      <c r="K147" s="38"/>
      <c r="L147" s="41">
        <f t="shared" si="2"/>
        <v>0</v>
      </c>
      <c r="M147" s="41">
        <f>SUMIFS('04 Payments'!$K$7:$K$400,'04 Payments'!$D$7:$D$400,$B147)</f>
        <v>0</v>
      </c>
      <c r="N147" s="41">
        <f t="shared" si="3"/>
        <v>0</v>
      </c>
      <c r="O147" s="38"/>
      <c r="P147" s="41">
        <f t="shared" si="4"/>
        <v>-60000</v>
      </c>
      <c r="Q147" s="32" t="s">
        <v>117</v>
      </c>
      <c r="R147" s="32"/>
      <c r="S147" s="44"/>
    </row>
    <row r="148" ht="16.5" customHeight="1">
      <c r="A148" s="1"/>
      <c r="B148" s="31" t="s">
        <v>786</v>
      </c>
      <c r="C148" s="32" t="s">
        <v>227</v>
      </c>
      <c r="D148" s="32" t="s">
        <v>787</v>
      </c>
      <c r="E148" s="38">
        <v>50000.0</v>
      </c>
      <c r="F148" s="36" t="s">
        <v>97</v>
      </c>
      <c r="G148" s="32"/>
      <c r="H148" s="32"/>
      <c r="I148" s="38"/>
      <c r="J148" s="38"/>
      <c r="K148" s="38"/>
      <c r="L148" s="41">
        <f t="shared" si="2"/>
        <v>0</v>
      </c>
      <c r="M148" s="41">
        <f>SUMIFS('04 Payments'!$K$7:$K$400,'04 Payments'!$D$7:$D$400,$B148)</f>
        <v>0</v>
      </c>
      <c r="N148" s="41">
        <f t="shared" si="3"/>
        <v>0</v>
      </c>
      <c r="O148" s="38"/>
      <c r="P148" s="41">
        <f t="shared" si="4"/>
        <v>-50000</v>
      </c>
      <c r="Q148" s="32" t="s">
        <v>117</v>
      </c>
      <c r="R148" s="32"/>
      <c r="S148" s="44"/>
    </row>
    <row r="149" ht="16.5" customHeight="1">
      <c r="A149" s="1"/>
      <c r="B149" s="31" t="s">
        <v>788</v>
      </c>
      <c r="C149" s="32" t="s">
        <v>227</v>
      </c>
      <c r="D149" s="32" t="s">
        <v>789</v>
      </c>
      <c r="E149" s="38">
        <v>0.0</v>
      </c>
      <c r="F149" s="36" t="s">
        <v>97</v>
      </c>
      <c r="G149" s="32"/>
      <c r="H149" s="32"/>
      <c r="I149" s="38"/>
      <c r="J149" s="38"/>
      <c r="K149" s="38"/>
      <c r="L149" s="41">
        <f t="shared" si="2"/>
        <v>0</v>
      </c>
      <c r="M149" s="41">
        <f>SUMIFS('04 Payments'!$K$7:$K$400,'04 Payments'!$D$7:$D$400,$B149)</f>
        <v>0</v>
      </c>
      <c r="N149" s="41">
        <f t="shared" si="3"/>
        <v>0</v>
      </c>
      <c r="O149" s="38"/>
      <c r="P149" s="41">
        <f t="shared" si="4"/>
        <v>0</v>
      </c>
      <c r="Q149" s="32" t="s">
        <v>117</v>
      </c>
      <c r="R149" s="32"/>
      <c r="S149" s="44"/>
    </row>
    <row r="150" ht="16.5" customHeight="1">
      <c r="A150" s="1"/>
      <c r="B150" s="31" t="s">
        <v>790</v>
      </c>
      <c r="C150" s="32" t="s">
        <v>227</v>
      </c>
      <c r="D150" s="32" t="s">
        <v>791</v>
      </c>
      <c r="E150" s="38">
        <v>0.0</v>
      </c>
      <c r="F150" s="36" t="s">
        <v>97</v>
      </c>
      <c r="G150" s="32"/>
      <c r="H150" s="32"/>
      <c r="I150" s="38"/>
      <c r="J150" s="38"/>
      <c r="K150" s="38"/>
      <c r="L150" s="41">
        <f t="shared" si="2"/>
        <v>0</v>
      </c>
      <c r="M150" s="41">
        <f>SUMIFS('04 Payments'!$K$7:$K$400,'04 Payments'!$D$7:$D$400,$B150)</f>
        <v>0</v>
      </c>
      <c r="N150" s="41">
        <f t="shared" si="3"/>
        <v>0</v>
      </c>
      <c r="O150" s="38"/>
      <c r="P150" s="41">
        <f t="shared" si="4"/>
        <v>0</v>
      </c>
      <c r="Q150" s="32" t="s">
        <v>117</v>
      </c>
      <c r="R150" s="32"/>
      <c r="S150" s="44"/>
    </row>
    <row r="151" ht="16.5" customHeight="1">
      <c r="A151" s="1"/>
      <c r="B151" s="31" t="s">
        <v>794</v>
      </c>
      <c r="C151" s="32" t="s">
        <v>227</v>
      </c>
      <c r="D151" s="32" t="s">
        <v>795</v>
      </c>
      <c r="E151" s="38">
        <v>15000.0</v>
      </c>
      <c r="F151" s="36" t="s">
        <v>97</v>
      </c>
      <c r="G151" s="32"/>
      <c r="H151" s="32"/>
      <c r="I151" s="38"/>
      <c r="J151" s="38"/>
      <c r="K151" s="38"/>
      <c r="L151" s="41">
        <f t="shared" si="2"/>
        <v>0</v>
      </c>
      <c r="M151" s="41">
        <f>SUMIFS('04 Payments'!$K$7:$K$400,'04 Payments'!$D$7:$D$400,$B151)</f>
        <v>0</v>
      </c>
      <c r="N151" s="41">
        <f t="shared" si="3"/>
        <v>0</v>
      </c>
      <c r="O151" s="38"/>
      <c r="P151" s="41">
        <f t="shared" si="4"/>
        <v>-15000</v>
      </c>
      <c r="Q151" s="32" t="s">
        <v>117</v>
      </c>
      <c r="R151" s="32"/>
      <c r="S151" s="44"/>
    </row>
    <row r="152" ht="16.5" customHeight="1">
      <c r="A152" s="1"/>
      <c r="B152" s="31" t="s">
        <v>802</v>
      </c>
      <c r="C152" s="32" t="s">
        <v>234</v>
      </c>
      <c r="D152" s="32" t="s">
        <v>803</v>
      </c>
      <c r="E152" s="34">
        <v>0.0</v>
      </c>
      <c r="F152" s="36" t="s">
        <v>128</v>
      </c>
      <c r="G152" s="32"/>
      <c r="H152" s="32"/>
      <c r="I152" s="38"/>
      <c r="J152" s="38"/>
      <c r="K152" s="38"/>
      <c r="L152" s="41">
        <f t="shared" si="2"/>
        <v>0</v>
      </c>
      <c r="M152" s="41">
        <f>SUMIFS('04 Payments'!$K$7:$K$400,'04 Payments'!$D$7:$D$400,$B152)</f>
        <v>0</v>
      </c>
      <c r="N152" s="41">
        <f t="shared" si="3"/>
        <v>0</v>
      </c>
      <c r="O152" s="38"/>
      <c r="P152" s="41">
        <f t="shared" si="4"/>
        <v>0</v>
      </c>
      <c r="Q152" s="32" t="s">
        <v>117</v>
      </c>
      <c r="R152" s="32"/>
      <c r="S152" s="44"/>
    </row>
    <row r="153" ht="16.5" customHeight="1">
      <c r="A153" s="1"/>
      <c r="B153" s="31" t="s">
        <v>810</v>
      </c>
      <c r="C153" s="32" t="s">
        <v>234</v>
      </c>
      <c r="D153" s="32" t="s">
        <v>811</v>
      </c>
      <c r="E153" s="34">
        <v>7500.0</v>
      </c>
      <c r="F153" s="32" t="s">
        <v>128</v>
      </c>
      <c r="G153" s="36" t="s">
        <v>129</v>
      </c>
      <c r="H153" s="32"/>
      <c r="I153" s="38"/>
      <c r="J153" s="38"/>
      <c r="K153" s="38"/>
      <c r="L153" s="41">
        <f t="shared" si="2"/>
        <v>7500</v>
      </c>
      <c r="M153" s="41">
        <f>SUMIFS('04 Payments'!$K$7:$K$400,'04 Payments'!$D$7:$D$400,$B153)</f>
        <v>0</v>
      </c>
      <c r="N153" s="41">
        <f t="shared" si="3"/>
        <v>7500</v>
      </c>
      <c r="O153" s="38"/>
      <c r="P153" s="41">
        <f t="shared" si="4"/>
        <v>0</v>
      </c>
      <c r="Q153" s="32" t="s">
        <v>117</v>
      </c>
      <c r="R153" s="32"/>
      <c r="S153" s="44"/>
    </row>
    <row r="154" ht="16.5" customHeight="1">
      <c r="A154" s="1"/>
      <c r="B154" s="31" t="s">
        <v>818</v>
      </c>
      <c r="C154" s="32" t="s">
        <v>234</v>
      </c>
      <c r="D154" s="32" t="s">
        <v>819</v>
      </c>
      <c r="E154" s="34">
        <v>0.0</v>
      </c>
      <c r="F154" s="36" t="s">
        <v>128</v>
      </c>
      <c r="G154" s="32"/>
      <c r="H154" s="32"/>
      <c r="I154" s="38"/>
      <c r="J154" s="38"/>
      <c r="K154" s="38"/>
      <c r="L154" s="41">
        <f t="shared" si="2"/>
        <v>0</v>
      </c>
      <c r="M154" s="41">
        <f>SUMIFS('04 Payments'!$K$7:$K$400,'04 Payments'!$D$7:$D$400,$B154)</f>
        <v>0</v>
      </c>
      <c r="N154" s="41">
        <f t="shared" si="3"/>
        <v>0</v>
      </c>
      <c r="O154" s="38"/>
      <c r="P154" s="41">
        <f t="shared" si="4"/>
        <v>0</v>
      </c>
      <c r="Q154" s="32" t="s">
        <v>117</v>
      </c>
      <c r="R154" s="32"/>
      <c r="S154" s="44"/>
    </row>
    <row r="155" ht="16.5" customHeight="1">
      <c r="A155" s="1"/>
      <c r="B155" s="31" t="s">
        <v>826</v>
      </c>
      <c r="C155" s="32" t="s">
        <v>234</v>
      </c>
      <c r="D155" s="32" t="s">
        <v>827</v>
      </c>
      <c r="E155" s="38">
        <v>12000.0</v>
      </c>
      <c r="F155" s="36" t="s">
        <v>97</v>
      </c>
      <c r="G155" s="32"/>
      <c r="H155" s="32"/>
      <c r="I155" s="38"/>
      <c r="J155" s="38"/>
      <c r="K155" s="38"/>
      <c r="L155" s="41">
        <f t="shared" si="2"/>
        <v>0</v>
      </c>
      <c r="M155" s="41">
        <f>SUMIFS('04 Payments'!$K$7:$K$400,'04 Payments'!$D$7:$D$400,$B155)</f>
        <v>0</v>
      </c>
      <c r="N155" s="41">
        <f t="shared" si="3"/>
        <v>0</v>
      </c>
      <c r="O155" s="38"/>
      <c r="P155" s="41">
        <f t="shared" si="4"/>
        <v>-12000</v>
      </c>
      <c r="Q155" s="32" t="s">
        <v>117</v>
      </c>
      <c r="R155" s="32"/>
      <c r="S155" s="44"/>
    </row>
    <row r="156" ht="16.5" customHeight="1">
      <c r="A156" s="1"/>
      <c r="B156" s="31" t="s">
        <v>832</v>
      </c>
      <c r="C156" s="32" t="s">
        <v>234</v>
      </c>
      <c r="D156" s="32" t="s">
        <v>834</v>
      </c>
      <c r="E156" s="38">
        <v>6000.0</v>
      </c>
      <c r="F156" s="36" t="s">
        <v>97</v>
      </c>
      <c r="G156" s="32"/>
      <c r="H156" s="32"/>
      <c r="I156" s="38"/>
      <c r="J156" s="38"/>
      <c r="K156" s="38"/>
      <c r="L156" s="41">
        <f t="shared" si="2"/>
        <v>0</v>
      </c>
      <c r="M156" s="41">
        <f>SUMIFS('04 Payments'!$K$7:$K$400,'04 Payments'!$D$7:$D$400,$B156)</f>
        <v>0</v>
      </c>
      <c r="N156" s="41">
        <f t="shared" si="3"/>
        <v>0</v>
      </c>
      <c r="O156" s="38"/>
      <c r="P156" s="41">
        <f t="shared" si="4"/>
        <v>-6000</v>
      </c>
      <c r="Q156" s="32" t="s">
        <v>117</v>
      </c>
      <c r="R156" s="32"/>
      <c r="S156" s="44"/>
    </row>
    <row r="157" ht="16.5" customHeight="1">
      <c r="A157" s="1"/>
      <c r="B157" s="31" t="s">
        <v>840</v>
      </c>
      <c r="C157" s="32" t="s">
        <v>234</v>
      </c>
      <c r="D157" s="32" t="s">
        <v>841</v>
      </c>
      <c r="E157" s="38">
        <v>8000.0</v>
      </c>
      <c r="F157" s="36" t="s">
        <v>97</v>
      </c>
      <c r="G157" s="32"/>
      <c r="H157" s="32"/>
      <c r="I157" s="38"/>
      <c r="J157" s="38"/>
      <c r="K157" s="38"/>
      <c r="L157" s="41">
        <f t="shared" si="2"/>
        <v>0</v>
      </c>
      <c r="M157" s="41">
        <f>SUMIFS('04 Payments'!$K$7:$K$400,'04 Payments'!$D$7:$D$400,$B157)</f>
        <v>0</v>
      </c>
      <c r="N157" s="41">
        <f t="shared" si="3"/>
        <v>0</v>
      </c>
      <c r="O157" s="38"/>
      <c r="P157" s="41">
        <f t="shared" si="4"/>
        <v>-8000</v>
      </c>
      <c r="Q157" s="32" t="s">
        <v>117</v>
      </c>
      <c r="R157" s="32"/>
      <c r="S157" s="44"/>
    </row>
    <row r="158" ht="16.5" customHeight="1">
      <c r="A158" s="1"/>
      <c r="B158" s="31" t="s">
        <v>842</v>
      </c>
      <c r="C158" s="32" t="s">
        <v>234</v>
      </c>
      <c r="D158" s="32" t="s">
        <v>843</v>
      </c>
      <c r="E158" s="38">
        <v>5000.0</v>
      </c>
      <c r="F158" s="36" t="s">
        <v>97</v>
      </c>
      <c r="G158" s="32"/>
      <c r="H158" s="32"/>
      <c r="I158" s="38"/>
      <c r="J158" s="38"/>
      <c r="K158" s="38"/>
      <c r="L158" s="41">
        <f t="shared" si="2"/>
        <v>0</v>
      </c>
      <c r="M158" s="41">
        <f>SUMIFS('04 Payments'!$K$7:$K$400,'04 Payments'!$D$7:$D$400,$B158)</f>
        <v>0</v>
      </c>
      <c r="N158" s="41">
        <f t="shared" si="3"/>
        <v>0</v>
      </c>
      <c r="O158" s="38"/>
      <c r="P158" s="41">
        <f t="shared" si="4"/>
        <v>-5000</v>
      </c>
      <c r="Q158" s="32" t="s">
        <v>117</v>
      </c>
      <c r="R158" s="32"/>
      <c r="S158" s="44"/>
    </row>
    <row r="159" ht="16.5" customHeight="1">
      <c r="A159" s="1"/>
      <c r="B159" s="31" t="s">
        <v>844</v>
      </c>
      <c r="C159" s="32" t="s">
        <v>234</v>
      </c>
      <c r="D159" s="32" t="s">
        <v>845</v>
      </c>
      <c r="E159" s="38">
        <v>8000.0</v>
      </c>
      <c r="F159" s="36" t="s">
        <v>97</v>
      </c>
      <c r="G159" s="32"/>
      <c r="H159" s="32"/>
      <c r="I159" s="38"/>
      <c r="J159" s="38"/>
      <c r="K159" s="38"/>
      <c r="L159" s="41">
        <f t="shared" si="2"/>
        <v>0</v>
      </c>
      <c r="M159" s="41">
        <f>SUMIFS('04 Payments'!$K$7:$K$400,'04 Payments'!$D$7:$D$400,$B159)</f>
        <v>0</v>
      </c>
      <c r="N159" s="41">
        <f t="shared" si="3"/>
        <v>0</v>
      </c>
      <c r="O159" s="38"/>
      <c r="P159" s="41">
        <f t="shared" si="4"/>
        <v>-8000</v>
      </c>
      <c r="Q159" s="32" t="s">
        <v>117</v>
      </c>
      <c r="R159" s="32"/>
      <c r="S159" s="44"/>
    </row>
    <row r="160" ht="16.5" customHeight="1">
      <c r="A160" s="1"/>
      <c r="B160" s="31" t="s">
        <v>846</v>
      </c>
      <c r="C160" s="32" t="s">
        <v>234</v>
      </c>
      <c r="D160" s="32" t="s">
        <v>848</v>
      </c>
      <c r="E160" s="34">
        <v>10000.0</v>
      </c>
      <c r="F160" s="32" t="s">
        <v>128</v>
      </c>
      <c r="G160" s="36" t="s">
        <v>129</v>
      </c>
      <c r="H160" s="32"/>
      <c r="I160" s="38"/>
      <c r="J160" s="38"/>
      <c r="K160" s="38"/>
      <c r="L160" s="41">
        <f t="shared" si="2"/>
        <v>10000</v>
      </c>
      <c r="M160" s="41">
        <f>SUMIFS('04 Payments'!$K$7:$K$400,'04 Payments'!$D$7:$D$400,$B160)</f>
        <v>0</v>
      </c>
      <c r="N160" s="41">
        <f t="shared" si="3"/>
        <v>10000</v>
      </c>
      <c r="O160" s="38"/>
      <c r="P160" s="41">
        <f t="shared" si="4"/>
        <v>0</v>
      </c>
      <c r="Q160" s="32" t="s">
        <v>117</v>
      </c>
      <c r="R160" s="32"/>
      <c r="S160" s="44"/>
    </row>
    <row r="161" ht="16.5" customHeight="1">
      <c r="A161" s="1"/>
      <c r="B161" s="31" t="s">
        <v>849</v>
      </c>
      <c r="C161" s="32" t="s">
        <v>234</v>
      </c>
      <c r="D161" s="32" t="s">
        <v>850</v>
      </c>
      <c r="E161" s="38">
        <v>6000.0</v>
      </c>
      <c r="F161" s="36" t="s">
        <v>97</v>
      </c>
      <c r="G161" s="32"/>
      <c r="H161" s="32"/>
      <c r="I161" s="38"/>
      <c r="J161" s="38"/>
      <c r="K161" s="38"/>
      <c r="L161" s="41">
        <f t="shared" si="2"/>
        <v>0</v>
      </c>
      <c r="M161" s="41">
        <f>SUMIFS('04 Payments'!$K$7:$K$400,'04 Payments'!$D$7:$D$400,$B161)</f>
        <v>0</v>
      </c>
      <c r="N161" s="41">
        <f t="shared" si="3"/>
        <v>0</v>
      </c>
      <c r="O161" s="38"/>
      <c r="P161" s="41">
        <f t="shared" si="4"/>
        <v>-6000</v>
      </c>
      <c r="Q161" s="32" t="s">
        <v>117</v>
      </c>
      <c r="R161" s="32"/>
      <c r="S161" s="44"/>
    </row>
    <row r="162" ht="16.5" customHeight="1">
      <c r="A162" s="1"/>
      <c r="B162" s="31" t="s">
        <v>851</v>
      </c>
      <c r="C162" s="32" t="s">
        <v>234</v>
      </c>
      <c r="D162" s="32" t="s">
        <v>852</v>
      </c>
      <c r="E162" s="38">
        <v>4000.0</v>
      </c>
      <c r="F162" s="36" t="s">
        <v>97</v>
      </c>
      <c r="G162" s="32"/>
      <c r="H162" s="32"/>
      <c r="I162" s="38"/>
      <c r="J162" s="38"/>
      <c r="K162" s="38"/>
      <c r="L162" s="41">
        <f t="shared" si="2"/>
        <v>0</v>
      </c>
      <c r="M162" s="41">
        <f>SUMIFS('04 Payments'!$K$7:$K$400,'04 Payments'!$D$7:$D$400,$B162)</f>
        <v>0</v>
      </c>
      <c r="N162" s="41">
        <f t="shared" si="3"/>
        <v>0</v>
      </c>
      <c r="O162" s="38"/>
      <c r="P162" s="41">
        <f t="shared" si="4"/>
        <v>-4000</v>
      </c>
      <c r="Q162" s="32" t="s">
        <v>117</v>
      </c>
      <c r="R162" s="32"/>
      <c r="S162" s="44"/>
    </row>
    <row r="163" ht="16.5" customHeight="1">
      <c r="A163" s="1"/>
      <c r="B163" s="31" t="s">
        <v>853</v>
      </c>
      <c r="C163" s="32" t="s">
        <v>234</v>
      </c>
      <c r="D163" s="32" t="s">
        <v>854</v>
      </c>
      <c r="E163" s="38">
        <v>6000.0</v>
      </c>
      <c r="F163" s="36" t="s">
        <v>97</v>
      </c>
      <c r="G163" s="32"/>
      <c r="H163" s="32"/>
      <c r="I163" s="38"/>
      <c r="J163" s="38"/>
      <c r="K163" s="38"/>
      <c r="L163" s="41">
        <f t="shared" si="2"/>
        <v>0</v>
      </c>
      <c r="M163" s="41">
        <f>SUMIFS('04 Payments'!$K$7:$K$400,'04 Payments'!$D$7:$D$400,$B163)</f>
        <v>0</v>
      </c>
      <c r="N163" s="41">
        <f t="shared" si="3"/>
        <v>0</v>
      </c>
      <c r="O163" s="38"/>
      <c r="P163" s="41">
        <f t="shared" si="4"/>
        <v>-6000</v>
      </c>
      <c r="Q163" s="32" t="s">
        <v>117</v>
      </c>
      <c r="R163" s="32"/>
      <c r="S163" s="44"/>
    </row>
    <row r="164" ht="16.5" customHeight="1">
      <c r="A164" s="1"/>
      <c r="B164" s="31" t="s">
        <v>855</v>
      </c>
      <c r="C164" s="32" t="s">
        <v>234</v>
      </c>
      <c r="D164" s="32" t="s">
        <v>856</v>
      </c>
      <c r="E164" s="34">
        <v>0.0</v>
      </c>
      <c r="F164" s="36" t="s">
        <v>97</v>
      </c>
      <c r="G164" s="32"/>
      <c r="H164" s="32"/>
      <c r="I164" s="38"/>
      <c r="J164" s="38"/>
      <c r="K164" s="38"/>
      <c r="L164" s="41">
        <f t="shared" si="2"/>
        <v>0</v>
      </c>
      <c r="M164" s="41">
        <f>SUMIFS('04 Payments'!$K$7:$K$400,'04 Payments'!$D$7:$D$400,$B164)</f>
        <v>0</v>
      </c>
      <c r="N164" s="41">
        <f t="shared" si="3"/>
        <v>0</v>
      </c>
      <c r="O164" s="38"/>
      <c r="P164" s="41">
        <f t="shared" si="4"/>
        <v>0</v>
      </c>
      <c r="Q164" s="32" t="s">
        <v>117</v>
      </c>
      <c r="R164" s="32"/>
      <c r="S164" s="44"/>
    </row>
    <row r="165" ht="16.5" customHeight="1">
      <c r="A165" s="1"/>
      <c r="B165" s="31" t="s">
        <v>863</v>
      </c>
      <c r="C165" s="32" t="s">
        <v>241</v>
      </c>
      <c r="D165" s="32" t="s">
        <v>865</v>
      </c>
      <c r="E165" s="38">
        <v>10000.0</v>
      </c>
      <c r="F165" s="32" t="s">
        <v>128</v>
      </c>
      <c r="G165" s="36" t="s">
        <v>129</v>
      </c>
      <c r="H165" s="32"/>
      <c r="I165" s="38"/>
      <c r="J165" s="38"/>
      <c r="K165" s="38"/>
      <c r="L165" s="41">
        <f t="shared" si="2"/>
        <v>10000</v>
      </c>
      <c r="M165" s="41">
        <f>SUMIFS('04 Payments'!$K$7:$K$400,'04 Payments'!$D$7:$D$400,$B165)</f>
        <v>0</v>
      </c>
      <c r="N165" s="41">
        <f t="shared" si="3"/>
        <v>10000</v>
      </c>
      <c r="O165" s="38"/>
      <c r="P165" s="41">
        <f t="shared" si="4"/>
        <v>0</v>
      </c>
      <c r="Q165" s="32" t="s">
        <v>117</v>
      </c>
      <c r="R165" s="32"/>
      <c r="S165" s="44"/>
    </row>
    <row r="166" ht="16.5" customHeight="1">
      <c r="A166" s="1"/>
      <c r="B166" s="31" t="s">
        <v>873</v>
      </c>
      <c r="C166" s="32" t="s">
        <v>241</v>
      </c>
      <c r="D166" s="32" t="s">
        <v>876</v>
      </c>
      <c r="E166" s="34">
        <v>0.0</v>
      </c>
      <c r="F166" s="36" t="s">
        <v>97</v>
      </c>
      <c r="G166" s="32"/>
      <c r="H166" s="32"/>
      <c r="I166" s="38"/>
      <c r="J166" s="38"/>
      <c r="K166" s="38"/>
      <c r="L166" s="41">
        <f t="shared" si="2"/>
        <v>0</v>
      </c>
      <c r="M166" s="41">
        <f>SUMIFS('04 Payments'!$K$7:$K$400,'04 Payments'!$D$7:$D$400,$B166)</f>
        <v>0</v>
      </c>
      <c r="N166" s="41">
        <f t="shared" si="3"/>
        <v>0</v>
      </c>
      <c r="O166" s="38"/>
      <c r="P166" s="41">
        <f t="shared" si="4"/>
        <v>0</v>
      </c>
      <c r="Q166" s="32" t="s">
        <v>117</v>
      </c>
      <c r="R166" s="32"/>
      <c r="S166" s="44"/>
    </row>
    <row r="167" ht="16.5" customHeight="1">
      <c r="A167" s="1"/>
      <c r="B167" s="31" t="s">
        <v>885</v>
      </c>
      <c r="C167" s="32" t="s">
        <v>241</v>
      </c>
      <c r="D167" s="32" t="s">
        <v>886</v>
      </c>
      <c r="E167" s="34">
        <v>0.0</v>
      </c>
      <c r="F167" s="36" t="s">
        <v>97</v>
      </c>
      <c r="G167" s="32"/>
      <c r="H167" s="32"/>
      <c r="I167" s="38"/>
      <c r="J167" s="38"/>
      <c r="K167" s="38"/>
      <c r="L167" s="41">
        <f t="shared" si="2"/>
        <v>0</v>
      </c>
      <c r="M167" s="41">
        <f>SUMIFS('04 Payments'!$K$7:$K$400,'04 Payments'!$D$7:$D$400,$B167)</f>
        <v>0</v>
      </c>
      <c r="N167" s="41">
        <f t="shared" si="3"/>
        <v>0</v>
      </c>
      <c r="O167" s="38"/>
      <c r="P167" s="41">
        <f t="shared" si="4"/>
        <v>0</v>
      </c>
      <c r="Q167" s="32" t="s">
        <v>117</v>
      </c>
      <c r="R167" s="32"/>
      <c r="S167" s="44"/>
    </row>
    <row r="168" ht="16.5" customHeight="1">
      <c r="A168" s="1"/>
      <c r="B168" s="31" t="s">
        <v>892</v>
      </c>
      <c r="C168" s="32" t="s">
        <v>241</v>
      </c>
      <c r="D168" s="32" t="s">
        <v>893</v>
      </c>
      <c r="E168" s="34">
        <v>0.0</v>
      </c>
      <c r="F168" s="36" t="s">
        <v>97</v>
      </c>
      <c r="G168" s="32"/>
      <c r="H168" s="32"/>
      <c r="I168" s="38"/>
      <c r="J168" s="38"/>
      <c r="K168" s="38"/>
      <c r="L168" s="41">
        <f t="shared" si="2"/>
        <v>0</v>
      </c>
      <c r="M168" s="41">
        <f>SUMIFS('04 Payments'!$K$7:$K$400,'04 Payments'!$D$7:$D$400,$B168)</f>
        <v>0</v>
      </c>
      <c r="N168" s="41">
        <f t="shared" si="3"/>
        <v>0</v>
      </c>
      <c r="O168" s="38"/>
      <c r="P168" s="41">
        <f t="shared" si="4"/>
        <v>0</v>
      </c>
      <c r="Q168" s="32" t="s">
        <v>117</v>
      </c>
      <c r="R168" s="32"/>
      <c r="S168" s="44"/>
    </row>
    <row r="169" ht="16.5" customHeight="1">
      <c r="A169" s="1"/>
      <c r="B169" s="31" t="s">
        <v>894</v>
      </c>
      <c r="C169" s="32" t="s">
        <v>241</v>
      </c>
      <c r="D169" s="32" t="s">
        <v>895</v>
      </c>
      <c r="E169" s="34">
        <v>0.0</v>
      </c>
      <c r="F169" s="36" t="s">
        <v>97</v>
      </c>
      <c r="G169" s="32"/>
      <c r="H169" s="32"/>
      <c r="I169" s="38"/>
      <c r="J169" s="38"/>
      <c r="K169" s="38"/>
      <c r="L169" s="41">
        <f t="shared" si="2"/>
        <v>0</v>
      </c>
      <c r="M169" s="41">
        <f>SUMIFS('04 Payments'!$K$7:$K$400,'04 Payments'!$D$7:$D$400,$B169)</f>
        <v>0</v>
      </c>
      <c r="N169" s="41">
        <f t="shared" si="3"/>
        <v>0</v>
      </c>
      <c r="O169" s="38"/>
      <c r="P169" s="41">
        <f t="shared" si="4"/>
        <v>0</v>
      </c>
      <c r="Q169" s="32" t="s">
        <v>117</v>
      </c>
      <c r="R169" s="32"/>
      <c r="S169" s="44"/>
    </row>
    <row r="170" ht="16.5" customHeight="1">
      <c r="A170" s="1"/>
      <c r="B170" s="31" t="s">
        <v>896</v>
      </c>
      <c r="C170" s="32" t="s">
        <v>241</v>
      </c>
      <c r="D170" s="32" t="s">
        <v>897</v>
      </c>
      <c r="E170" s="38">
        <v>25000.0</v>
      </c>
      <c r="F170" s="32" t="s">
        <v>240</v>
      </c>
      <c r="G170" s="36" t="s">
        <v>258</v>
      </c>
      <c r="H170" s="32"/>
      <c r="I170" s="38"/>
      <c r="J170" s="38"/>
      <c r="K170" s="38"/>
      <c r="L170" s="41">
        <f t="shared" si="2"/>
        <v>25000</v>
      </c>
      <c r="M170" s="41">
        <f>SUMIFS('04 Payments'!$K$7:$K$400,'04 Payments'!$D$7:$D$400,$B170)</f>
        <v>0</v>
      </c>
      <c r="N170" s="41">
        <f t="shared" si="3"/>
        <v>25000</v>
      </c>
      <c r="O170" s="38"/>
      <c r="P170" s="41">
        <f t="shared" si="4"/>
        <v>0</v>
      </c>
      <c r="Q170" s="32" t="s">
        <v>117</v>
      </c>
      <c r="R170" s="32"/>
      <c r="S170" s="44"/>
    </row>
    <row r="171" ht="16.5" customHeight="1">
      <c r="A171" s="1"/>
      <c r="B171" s="31" t="s">
        <v>899</v>
      </c>
      <c r="C171" s="32" t="s">
        <v>241</v>
      </c>
      <c r="D171" s="32" t="s">
        <v>900</v>
      </c>
      <c r="E171" s="38">
        <v>0.0</v>
      </c>
      <c r="F171" s="32" t="s">
        <v>240</v>
      </c>
      <c r="G171" s="32"/>
      <c r="H171" s="32"/>
      <c r="I171" s="38"/>
      <c r="J171" s="38"/>
      <c r="K171" s="38"/>
      <c r="L171" s="41">
        <f t="shared" si="2"/>
        <v>0</v>
      </c>
      <c r="M171" s="41">
        <f>SUMIFS('04 Payments'!$K$7:$K$400,'04 Payments'!$D$7:$D$400,$B171)</f>
        <v>0</v>
      </c>
      <c r="N171" s="41">
        <f t="shared" si="3"/>
        <v>0</v>
      </c>
      <c r="O171" s="38"/>
      <c r="P171" s="41">
        <f t="shared" si="4"/>
        <v>0</v>
      </c>
      <c r="Q171" s="32" t="s">
        <v>117</v>
      </c>
      <c r="R171" s="32"/>
      <c r="S171" s="44"/>
    </row>
    <row r="172" ht="16.5" customHeight="1">
      <c r="A172" s="1"/>
      <c r="B172" s="31" t="s">
        <v>901</v>
      </c>
      <c r="C172" s="32" t="s">
        <v>241</v>
      </c>
      <c r="D172" s="32" t="s">
        <v>902</v>
      </c>
      <c r="E172" s="38">
        <v>10000.0</v>
      </c>
      <c r="F172" s="36" t="s">
        <v>97</v>
      </c>
      <c r="G172" s="32"/>
      <c r="H172" s="32"/>
      <c r="I172" s="38"/>
      <c r="J172" s="38"/>
      <c r="K172" s="38"/>
      <c r="L172" s="41">
        <f t="shared" si="2"/>
        <v>0</v>
      </c>
      <c r="M172" s="41">
        <f>SUMIFS('04 Payments'!$K$7:$K$400,'04 Payments'!$D$7:$D$400,$B172)</f>
        <v>0</v>
      </c>
      <c r="N172" s="41">
        <f t="shared" si="3"/>
        <v>0</v>
      </c>
      <c r="O172" s="38"/>
      <c r="P172" s="41">
        <f t="shared" si="4"/>
        <v>-10000</v>
      </c>
      <c r="Q172" s="32" t="s">
        <v>117</v>
      </c>
      <c r="R172" s="32"/>
      <c r="S172" s="44"/>
    </row>
    <row r="173" ht="16.5" customHeight="1">
      <c r="A173" s="1"/>
      <c r="B173" s="31" t="s">
        <v>903</v>
      </c>
      <c r="C173" s="32" t="s">
        <v>241</v>
      </c>
      <c r="D173" s="32" t="s">
        <v>904</v>
      </c>
      <c r="E173" s="38">
        <v>8000.0</v>
      </c>
      <c r="F173" s="36" t="s">
        <v>97</v>
      </c>
      <c r="G173" s="32"/>
      <c r="H173" s="32"/>
      <c r="I173" s="38"/>
      <c r="J173" s="38"/>
      <c r="K173" s="38"/>
      <c r="L173" s="41">
        <f t="shared" si="2"/>
        <v>0</v>
      </c>
      <c r="M173" s="41">
        <f>SUMIFS('04 Payments'!$K$7:$K$400,'04 Payments'!$D$7:$D$400,$B173)</f>
        <v>0</v>
      </c>
      <c r="N173" s="41">
        <f t="shared" si="3"/>
        <v>0</v>
      </c>
      <c r="O173" s="38"/>
      <c r="P173" s="41">
        <f t="shared" si="4"/>
        <v>-8000</v>
      </c>
      <c r="Q173" s="32" t="s">
        <v>117</v>
      </c>
      <c r="R173" s="32"/>
      <c r="S173" s="44"/>
    </row>
    <row r="174" ht="16.5" customHeight="1">
      <c r="A174" s="1"/>
      <c r="B174" s="31" t="s">
        <v>905</v>
      </c>
      <c r="C174" s="32" t="s">
        <v>249</v>
      </c>
      <c r="D174" s="32" t="s">
        <v>906</v>
      </c>
      <c r="E174" s="34">
        <v>10000.0</v>
      </c>
      <c r="F174" s="32" t="s">
        <v>128</v>
      </c>
      <c r="G174" s="36" t="s">
        <v>129</v>
      </c>
      <c r="H174" s="32"/>
      <c r="I174" s="38"/>
      <c r="J174" s="38"/>
      <c r="K174" s="38"/>
      <c r="L174" s="41">
        <f t="shared" si="2"/>
        <v>10000</v>
      </c>
      <c r="M174" s="41">
        <f>SUMIFS('04 Payments'!$K$7:$K$400,'04 Payments'!$D$7:$D$400,$B174)</f>
        <v>0</v>
      </c>
      <c r="N174" s="41">
        <f t="shared" si="3"/>
        <v>10000</v>
      </c>
      <c r="O174" s="38"/>
      <c r="P174" s="41">
        <f t="shared" si="4"/>
        <v>0</v>
      </c>
      <c r="Q174" s="32" t="s">
        <v>117</v>
      </c>
      <c r="R174" s="32"/>
      <c r="S174" s="44"/>
    </row>
    <row r="175" ht="16.5" customHeight="1">
      <c r="A175" s="1"/>
      <c r="B175" s="31" t="s">
        <v>911</v>
      </c>
      <c r="C175" s="32" t="s">
        <v>249</v>
      </c>
      <c r="D175" s="32" t="s">
        <v>912</v>
      </c>
      <c r="E175" s="38">
        <v>1500.0</v>
      </c>
      <c r="F175" s="32" t="s">
        <v>128</v>
      </c>
      <c r="G175" s="36" t="s">
        <v>129</v>
      </c>
      <c r="H175" s="32"/>
      <c r="I175" s="38"/>
      <c r="J175" s="38"/>
      <c r="K175" s="38"/>
      <c r="L175" s="41">
        <f t="shared" si="2"/>
        <v>1500</v>
      </c>
      <c r="M175" s="41">
        <f>SUMIFS('04 Payments'!$K$7:$K$400,'04 Payments'!$D$7:$D$400,$B175)</f>
        <v>0</v>
      </c>
      <c r="N175" s="41">
        <f t="shared" si="3"/>
        <v>1500</v>
      </c>
      <c r="O175" s="38"/>
      <c r="P175" s="41">
        <f t="shared" si="4"/>
        <v>0</v>
      </c>
      <c r="Q175" s="32" t="s">
        <v>117</v>
      </c>
      <c r="R175" s="32"/>
      <c r="S175" s="44"/>
    </row>
    <row r="176" ht="16.5" customHeight="1">
      <c r="A176" s="1"/>
      <c r="B176" s="31" t="s">
        <v>918</v>
      </c>
      <c r="C176" s="32" t="s">
        <v>249</v>
      </c>
      <c r="D176" s="32" t="s">
        <v>920</v>
      </c>
      <c r="E176" s="38">
        <v>1500.0</v>
      </c>
      <c r="F176" s="32" t="s">
        <v>128</v>
      </c>
      <c r="G176" s="36" t="s">
        <v>129</v>
      </c>
      <c r="H176" s="32"/>
      <c r="I176" s="38"/>
      <c r="J176" s="38"/>
      <c r="K176" s="38"/>
      <c r="L176" s="41">
        <f t="shared" si="2"/>
        <v>1500</v>
      </c>
      <c r="M176" s="41">
        <f>SUMIFS('04 Payments'!$K$7:$K$400,'04 Payments'!$D$7:$D$400,$B176)</f>
        <v>0</v>
      </c>
      <c r="N176" s="41">
        <f t="shared" si="3"/>
        <v>1500</v>
      </c>
      <c r="O176" s="38"/>
      <c r="P176" s="41">
        <f t="shared" si="4"/>
        <v>0</v>
      </c>
      <c r="Q176" s="32" t="s">
        <v>117</v>
      </c>
      <c r="R176" s="32"/>
      <c r="S176" s="44"/>
    </row>
    <row r="177" ht="16.5" customHeight="1">
      <c r="A177" s="1"/>
      <c r="B177" s="31" t="s">
        <v>927</v>
      </c>
      <c r="C177" s="32" t="s">
        <v>249</v>
      </c>
      <c r="D177" s="32" t="s">
        <v>928</v>
      </c>
      <c r="E177" s="38">
        <v>5000.0</v>
      </c>
      <c r="F177" s="36" t="s">
        <v>97</v>
      </c>
      <c r="G177" s="32"/>
      <c r="H177" s="32"/>
      <c r="I177" s="38"/>
      <c r="J177" s="38"/>
      <c r="K177" s="38"/>
      <c r="L177" s="41">
        <f t="shared" si="2"/>
        <v>0</v>
      </c>
      <c r="M177" s="41">
        <f>SUMIFS('04 Payments'!$K$7:$K$400,'04 Payments'!$D$7:$D$400,$B177)</f>
        <v>0</v>
      </c>
      <c r="N177" s="41">
        <f t="shared" si="3"/>
        <v>0</v>
      </c>
      <c r="O177" s="38"/>
      <c r="P177" s="41">
        <f t="shared" si="4"/>
        <v>-5000</v>
      </c>
      <c r="Q177" s="32" t="s">
        <v>117</v>
      </c>
      <c r="R177" s="32"/>
      <c r="S177" s="44"/>
    </row>
    <row r="178" ht="16.5" customHeight="1">
      <c r="A178" s="1"/>
      <c r="B178" s="31" t="s">
        <v>935</v>
      </c>
      <c r="C178" s="32" t="s">
        <v>249</v>
      </c>
      <c r="D178" s="32" t="s">
        <v>936</v>
      </c>
      <c r="E178" s="38">
        <v>0.0</v>
      </c>
      <c r="F178" s="32" t="s">
        <v>128</v>
      </c>
      <c r="G178" s="32"/>
      <c r="H178" s="32"/>
      <c r="I178" s="38"/>
      <c r="J178" s="38"/>
      <c r="K178" s="38"/>
      <c r="L178" s="41">
        <f t="shared" si="2"/>
        <v>0</v>
      </c>
      <c r="M178" s="41">
        <f>SUMIFS('04 Payments'!$K$7:$K$400,'04 Payments'!$D$7:$D$400,$B178)</f>
        <v>0</v>
      </c>
      <c r="N178" s="41">
        <f t="shared" si="3"/>
        <v>0</v>
      </c>
      <c r="O178" s="38"/>
      <c r="P178" s="41">
        <f t="shared" si="4"/>
        <v>0</v>
      </c>
      <c r="Q178" s="32" t="s">
        <v>117</v>
      </c>
      <c r="R178" s="32"/>
      <c r="S178" s="44"/>
    </row>
    <row r="179" ht="16.5" customHeight="1">
      <c r="A179" s="1"/>
      <c r="B179" s="31" t="s">
        <v>943</v>
      </c>
      <c r="C179" s="32" t="s">
        <v>249</v>
      </c>
      <c r="D179" s="32" t="s">
        <v>944</v>
      </c>
      <c r="E179" s="34">
        <v>1000.0</v>
      </c>
      <c r="F179" s="32" t="s">
        <v>128</v>
      </c>
      <c r="G179" s="36" t="s">
        <v>129</v>
      </c>
      <c r="H179" s="32"/>
      <c r="I179" s="38"/>
      <c r="J179" s="38"/>
      <c r="K179" s="38"/>
      <c r="L179" s="41">
        <f t="shared" si="2"/>
        <v>1000</v>
      </c>
      <c r="M179" s="41">
        <f>SUMIFS('04 Payments'!$K$7:$K$400,'04 Payments'!$D$7:$D$400,$B179)</f>
        <v>0</v>
      </c>
      <c r="N179" s="41">
        <f t="shared" si="3"/>
        <v>1000</v>
      </c>
      <c r="O179" s="38"/>
      <c r="P179" s="41">
        <f t="shared" si="4"/>
        <v>0</v>
      </c>
      <c r="Q179" s="32" t="s">
        <v>117</v>
      </c>
      <c r="R179" s="32"/>
      <c r="S179" s="44"/>
    </row>
    <row r="180" ht="16.5" customHeight="1">
      <c r="A180" s="1"/>
      <c r="B180" s="31" t="s">
        <v>945</v>
      </c>
      <c r="C180" s="32" t="s">
        <v>254</v>
      </c>
      <c r="D180" s="32" t="s">
        <v>946</v>
      </c>
      <c r="E180" s="38">
        <v>70000.0</v>
      </c>
      <c r="F180" s="36" t="s">
        <v>97</v>
      </c>
      <c r="G180" s="32"/>
      <c r="H180" s="32"/>
      <c r="I180" s="38"/>
      <c r="J180" s="38"/>
      <c r="K180" s="38"/>
      <c r="L180" s="41">
        <f t="shared" si="2"/>
        <v>0</v>
      </c>
      <c r="M180" s="41">
        <f>SUMIFS('04 Payments'!$K$7:$K$400,'04 Payments'!$D$7:$D$400,$B180)</f>
        <v>0</v>
      </c>
      <c r="N180" s="41">
        <f t="shared" si="3"/>
        <v>0</v>
      </c>
      <c r="O180" s="38"/>
      <c r="P180" s="41">
        <f t="shared" si="4"/>
        <v>-70000</v>
      </c>
      <c r="Q180" s="32" t="s">
        <v>117</v>
      </c>
      <c r="R180" s="32"/>
      <c r="S180" s="44"/>
    </row>
    <row r="181" ht="16.5" customHeight="1">
      <c r="A181" s="1"/>
      <c r="B181" s="31" t="s">
        <v>947</v>
      </c>
      <c r="C181" s="32" t="s">
        <v>254</v>
      </c>
      <c r="D181" s="32" t="s">
        <v>948</v>
      </c>
      <c r="E181" s="34">
        <v>10000.0</v>
      </c>
      <c r="F181" s="32" t="s">
        <v>128</v>
      </c>
      <c r="G181" s="36" t="s">
        <v>258</v>
      </c>
      <c r="H181" s="32"/>
      <c r="I181" s="38"/>
      <c r="J181" s="38"/>
      <c r="K181" s="38"/>
      <c r="L181" s="41">
        <f t="shared" si="2"/>
        <v>10000</v>
      </c>
      <c r="M181" s="41">
        <f>SUMIFS('04 Payments'!$K$7:$K$400,'04 Payments'!$D$7:$D$400,$B181)</f>
        <v>0</v>
      </c>
      <c r="N181" s="41">
        <f t="shared" si="3"/>
        <v>10000</v>
      </c>
      <c r="O181" s="38"/>
      <c r="P181" s="41">
        <f t="shared" si="4"/>
        <v>0</v>
      </c>
      <c r="Q181" s="32" t="s">
        <v>117</v>
      </c>
      <c r="R181" s="32"/>
      <c r="S181" s="44"/>
    </row>
    <row r="182" ht="16.5" customHeight="1">
      <c r="A182" s="1"/>
      <c r="B182" s="31" t="s">
        <v>949</v>
      </c>
      <c r="C182" s="32" t="s">
        <v>254</v>
      </c>
      <c r="D182" s="32" t="s">
        <v>951</v>
      </c>
      <c r="E182" s="34">
        <v>20000.0</v>
      </c>
      <c r="F182" s="32" t="s">
        <v>128</v>
      </c>
      <c r="G182" s="36" t="s">
        <v>258</v>
      </c>
      <c r="H182" s="32"/>
      <c r="I182" s="38"/>
      <c r="J182" s="38"/>
      <c r="K182" s="38"/>
      <c r="L182" s="41">
        <f t="shared" si="2"/>
        <v>20000</v>
      </c>
      <c r="M182" s="41">
        <f>SUMIFS('04 Payments'!$K$7:$K$400,'04 Payments'!$D$7:$D$400,$B182)</f>
        <v>0</v>
      </c>
      <c r="N182" s="41">
        <f t="shared" si="3"/>
        <v>20000</v>
      </c>
      <c r="O182" s="38"/>
      <c r="P182" s="41">
        <f t="shared" si="4"/>
        <v>0</v>
      </c>
      <c r="Q182" s="32" t="s">
        <v>117</v>
      </c>
      <c r="R182" s="32"/>
      <c r="S182" s="44"/>
    </row>
    <row r="183" ht="16.5" customHeight="1">
      <c r="A183" s="1"/>
      <c r="B183" s="31" t="s">
        <v>953</v>
      </c>
      <c r="C183" s="32" t="s">
        <v>254</v>
      </c>
      <c r="D183" s="32" t="s">
        <v>954</v>
      </c>
      <c r="E183" s="38">
        <v>30000.0</v>
      </c>
      <c r="F183" s="36" t="s">
        <v>97</v>
      </c>
      <c r="G183" s="32"/>
      <c r="H183" s="32"/>
      <c r="I183" s="38"/>
      <c r="J183" s="38"/>
      <c r="K183" s="38"/>
      <c r="L183" s="41">
        <f t="shared" si="2"/>
        <v>0</v>
      </c>
      <c r="M183" s="41">
        <f>SUMIFS('04 Payments'!$K$7:$K$400,'04 Payments'!$D$7:$D$400,$B183)</f>
        <v>0</v>
      </c>
      <c r="N183" s="41">
        <f t="shared" si="3"/>
        <v>0</v>
      </c>
      <c r="O183" s="38"/>
      <c r="P183" s="41">
        <f t="shared" si="4"/>
        <v>-30000</v>
      </c>
      <c r="Q183" s="32" t="s">
        <v>117</v>
      </c>
      <c r="R183" s="32"/>
      <c r="S183" s="44"/>
    </row>
    <row r="184" ht="16.5" customHeight="1">
      <c r="A184" s="1"/>
      <c r="B184" s="31" t="s">
        <v>955</v>
      </c>
      <c r="C184" s="32" t="s">
        <v>254</v>
      </c>
      <c r="D184" s="32" t="s">
        <v>956</v>
      </c>
      <c r="E184" s="34">
        <v>3000.0</v>
      </c>
      <c r="F184" s="36" t="s">
        <v>240</v>
      </c>
      <c r="G184" s="36" t="s">
        <v>129</v>
      </c>
      <c r="H184" s="32"/>
      <c r="I184" s="38"/>
      <c r="J184" s="38"/>
      <c r="K184" s="38"/>
      <c r="L184" s="41">
        <f t="shared" si="2"/>
        <v>3000</v>
      </c>
      <c r="M184" s="41">
        <f>SUMIFS('04 Payments'!$K$7:$K$400,'04 Payments'!$D$7:$D$400,$B184)</f>
        <v>0</v>
      </c>
      <c r="N184" s="41">
        <f t="shared" si="3"/>
        <v>3000</v>
      </c>
      <c r="O184" s="38"/>
      <c r="P184" s="41">
        <f t="shared" si="4"/>
        <v>0</v>
      </c>
      <c r="Q184" s="32" t="s">
        <v>117</v>
      </c>
      <c r="R184" s="32"/>
      <c r="S184" s="44"/>
    </row>
    <row r="185" ht="16.5" customHeight="1">
      <c r="A185" s="1"/>
      <c r="B185" s="31" t="s">
        <v>957</v>
      </c>
      <c r="C185" s="32" t="s">
        <v>254</v>
      </c>
      <c r="D185" s="32" t="s">
        <v>958</v>
      </c>
      <c r="E185" s="38">
        <v>15000.0</v>
      </c>
      <c r="F185" s="36" t="s">
        <v>97</v>
      </c>
      <c r="G185" s="32"/>
      <c r="H185" s="32"/>
      <c r="I185" s="38"/>
      <c r="J185" s="38"/>
      <c r="K185" s="38"/>
      <c r="L185" s="41">
        <f t="shared" si="2"/>
        <v>0</v>
      </c>
      <c r="M185" s="41">
        <f>SUMIFS('04 Payments'!$K$7:$K$400,'04 Payments'!$D$7:$D$400,$B185)</f>
        <v>0</v>
      </c>
      <c r="N185" s="41">
        <f t="shared" si="3"/>
        <v>0</v>
      </c>
      <c r="O185" s="38"/>
      <c r="P185" s="41">
        <f t="shared" si="4"/>
        <v>-15000</v>
      </c>
      <c r="Q185" s="32" t="s">
        <v>117</v>
      </c>
      <c r="R185" s="32"/>
      <c r="S185" s="44"/>
    </row>
    <row r="186" ht="16.5" customHeight="1">
      <c r="A186" s="1"/>
      <c r="B186" s="31" t="s">
        <v>959</v>
      </c>
      <c r="C186" s="32" t="s">
        <v>260</v>
      </c>
      <c r="D186" s="32" t="s">
        <v>960</v>
      </c>
      <c r="E186" s="38">
        <v>0.0</v>
      </c>
      <c r="F186" s="32" t="s">
        <v>240</v>
      </c>
      <c r="G186" s="32"/>
      <c r="H186" s="32"/>
      <c r="I186" s="38"/>
      <c r="J186" s="38"/>
      <c r="K186" s="38"/>
      <c r="L186" s="41">
        <f t="shared" si="2"/>
        <v>0</v>
      </c>
      <c r="M186" s="41">
        <f>SUMIFS('04 Payments'!$K$7:$K$400,'04 Payments'!$D$7:$D$400,$B186)</f>
        <v>0</v>
      </c>
      <c r="N186" s="41">
        <f t="shared" si="3"/>
        <v>0</v>
      </c>
      <c r="O186" s="38"/>
      <c r="P186" s="41">
        <f t="shared" si="4"/>
        <v>0</v>
      </c>
      <c r="Q186" s="32" t="s">
        <v>117</v>
      </c>
      <c r="R186" s="32"/>
      <c r="S186" s="44"/>
    </row>
    <row r="187" ht="16.5" customHeight="1">
      <c r="A187" s="1"/>
      <c r="B187" s="31" t="s">
        <v>965</v>
      </c>
      <c r="C187" s="32" t="s">
        <v>260</v>
      </c>
      <c r="D187" s="32" t="s">
        <v>966</v>
      </c>
      <c r="E187" s="34">
        <v>10000.0</v>
      </c>
      <c r="F187" s="32" t="s">
        <v>240</v>
      </c>
      <c r="G187" s="36" t="s">
        <v>129</v>
      </c>
      <c r="H187" s="32"/>
      <c r="I187" s="38"/>
      <c r="J187" s="38"/>
      <c r="K187" s="38"/>
      <c r="L187" s="41">
        <f t="shared" si="2"/>
        <v>10000</v>
      </c>
      <c r="M187" s="41">
        <f>SUMIFS('04 Payments'!$K$7:$K$400,'04 Payments'!$D$7:$D$400,$B187)</f>
        <v>0</v>
      </c>
      <c r="N187" s="41">
        <f t="shared" si="3"/>
        <v>10000</v>
      </c>
      <c r="O187" s="38"/>
      <c r="P187" s="41">
        <f t="shared" si="4"/>
        <v>0</v>
      </c>
      <c r="Q187" s="32" t="s">
        <v>117</v>
      </c>
      <c r="R187" s="32"/>
      <c r="S187" s="44"/>
    </row>
    <row r="188" ht="16.5" customHeight="1">
      <c r="A188" s="1"/>
      <c r="B188" s="31" t="s">
        <v>973</v>
      </c>
      <c r="C188" s="32" t="s">
        <v>260</v>
      </c>
      <c r="D188" s="32" t="s">
        <v>974</v>
      </c>
      <c r="E188" s="38">
        <v>0.0</v>
      </c>
      <c r="F188" s="32" t="s">
        <v>240</v>
      </c>
      <c r="G188" s="32"/>
      <c r="H188" s="32"/>
      <c r="I188" s="38"/>
      <c r="J188" s="38"/>
      <c r="K188" s="38"/>
      <c r="L188" s="41">
        <f t="shared" si="2"/>
        <v>0</v>
      </c>
      <c r="M188" s="41">
        <f>SUMIFS('04 Payments'!$K$7:$K$400,'04 Payments'!$D$7:$D$400,$B188)</f>
        <v>0</v>
      </c>
      <c r="N188" s="41">
        <f t="shared" si="3"/>
        <v>0</v>
      </c>
      <c r="O188" s="38"/>
      <c r="P188" s="41">
        <f t="shared" si="4"/>
        <v>0</v>
      </c>
      <c r="Q188" s="32" t="s">
        <v>117</v>
      </c>
      <c r="R188" s="32"/>
      <c r="S188" s="44"/>
    </row>
    <row r="189" ht="16.5" customHeight="1">
      <c r="A189" s="1"/>
      <c r="B189" s="31" t="s">
        <v>981</v>
      </c>
      <c r="C189" s="32" t="s">
        <v>260</v>
      </c>
      <c r="D189" s="32" t="s">
        <v>982</v>
      </c>
      <c r="E189" s="38">
        <v>0.0</v>
      </c>
      <c r="F189" s="32" t="s">
        <v>240</v>
      </c>
      <c r="G189" s="32"/>
      <c r="H189" s="32"/>
      <c r="I189" s="38"/>
      <c r="J189" s="38"/>
      <c r="K189" s="38"/>
      <c r="L189" s="41">
        <f t="shared" si="2"/>
        <v>0</v>
      </c>
      <c r="M189" s="41">
        <f>SUMIFS('04 Payments'!$K$7:$K$400,'04 Payments'!$D$7:$D$400,$B189)</f>
        <v>0</v>
      </c>
      <c r="N189" s="41">
        <f t="shared" si="3"/>
        <v>0</v>
      </c>
      <c r="O189" s="38"/>
      <c r="P189" s="41">
        <f t="shared" si="4"/>
        <v>0</v>
      </c>
      <c r="Q189" s="32" t="s">
        <v>117</v>
      </c>
      <c r="R189" s="32"/>
      <c r="S189" s="44"/>
    </row>
    <row r="190" ht="16.5" customHeight="1">
      <c r="A190" s="1"/>
      <c r="B190" s="31" t="s">
        <v>989</v>
      </c>
      <c r="C190" s="32" t="s">
        <v>260</v>
      </c>
      <c r="D190" s="32" t="s">
        <v>990</v>
      </c>
      <c r="E190" s="38">
        <v>0.0</v>
      </c>
      <c r="F190" s="32" t="s">
        <v>97</v>
      </c>
      <c r="G190" s="32"/>
      <c r="H190" s="32"/>
      <c r="I190" s="38"/>
      <c r="J190" s="38"/>
      <c r="K190" s="38"/>
      <c r="L190" s="41">
        <f t="shared" si="2"/>
        <v>0</v>
      </c>
      <c r="M190" s="41">
        <f>SUMIFS('04 Payments'!$K$7:$K$400,'04 Payments'!$D$7:$D$400,$B190)</f>
        <v>0</v>
      </c>
      <c r="N190" s="41">
        <f t="shared" si="3"/>
        <v>0</v>
      </c>
      <c r="O190" s="38"/>
      <c r="P190" s="41">
        <f t="shared" si="4"/>
        <v>0</v>
      </c>
      <c r="Q190" s="32" t="s">
        <v>117</v>
      </c>
      <c r="R190" s="32"/>
      <c r="S190" s="44"/>
    </row>
    <row r="191" ht="16.5" customHeight="1">
      <c r="A191" s="1"/>
      <c r="B191" s="31" t="s">
        <v>993</v>
      </c>
      <c r="C191" s="32" t="s">
        <v>260</v>
      </c>
      <c r="D191" s="32" t="s">
        <v>994</v>
      </c>
      <c r="E191" s="38">
        <v>6000.0</v>
      </c>
      <c r="F191" s="32" t="s">
        <v>240</v>
      </c>
      <c r="G191" s="36" t="s">
        <v>395</v>
      </c>
      <c r="H191" s="32"/>
      <c r="I191" s="38"/>
      <c r="J191" s="38"/>
      <c r="K191" s="38"/>
      <c r="L191" s="41">
        <f t="shared" si="2"/>
        <v>6000</v>
      </c>
      <c r="M191" s="41">
        <f>SUMIFS('04 Payments'!$K$7:$K$400,'04 Payments'!$D$7:$D$400,$B191)</f>
        <v>0</v>
      </c>
      <c r="N191" s="41">
        <f t="shared" si="3"/>
        <v>6000</v>
      </c>
      <c r="O191" s="38"/>
      <c r="P191" s="41">
        <f t="shared" si="4"/>
        <v>0</v>
      </c>
      <c r="Q191" s="32" t="s">
        <v>117</v>
      </c>
      <c r="R191" s="32"/>
      <c r="S191" s="44"/>
    </row>
    <row r="192" ht="16.5" customHeight="1">
      <c r="A192" s="1"/>
      <c r="B192" s="31" t="s">
        <v>996</v>
      </c>
      <c r="C192" s="32" t="s">
        <v>260</v>
      </c>
      <c r="D192" s="32" t="s">
        <v>997</v>
      </c>
      <c r="E192" s="38">
        <v>10000.0</v>
      </c>
      <c r="F192" s="32" t="s">
        <v>240</v>
      </c>
      <c r="G192" s="36" t="s">
        <v>129</v>
      </c>
      <c r="H192" s="32"/>
      <c r="I192" s="38"/>
      <c r="J192" s="38"/>
      <c r="K192" s="38"/>
      <c r="L192" s="41">
        <f t="shared" si="2"/>
        <v>10000</v>
      </c>
      <c r="M192" s="41">
        <f>SUMIFS('04 Payments'!$K$7:$K$400,'04 Payments'!$D$7:$D$400,$B192)</f>
        <v>0</v>
      </c>
      <c r="N192" s="41">
        <f t="shared" si="3"/>
        <v>10000</v>
      </c>
      <c r="O192" s="38"/>
      <c r="P192" s="41">
        <f t="shared" si="4"/>
        <v>0</v>
      </c>
      <c r="Q192" s="32" t="s">
        <v>117</v>
      </c>
      <c r="R192" s="32"/>
      <c r="S192" s="44"/>
    </row>
    <row r="193" ht="16.5" customHeight="1">
      <c r="A193" s="1"/>
      <c r="B193" s="31" t="s">
        <v>998</v>
      </c>
      <c r="C193" s="32" t="s">
        <v>260</v>
      </c>
      <c r="D193" s="32" t="s">
        <v>1000</v>
      </c>
      <c r="E193" s="38">
        <v>15000.0</v>
      </c>
      <c r="F193" s="36" t="s">
        <v>97</v>
      </c>
      <c r="G193" s="32"/>
      <c r="H193" s="32"/>
      <c r="I193" s="38"/>
      <c r="J193" s="38"/>
      <c r="K193" s="38"/>
      <c r="L193" s="41">
        <f t="shared" si="2"/>
        <v>0</v>
      </c>
      <c r="M193" s="41">
        <f>SUMIFS('04 Payments'!$K$7:$K$400,'04 Payments'!$D$7:$D$400,$B193)</f>
        <v>0</v>
      </c>
      <c r="N193" s="41">
        <f t="shared" si="3"/>
        <v>0</v>
      </c>
      <c r="O193" s="38"/>
      <c r="P193" s="41">
        <f t="shared" si="4"/>
        <v>-15000</v>
      </c>
      <c r="Q193" s="32" t="s">
        <v>117</v>
      </c>
      <c r="R193" s="32"/>
      <c r="S193" s="44"/>
    </row>
    <row r="194" ht="16.5" customHeight="1">
      <c r="A194" s="1"/>
      <c r="B194" s="31" t="s">
        <v>1001</v>
      </c>
      <c r="C194" s="32" t="s">
        <v>270</v>
      </c>
      <c r="D194" s="32" t="s">
        <v>1002</v>
      </c>
      <c r="E194" s="38">
        <v>90000.0</v>
      </c>
      <c r="F194" s="36" t="s">
        <v>97</v>
      </c>
      <c r="G194" s="32"/>
      <c r="H194" s="32"/>
      <c r="I194" s="38"/>
      <c r="J194" s="38"/>
      <c r="K194" s="38"/>
      <c r="L194" s="41">
        <f t="shared" si="2"/>
        <v>0</v>
      </c>
      <c r="M194" s="41">
        <f>SUMIFS('04 Payments'!$K$7:$K$400,'04 Payments'!$D$7:$D$400,$B194)</f>
        <v>0</v>
      </c>
      <c r="N194" s="41">
        <f t="shared" si="3"/>
        <v>0</v>
      </c>
      <c r="O194" s="38"/>
      <c r="P194" s="41">
        <f t="shared" si="4"/>
        <v>-90000</v>
      </c>
      <c r="Q194" s="32" t="s">
        <v>117</v>
      </c>
      <c r="R194" s="32"/>
      <c r="S194" s="44"/>
    </row>
    <row r="195" ht="16.5" customHeight="1">
      <c r="A195" s="1"/>
      <c r="B195" s="31" t="s">
        <v>1003</v>
      </c>
      <c r="C195" s="32" t="s">
        <v>270</v>
      </c>
      <c r="D195" s="32" t="s">
        <v>1004</v>
      </c>
      <c r="E195" s="38">
        <v>10000.0</v>
      </c>
      <c r="F195" s="36" t="s">
        <v>97</v>
      </c>
      <c r="G195" s="32"/>
      <c r="H195" s="32"/>
      <c r="I195" s="38"/>
      <c r="J195" s="38"/>
      <c r="K195" s="38"/>
      <c r="L195" s="41">
        <f t="shared" si="2"/>
        <v>0</v>
      </c>
      <c r="M195" s="41">
        <f>SUMIFS('04 Payments'!$K$7:$K$400,'04 Payments'!$D$7:$D$400,$B195)</f>
        <v>0</v>
      </c>
      <c r="N195" s="41">
        <f t="shared" si="3"/>
        <v>0</v>
      </c>
      <c r="O195" s="38"/>
      <c r="P195" s="41">
        <f t="shared" si="4"/>
        <v>-10000</v>
      </c>
      <c r="Q195" s="32" t="s">
        <v>117</v>
      </c>
      <c r="R195" s="32"/>
      <c r="S195" s="44"/>
    </row>
    <row r="196" ht="16.5" customHeight="1">
      <c r="A196" s="1"/>
      <c r="B196" s="31" t="s">
        <v>1005</v>
      </c>
      <c r="C196" s="32" t="s">
        <v>270</v>
      </c>
      <c r="D196" s="32" t="s">
        <v>1006</v>
      </c>
      <c r="E196" s="38">
        <v>0.0</v>
      </c>
      <c r="F196" s="32" t="s">
        <v>240</v>
      </c>
      <c r="G196" s="32"/>
      <c r="H196" s="32"/>
      <c r="I196" s="38"/>
      <c r="J196" s="38"/>
      <c r="K196" s="38"/>
      <c r="L196" s="41">
        <f t="shared" si="2"/>
        <v>0</v>
      </c>
      <c r="M196" s="41">
        <f>SUMIFS('04 Payments'!$K$7:$K$400,'04 Payments'!$D$7:$D$400,$B196)</f>
        <v>0</v>
      </c>
      <c r="N196" s="41">
        <f t="shared" si="3"/>
        <v>0</v>
      </c>
      <c r="O196" s="38"/>
      <c r="P196" s="41">
        <f t="shared" si="4"/>
        <v>0</v>
      </c>
      <c r="Q196" s="32" t="s">
        <v>117</v>
      </c>
      <c r="R196" s="32"/>
      <c r="S196" s="44"/>
    </row>
    <row r="197" ht="16.5" customHeight="1">
      <c r="A197" s="1"/>
      <c r="B197" s="31" t="s">
        <v>1009</v>
      </c>
      <c r="C197" s="32" t="s">
        <v>270</v>
      </c>
      <c r="D197" s="32" t="s">
        <v>1010</v>
      </c>
      <c r="E197" s="38">
        <v>5000.0</v>
      </c>
      <c r="F197" s="36" t="s">
        <v>97</v>
      </c>
      <c r="G197" s="32"/>
      <c r="H197" s="32"/>
      <c r="I197" s="38"/>
      <c r="J197" s="38"/>
      <c r="K197" s="38"/>
      <c r="L197" s="41">
        <f t="shared" si="2"/>
        <v>0</v>
      </c>
      <c r="M197" s="41">
        <f>SUMIFS('04 Payments'!$K$7:$K$400,'04 Payments'!$D$7:$D$400,$B197)</f>
        <v>0</v>
      </c>
      <c r="N197" s="41">
        <f t="shared" si="3"/>
        <v>0</v>
      </c>
      <c r="O197" s="38"/>
      <c r="P197" s="41">
        <f t="shared" si="4"/>
        <v>-5000</v>
      </c>
      <c r="Q197" s="32" t="s">
        <v>117</v>
      </c>
      <c r="R197" s="32"/>
      <c r="S197" s="44"/>
    </row>
    <row r="198" ht="16.5" customHeight="1">
      <c r="A198" s="1"/>
      <c r="B198" s="31" t="s">
        <v>1017</v>
      </c>
      <c r="C198" s="32" t="s">
        <v>270</v>
      </c>
      <c r="D198" s="32" t="s">
        <v>1019</v>
      </c>
      <c r="E198" s="38">
        <v>3000.0</v>
      </c>
      <c r="F198" s="36" t="s">
        <v>97</v>
      </c>
      <c r="G198" s="32"/>
      <c r="H198" s="32"/>
      <c r="I198" s="38"/>
      <c r="J198" s="38"/>
      <c r="K198" s="38"/>
      <c r="L198" s="41">
        <f t="shared" si="2"/>
        <v>0</v>
      </c>
      <c r="M198" s="41">
        <f>SUMIFS('04 Payments'!$K$7:$K$400,'04 Payments'!$D$7:$D$400,$B198)</f>
        <v>0</v>
      </c>
      <c r="N198" s="41">
        <f t="shared" si="3"/>
        <v>0</v>
      </c>
      <c r="O198" s="38"/>
      <c r="P198" s="41">
        <f t="shared" si="4"/>
        <v>-3000</v>
      </c>
      <c r="Q198" s="32" t="s">
        <v>117</v>
      </c>
      <c r="R198" s="32"/>
      <c r="S198" s="44"/>
    </row>
    <row r="199" ht="16.5" customHeight="1">
      <c r="A199" s="1"/>
      <c r="B199" s="31" t="s">
        <v>1027</v>
      </c>
      <c r="C199" s="32" t="s">
        <v>270</v>
      </c>
      <c r="D199" s="32" t="s">
        <v>1028</v>
      </c>
      <c r="E199" s="38">
        <v>25000.0</v>
      </c>
      <c r="F199" s="32" t="s">
        <v>128</v>
      </c>
      <c r="G199" s="36" t="s">
        <v>258</v>
      </c>
      <c r="H199" s="32"/>
      <c r="I199" s="38"/>
      <c r="J199" s="38"/>
      <c r="K199" s="38"/>
      <c r="L199" s="41">
        <f t="shared" si="2"/>
        <v>25000</v>
      </c>
      <c r="M199" s="41">
        <f>SUMIFS('04 Payments'!$K$7:$K$400,'04 Payments'!$D$7:$D$400,$B199)</f>
        <v>0</v>
      </c>
      <c r="N199" s="41">
        <f t="shared" si="3"/>
        <v>25000</v>
      </c>
      <c r="O199" s="38"/>
      <c r="P199" s="41">
        <f t="shared" si="4"/>
        <v>0</v>
      </c>
      <c r="Q199" s="32" t="s">
        <v>117</v>
      </c>
      <c r="R199" s="32"/>
      <c r="S199" s="44"/>
    </row>
    <row r="200" ht="16.5" customHeight="1">
      <c r="A200" s="1"/>
      <c r="B200" s="31" t="s">
        <v>1035</v>
      </c>
      <c r="C200" s="32" t="s">
        <v>270</v>
      </c>
      <c r="D200" s="32" t="s">
        <v>1037</v>
      </c>
      <c r="E200" s="34">
        <v>100000.0</v>
      </c>
      <c r="F200" s="32" t="s">
        <v>128</v>
      </c>
      <c r="G200" s="32" t="s">
        <v>1038</v>
      </c>
      <c r="H200" s="32"/>
      <c r="I200" s="38"/>
      <c r="J200" s="38"/>
      <c r="K200" s="38"/>
      <c r="L200" s="41">
        <f t="shared" si="2"/>
        <v>100000</v>
      </c>
      <c r="M200" s="41">
        <f>SUMIFS('04 Payments'!$K$7:$K$400,'04 Payments'!$D$7:$D$400,$B200)</f>
        <v>0</v>
      </c>
      <c r="N200" s="41">
        <f t="shared" si="3"/>
        <v>100000</v>
      </c>
      <c r="O200" s="38"/>
      <c r="P200" s="41">
        <f t="shared" si="4"/>
        <v>0</v>
      </c>
      <c r="Q200" s="32" t="s">
        <v>117</v>
      </c>
      <c r="R200" s="32"/>
      <c r="S200" s="44"/>
    </row>
    <row r="201" ht="16.5" customHeight="1">
      <c r="A201" s="1"/>
      <c r="B201" s="32"/>
      <c r="C201" s="32"/>
      <c r="D201" s="32"/>
      <c r="E201" s="38"/>
      <c r="F201" s="32"/>
      <c r="G201" s="32"/>
      <c r="H201" s="32"/>
      <c r="I201" s="38"/>
      <c r="J201" s="38"/>
      <c r="K201" s="38"/>
      <c r="L201" s="41" t="str">
        <f t="shared" si="2"/>
        <v/>
      </c>
      <c r="M201" s="41">
        <f>SUMIFS('04 Payments'!$K$7:$K$400,'04 Payments'!$D$7:$D$400,$B201)</f>
        <v>0</v>
      </c>
      <c r="N201" s="41">
        <f t="shared" si="3"/>
        <v>0</v>
      </c>
      <c r="O201" s="38"/>
      <c r="P201" s="41">
        <f t="shared" si="4"/>
        <v>0</v>
      </c>
      <c r="Q201" s="32"/>
      <c r="R201" s="32"/>
      <c r="S201" s="44"/>
    </row>
    <row r="202" ht="16.5" customHeight="1">
      <c r="A202" s="1"/>
      <c r="B202" s="32"/>
      <c r="C202" s="32"/>
      <c r="D202" s="32"/>
      <c r="E202" s="38"/>
      <c r="F202" s="32"/>
      <c r="G202" s="32"/>
      <c r="H202" s="32"/>
      <c r="I202" s="38"/>
      <c r="J202" s="38"/>
      <c r="K202" s="38"/>
      <c r="L202" s="41" t="str">
        <f t="shared" si="2"/>
        <v/>
      </c>
      <c r="M202" s="41">
        <f>SUMIFS('04 Payments'!$K$7:$K$400,'04 Payments'!$D$7:$D$400,$B202)</f>
        <v>0</v>
      </c>
      <c r="N202" s="41">
        <f t="shared" si="3"/>
        <v>0</v>
      </c>
      <c r="O202" s="38"/>
      <c r="P202" s="41">
        <f t="shared" si="4"/>
        <v>0</v>
      </c>
      <c r="Q202" s="32"/>
      <c r="R202" s="32"/>
      <c r="S202" s="44"/>
    </row>
    <row r="203" ht="16.5" customHeight="1">
      <c r="A203" s="1"/>
      <c r="B203" s="32"/>
      <c r="C203" s="32"/>
      <c r="D203" s="32"/>
      <c r="E203" s="38"/>
      <c r="F203" s="32"/>
      <c r="G203" s="32"/>
      <c r="H203" s="32"/>
      <c r="I203" s="38"/>
      <c r="J203" s="38"/>
      <c r="K203" s="38"/>
      <c r="L203" s="41" t="str">
        <f t="shared" si="2"/>
        <v/>
      </c>
      <c r="M203" s="41">
        <f>SUMIFS('04 Payments'!$K$7:$K$400,'04 Payments'!$D$7:$D$400,$B203)</f>
        <v>0</v>
      </c>
      <c r="N203" s="41">
        <f t="shared" si="3"/>
        <v>0</v>
      </c>
      <c r="O203" s="38"/>
      <c r="P203" s="41">
        <f t="shared" si="4"/>
        <v>0</v>
      </c>
      <c r="Q203" s="32"/>
      <c r="R203" s="32"/>
      <c r="S203" s="44"/>
    </row>
    <row r="204" ht="16.5" customHeight="1">
      <c r="A204" s="1"/>
      <c r="B204" s="32"/>
      <c r="C204" s="32"/>
      <c r="D204" s="32"/>
      <c r="E204" s="38"/>
      <c r="F204" s="32"/>
      <c r="G204" s="32"/>
      <c r="H204" s="32"/>
      <c r="I204" s="38"/>
      <c r="J204" s="38"/>
      <c r="K204" s="38"/>
      <c r="L204" s="41" t="str">
        <f t="shared" si="2"/>
        <v/>
      </c>
      <c r="M204" s="41">
        <f>SUMIFS('04 Payments'!$K$7:$K$400,'04 Payments'!$D$7:$D$400,$B204)</f>
        <v>0</v>
      </c>
      <c r="N204" s="41">
        <f t="shared" si="3"/>
        <v>0</v>
      </c>
      <c r="O204" s="38"/>
      <c r="P204" s="41">
        <f t="shared" si="4"/>
        <v>0</v>
      </c>
      <c r="Q204" s="32"/>
      <c r="R204" s="32"/>
      <c r="S204" s="44"/>
    </row>
    <row r="205" ht="16.5" customHeight="1">
      <c r="A205" s="1"/>
      <c r="B205" s="32"/>
      <c r="C205" s="32"/>
      <c r="D205" s="32"/>
      <c r="E205" s="38"/>
      <c r="F205" s="32"/>
      <c r="G205" s="32"/>
      <c r="H205" s="32"/>
      <c r="I205" s="38"/>
      <c r="J205" s="38"/>
      <c r="K205" s="38"/>
      <c r="L205" s="41" t="str">
        <f t="shared" si="2"/>
        <v/>
      </c>
      <c r="M205" s="41">
        <f>SUMIFS('04 Payments'!$K$7:$K$400,'04 Payments'!$D$7:$D$400,$B205)</f>
        <v>0</v>
      </c>
      <c r="N205" s="41">
        <f t="shared" si="3"/>
        <v>0</v>
      </c>
      <c r="O205" s="38"/>
      <c r="P205" s="41">
        <f t="shared" si="4"/>
        <v>0</v>
      </c>
      <c r="Q205" s="32"/>
      <c r="R205" s="32"/>
      <c r="S205" s="44"/>
    </row>
    <row r="206" ht="16.5" customHeight="1">
      <c r="A206" s="1"/>
      <c r="B206" s="32"/>
      <c r="C206" s="32"/>
      <c r="D206" s="32"/>
      <c r="E206" s="38"/>
      <c r="F206" s="32"/>
      <c r="G206" s="32"/>
      <c r="H206" s="32"/>
      <c r="I206" s="38"/>
      <c r="J206" s="38"/>
      <c r="K206" s="38"/>
      <c r="L206" s="41" t="str">
        <f t="shared" si="2"/>
        <v/>
      </c>
      <c r="M206" s="41">
        <f>SUMIFS('04 Payments'!$K$7:$K$400,'04 Payments'!$D$7:$D$400,$B206)</f>
        <v>0</v>
      </c>
      <c r="N206" s="41">
        <f t="shared" si="3"/>
        <v>0</v>
      </c>
      <c r="O206" s="38"/>
      <c r="P206" s="41">
        <f t="shared" si="4"/>
        <v>0</v>
      </c>
      <c r="Q206" s="32"/>
      <c r="R206" s="32"/>
      <c r="S206" s="44"/>
    </row>
    <row r="207" ht="16.5" customHeight="1">
      <c r="A207" s="1"/>
      <c r="B207" s="32"/>
      <c r="C207" s="32"/>
      <c r="D207" s="32"/>
      <c r="E207" s="38"/>
      <c r="F207" s="32"/>
      <c r="G207" s="32"/>
      <c r="H207" s="32"/>
      <c r="I207" s="38"/>
      <c r="J207" s="38"/>
      <c r="K207" s="38"/>
      <c r="L207" s="41" t="str">
        <f t="shared" si="2"/>
        <v/>
      </c>
      <c r="M207" s="41">
        <f>SUMIFS('04 Payments'!$K$7:$K$400,'04 Payments'!$D$7:$D$400,$B207)</f>
        <v>0</v>
      </c>
      <c r="N207" s="41">
        <f t="shared" si="3"/>
        <v>0</v>
      </c>
      <c r="O207" s="38"/>
      <c r="P207" s="41">
        <f t="shared" si="4"/>
        <v>0</v>
      </c>
      <c r="Q207" s="32"/>
      <c r="R207" s="32"/>
      <c r="S207" s="44"/>
    </row>
    <row r="208" ht="16.5" customHeight="1">
      <c r="A208" s="1"/>
      <c r="B208" s="32"/>
      <c r="C208" s="32"/>
      <c r="D208" s="32"/>
      <c r="E208" s="38"/>
      <c r="F208" s="32"/>
      <c r="G208" s="32"/>
      <c r="H208" s="32"/>
      <c r="I208" s="38"/>
      <c r="J208" s="38"/>
      <c r="K208" s="38"/>
      <c r="L208" s="41" t="str">
        <f t="shared" si="2"/>
        <v/>
      </c>
      <c r="M208" s="41">
        <f>SUMIFS('04 Payments'!$K$7:$K$400,'04 Payments'!$D$7:$D$400,$B208)</f>
        <v>0</v>
      </c>
      <c r="N208" s="41">
        <f t="shared" si="3"/>
        <v>0</v>
      </c>
      <c r="O208" s="38"/>
      <c r="P208" s="41">
        <f t="shared" si="4"/>
        <v>0</v>
      </c>
      <c r="Q208" s="32"/>
      <c r="R208" s="32"/>
      <c r="S208" s="44"/>
    </row>
    <row r="209" ht="16.5" customHeight="1">
      <c r="A209" s="1"/>
      <c r="B209" s="32"/>
      <c r="C209" s="32"/>
      <c r="D209" s="32"/>
      <c r="E209" s="38"/>
      <c r="F209" s="32"/>
      <c r="G209" s="32"/>
      <c r="H209" s="32"/>
      <c r="I209" s="38"/>
      <c r="J209" s="38"/>
      <c r="K209" s="38"/>
      <c r="L209" s="41" t="str">
        <f t="shared" si="2"/>
        <v/>
      </c>
      <c r="M209" s="41">
        <f>SUMIFS('04 Payments'!$K$7:$K$400,'04 Payments'!$D$7:$D$400,$B209)</f>
        <v>0</v>
      </c>
      <c r="N209" s="41">
        <f t="shared" si="3"/>
        <v>0</v>
      </c>
      <c r="O209" s="38"/>
      <c r="P209" s="41">
        <f t="shared" si="4"/>
        <v>0</v>
      </c>
      <c r="Q209" s="32"/>
      <c r="R209" s="32"/>
      <c r="S209" s="44"/>
    </row>
    <row r="210" ht="16.5" customHeight="1">
      <c r="A210" s="1"/>
      <c r="B210" s="32"/>
      <c r="C210" s="32"/>
      <c r="D210" s="32"/>
      <c r="E210" s="38"/>
      <c r="F210" s="32"/>
      <c r="G210" s="32"/>
      <c r="H210" s="32"/>
      <c r="I210" s="38"/>
      <c r="J210" s="38"/>
      <c r="K210" s="38"/>
      <c r="L210" s="41" t="str">
        <f t="shared" si="2"/>
        <v/>
      </c>
      <c r="M210" s="41">
        <f>SUMIFS('04 Payments'!$K$7:$K$400,'04 Payments'!$D$7:$D$400,$B210)</f>
        <v>0</v>
      </c>
      <c r="N210" s="41">
        <f t="shared" si="3"/>
        <v>0</v>
      </c>
      <c r="O210" s="38"/>
      <c r="P210" s="41">
        <f t="shared" si="4"/>
        <v>0</v>
      </c>
      <c r="Q210" s="32"/>
      <c r="R210" s="32"/>
      <c r="S210" s="44"/>
    </row>
    <row r="211" ht="16.5" customHeight="1">
      <c r="A211" s="1"/>
      <c r="B211" s="32"/>
      <c r="C211" s="32"/>
      <c r="D211" s="32"/>
      <c r="E211" s="38"/>
      <c r="F211" s="32"/>
      <c r="G211" s="32"/>
      <c r="H211" s="32"/>
      <c r="I211" s="38"/>
      <c r="J211" s="38"/>
      <c r="K211" s="38"/>
      <c r="L211" s="41" t="str">
        <f t="shared" si="2"/>
        <v/>
      </c>
      <c r="M211" s="41">
        <f>SUMIFS('04 Payments'!$K$7:$K$400,'04 Payments'!$D$7:$D$400,$B211)</f>
        <v>0</v>
      </c>
      <c r="N211" s="41">
        <f t="shared" si="3"/>
        <v>0</v>
      </c>
      <c r="O211" s="38"/>
      <c r="P211" s="41">
        <f t="shared" si="4"/>
        <v>0</v>
      </c>
      <c r="Q211" s="32"/>
      <c r="R211" s="32"/>
      <c r="S211" s="44"/>
    </row>
    <row r="212" ht="16.5" customHeight="1">
      <c r="A212" s="1"/>
      <c r="B212" s="32"/>
      <c r="C212" s="32"/>
      <c r="D212" s="32"/>
      <c r="E212" s="38"/>
      <c r="F212" s="32"/>
      <c r="G212" s="32"/>
      <c r="H212" s="32"/>
      <c r="I212" s="38"/>
      <c r="J212" s="38"/>
      <c r="K212" s="38"/>
      <c r="L212" s="41" t="str">
        <f t="shared" si="2"/>
        <v/>
      </c>
      <c r="M212" s="41">
        <f>SUMIFS('04 Payments'!$K$7:$K$400,'04 Payments'!$D$7:$D$400,$B212)</f>
        <v>0</v>
      </c>
      <c r="N212" s="41">
        <f t="shared" si="3"/>
        <v>0</v>
      </c>
      <c r="O212" s="38"/>
      <c r="P212" s="41">
        <f t="shared" si="4"/>
        <v>0</v>
      </c>
      <c r="Q212" s="32"/>
      <c r="R212" s="32"/>
      <c r="S212" s="44"/>
    </row>
    <row r="213" ht="16.5" customHeight="1">
      <c r="A213" s="1"/>
      <c r="B213" s="32"/>
      <c r="C213" s="32"/>
      <c r="D213" s="32"/>
      <c r="E213" s="38"/>
      <c r="F213" s="32"/>
      <c r="G213" s="32"/>
      <c r="H213" s="32"/>
      <c r="I213" s="38"/>
      <c r="J213" s="38"/>
      <c r="K213" s="38"/>
      <c r="L213" s="41" t="str">
        <f t="shared" si="2"/>
        <v/>
      </c>
      <c r="M213" s="41">
        <f>SUMIFS('04 Payments'!$K$7:$K$400,'04 Payments'!$D$7:$D$400,$B213)</f>
        <v>0</v>
      </c>
      <c r="N213" s="41">
        <f t="shared" si="3"/>
        <v>0</v>
      </c>
      <c r="O213" s="38"/>
      <c r="P213" s="41">
        <f t="shared" si="4"/>
        <v>0</v>
      </c>
      <c r="Q213" s="32"/>
      <c r="R213" s="32"/>
      <c r="S213" s="44"/>
    </row>
    <row r="214" ht="16.5" customHeight="1">
      <c r="A214" s="1"/>
      <c r="B214" s="32"/>
      <c r="C214" s="32"/>
      <c r="D214" s="32"/>
      <c r="E214" s="38"/>
      <c r="F214" s="32"/>
      <c r="G214" s="32"/>
      <c r="H214" s="32"/>
      <c r="I214" s="38"/>
      <c r="J214" s="38"/>
      <c r="K214" s="38"/>
      <c r="L214" s="41" t="str">
        <f t="shared" si="2"/>
        <v/>
      </c>
      <c r="M214" s="41">
        <f>SUMIFS('04 Payments'!$K$7:$K$400,'04 Payments'!$D$7:$D$400,$B214)</f>
        <v>0</v>
      </c>
      <c r="N214" s="41">
        <f t="shared" si="3"/>
        <v>0</v>
      </c>
      <c r="O214" s="38"/>
      <c r="P214" s="41">
        <f t="shared" si="4"/>
        <v>0</v>
      </c>
      <c r="Q214" s="32"/>
      <c r="R214" s="32"/>
      <c r="S214" s="44"/>
    </row>
    <row r="215" ht="16.5" customHeight="1">
      <c r="A215" s="1"/>
      <c r="B215" s="32"/>
      <c r="C215" s="32"/>
      <c r="D215" s="32"/>
      <c r="E215" s="38"/>
      <c r="F215" s="32"/>
      <c r="G215" s="32"/>
      <c r="H215" s="32"/>
      <c r="I215" s="38"/>
      <c r="J215" s="38"/>
      <c r="K215" s="38"/>
      <c r="L215" s="41" t="str">
        <f t="shared" si="2"/>
        <v/>
      </c>
      <c r="M215" s="41">
        <f>SUMIFS('04 Payments'!$K$7:$K$400,'04 Payments'!$D$7:$D$400,$B215)</f>
        <v>0</v>
      </c>
      <c r="N215" s="41">
        <f t="shared" si="3"/>
        <v>0</v>
      </c>
      <c r="O215" s="38"/>
      <c r="P215" s="41">
        <f t="shared" si="4"/>
        <v>0</v>
      </c>
      <c r="Q215" s="32"/>
      <c r="R215" s="32"/>
      <c r="S215" s="44"/>
    </row>
    <row r="216" ht="16.5" customHeight="1">
      <c r="A216" s="1"/>
      <c r="B216" s="32"/>
      <c r="C216" s="32"/>
      <c r="D216" s="32"/>
      <c r="E216" s="38"/>
      <c r="F216" s="32"/>
      <c r="G216" s="32"/>
      <c r="H216" s="32"/>
      <c r="I216" s="38"/>
      <c r="J216" s="38"/>
      <c r="K216" s="38"/>
      <c r="L216" s="41" t="str">
        <f t="shared" si="2"/>
        <v/>
      </c>
      <c r="M216" s="41">
        <f>SUMIFS('04 Payments'!$K$7:$K$400,'04 Payments'!$D$7:$D$400,$B216)</f>
        <v>0</v>
      </c>
      <c r="N216" s="41">
        <f t="shared" si="3"/>
        <v>0</v>
      </c>
      <c r="O216" s="38"/>
      <c r="P216" s="41">
        <f t="shared" si="4"/>
        <v>0</v>
      </c>
      <c r="Q216" s="32"/>
      <c r="R216" s="32"/>
      <c r="S216" s="44"/>
    </row>
    <row r="217" ht="16.5" customHeight="1">
      <c r="A217" s="1"/>
      <c r="B217" s="32"/>
      <c r="C217" s="32"/>
      <c r="D217" s="32"/>
      <c r="E217" s="38"/>
      <c r="F217" s="32"/>
      <c r="G217" s="32"/>
      <c r="H217" s="32"/>
      <c r="I217" s="38"/>
      <c r="J217" s="38"/>
      <c r="K217" s="38"/>
      <c r="L217" s="41" t="str">
        <f t="shared" si="2"/>
        <v/>
      </c>
      <c r="M217" s="41">
        <f>SUMIFS('04 Payments'!$K$7:$K$400,'04 Payments'!$D$7:$D$400,$B217)</f>
        <v>0</v>
      </c>
      <c r="N217" s="41">
        <f t="shared" si="3"/>
        <v>0</v>
      </c>
      <c r="O217" s="38"/>
      <c r="P217" s="41">
        <f t="shared" si="4"/>
        <v>0</v>
      </c>
      <c r="Q217" s="32"/>
      <c r="R217" s="32"/>
      <c r="S217" s="44"/>
    </row>
    <row r="218" ht="16.5" customHeight="1">
      <c r="A218" s="1"/>
      <c r="B218" s="32"/>
      <c r="C218" s="32"/>
      <c r="D218" s="32"/>
      <c r="E218" s="38"/>
      <c r="F218" s="32"/>
      <c r="G218" s="32"/>
      <c r="H218" s="32"/>
      <c r="I218" s="38"/>
      <c r="J218" s="38"/>
      <c r="K218" s="38"/>
      <c r="L218" s="41" t="str">
        <f t="shared" si="2"/>
        <v/>
      </c>
      <c r="M218" s="41">
        <f>SUMIFS('04 Payments'!$K$7:$K$400,'04 Payments'!$D$7:$D$400,$B218)</f>
        <v>0</v>
      </c>
      <c r="N218" s="41">
        <f t="shared" si="3"/>
        <v>0</v>
      </c>
      <c r="O218" s="38"/>
      <c r="P218" s="41">
        <f t="shared" si="4"/>
        <v>0</v>
      </c>
      <c r="Q218" s="32"/>
      <c r="R218" s="32"/>
      <c r="S218" s="44"/>
    </row>
    <row r="219" ht="16.5" customHeight="1">
      <c r="A219" s="1"/>
      <c r="B219" s="32"/>
      <c r="C219" s="32"/>
      <c r="D219" s="32"/>
      <c r="E219" s="38"/>
      <c r="F219" s="32"/>
      <c r="G219" s="32"/>
      <c r="H219" s="32"/>
      <c r="I219" s="38"/>
      <c r="J219" s="38"/>
      <c r="K219" s="38"/>
      <c r="L219" s="41" t="str">
        <f t="shared" si="2"/>
        <v/>
      </c>
      <c r="M219" s="41">
        <f>SUMIFS('04 Payments'!$K$7:$K$400,'04 Payments'!$D$7:$D$400,$B219)</f>
        <v>0</v>
      </c>
      <c r="N219" s="41">
        <f t="shared" si="3"/>
        <v>0</v>
      </c>
      <c r="O219" s="38"/>
      <c r="P219" s="41">
        <f t="shared" si="4"/>
        <v>0</v>
      </c>
      <c r="Q219" s="32"/>
      <c r="R219" s="32"/>
      <c r="S219" s="44"/>
    </row>
    <row r="220" ht="16.5" customHeight="1">
      <c r="A220" s="1"/>
      <c r="B220" s="32"/>
      <c r="C220" s="32"/>
      <c r="D220" s="32"/>
      <c r="E220" s="38"/>
      <c r="F220" s="32"/>
      <c r="G220" s="32"/>
      <c r="H220" s="32"/>
      <c r="I220" s="38"/>
      <c r="J220" s="38"/>
      <c r="K220" s="38"/>
      <c r="L220" s="41" t="str">
        <f t="shared" si="2"/>
        <v/>
      </c>
      <c r="M220" s="41">
        <f>SUMIFS('04 Payments'!$K$7:$K$400,'04 Payments'!$D$7:$D$400,$B220)</f>
        <v>0</v>
      </c>
      <c r="N220" s="41">
        <f t="shared" si="3"/>
        <v>0</v>
      </c>
      <c r="O220" s="38"/>
      <c r="P220" s="41">
        <f t="shared" si="4"/>
        <v>0</v>
      </c>
      <c r="Q220" s="32"/>
      <c r="R220" s="32"/>
      <c r="S220" s="44"/>
    </row>
    <row r="221" ht="16.5" customHeight="1">
      <c r="A221" s="1"/>
      <c r="B221" s="32"/>
      <c r="C221" s="32"/>
      <c r="D221" s="32"/>
      <c r="E221" s="38"/>
      <c r="F221" s="32"/>
      <c r="G221" s="32"/>
      <c r="H221" s="32"/>
      <c r="I221" s="38"/>
      <c r="J221" s="38"/>
      <c r="K221" s="38"/>
      <c r="L221" s="41" t="str">
        <f t="shared" si="2"/>
        <v/>
      </c>
      <c r="M221" s="41">
        <f>SUMIFS('04 Payments'!$K$7:$K$400,'04 Payments'!$D$7:$D$400,$B221)</f>
        <v>0</v>
      </c>
      <c r="N221" s="41">
        <f t="shared" si="3"/>
        <v>0</v>
      </c>
      <c r="O221" s="38"/>
      <c r="P221" s="41">
        <f t="shared" si="4"/>
        <v>0</v>
      </c>
      <c r="Q221" s="32"/>
      <c r="R221" s="32"/>
      <c r="S221" s="44"/>
    </row>
    <row r="222" ht="16.5" customHeight="1">
      <c r="A222" s="1"/>
      <c r="B222" s="32"/>
      <c r="C222" s="32"/>
      <c r="D222" s="32"/>
      <c r="E222" s="38"/>
      <c r="F222" s="32"/>
      <c r="G222" s="32"/>
      <c r="H222" s="32"/>
      <c r="I222" s="38"/>
      <c r="J222" s="38"/>
      <c r="K222" s="38"/>
      <c r="L222" s="41" t="str">
        <f t="shared" si="2"/>
        <v/>
      </c>
      <c r="M222" s="41">
        <f>SUMIFS('04 Payments'!$K$7:$K$400,'04 Payments'!$D$7:$D$400,$B222)</f>
        <v>0</v>
      </c>
      <c r="N222" s="41">
        <f t="shared" si="3"/>
        <v>0</v>
      </c>
      <c r="O222" s="38"/>
      <c r="P222" s="41">
        <f t="shared" si="4"/>
        <v>0</v>
      </c>
      <c r="Q222" s="32"/>
      <c r="R222" s="32"/>
      <c r="S222" s="44"/>
    </row>
    <row r="223" ht="16.5" customHeight="1">
      <c r="A223" s="1"/>
      <c r="B223" s="32"/>
      <c r="C223" s="32"/>
      <c r="D223" s="32"/>
      <c r="E223" s="38"/>
      <c r="F223" s="32"/>
      <c r="G223" s="32"/>
      <c r="H223" s="32"/>
      <c r="I223" s="38"/>
      <c r="J223" s="38"/>
      <c r="K223" s="38"/>
      <c r="L223" s="41" t="str">
        <f t="shared" si="2"/>
        <v/>
      </c>
      <c r="M223" s="41">
        <f>SUMIFS('04 Payments'!$K$7:$K$400,'04 Payments'!$D$7:$D$400,$B223)</f>
        <v>0</v>
      </c>
      <c r="N223" s="41">
        <f t="shared" si="3"/>
        <v>0</v>
      </c>
      <c r="O223" s="38"/>
      <c r="P223" s="41">
        <f t="shared" si="4"/>
        <v>0</v>
      </c>
      <c r="Q223" s="32"/>
      <c r="R223" s="32"/>
      <c r="S223" s="44"/>
    </row>
    <row r="224" ht="16.5" customHeight="1">
      <c r="A224" s="1"/>
      <c r="B224" s="32"/>
      <c r="C224" s="32"/>
      <c r="D224" s="32"/>
      <c r="E224" s="38"/>
      <c r="F224" s="32"/>
      <c r="G224" s="32"/>
      <c r="H224" s="32"/>
      <c r="I224" s="38"/>
      <c r="J224" s="38"/>
      <c r="K224" s="38"/>
      <c r="L224" s="41" t="str">
        <f t="shared" si="2"/>
        <v/>
      </c>
      <c r="M224" s="41">
        <f>SUMIFS('04 Payments'!$K$7:$K$400,'04 Payments'!$D$7:$D$400,$B224)</f>
        <v>0</v>
      </c>
      <c r="N224" s="41">
        <f t="shared" si="3"/>
        <v>0</v>
      </c>
      <c r="O224" s="38"/>
      <c r="P224" s="41">
        <f t="shared" si="4"/>
        <v>0</v>
      </c>
      <c r="Q224" s="32"/>
      <c r="R224" s="32"/>
      <c r="S224" s="44"/>
    </row>
    <row r="225" ht="16.5" customHeight="1">
      <c r="A225" s="1"/>
      <c r="B225" s="32"/>
      <c r="C225" s="32"/>
      <c r="D225" s="32"/>
      <c r="E225" s="38"/>
      <c r="F225" s="32"/>
      <c r="G225" s="32"/>
      <c r="H225" s="32"/>
      <c r="I225" s="38"/>
      <c r="J225" s="38"/>
      <c r="K225" s="38"/>
      <c r="L225" s="41" t="str">
        <f t="shared" si="2"/>
        <v/>
      </c>
      <c r="M225" s="41">
        <f>SUMIFS('04 Payments'!$K$7:$K$400,'04 Payments'!$D$7:$D$400,$B225)</f>
        <v>0</v>
      </c>
      <c r="N225" s="41">
        <f t="shared" si="3"/>
        <v>0</v>
      </c>
      <c r="O225" s="38"/>
      <c r="P225" s="41">
        <f t="shared" si="4"/>
        <v>0</v>
      </c>
      <c r="Q225" s="32"/>
      <c r="R225" s="32"/>
      <c r="S225" s="44"/>
    </row>
    <row r="226" ht="16.5" customHeight="1">
      <c r="A226" s="1"/>
      <c r="B226" s="32"/>
      <c r="C226" s="32"/>
      <c r="D226" s="32"/>
      <c r="E226" s="38"/>
      <c r="F226" s="32"/>
      <c r="G226" s="32"/>
      <c r="H226" s="32"/>
      <c r="I226" s="38"/>
      <c r="J226" s="38"/>
      <c r="K226" s="38"/>
      <c r="L226" s="41" t="str">
        <f t="shared" si="2"/>
        <v/>
      </c>
      <c r="M226" s="41">
        <f>SUMIFS('04 Payments'!$K$7:$K$400,'04 Payments'!$D$7:$D$400,$B226)</f>
        <v>0</v>
      </c>
      <c r="N226" s="41">
        <f t="shared" si="3"/>
        <v>0</v>
      </c>
      <c r="O226" s="38"/>
      <c r="P226" s="41">
        <f t="shared" si="4"/>
        <v>0</v>
      </c>
      <c r="Q226" s="32"/>
      <c r="R226" s="32"/>
      <c r="S226" s="44"/>
    </row>
    <row r="227" ht="16.5" customHeight="1">
      <c r="A227" s="1"/>
      <c r="B227" s="32"/>
      <c r="C227" s="32"/>
      <c r="D227" s="32"/>
      <c r="E227" s="38"/>
      <c r="F227" s="32"/>
      <c r="G227" s="32"/>
      <c r="H227" s="32"/>
      <c r="I227" s="38"/>
      <c r="J227" s="38"/>
      <c r="K227" s="38"/>
      <c r="L227" s="41" t="str">
        <f t="shared" si="2"/>
        <v/>
      </c>
      <c r="M227" s="41">
        <f>SUMIFS('04 Payments'!$K$7:$K$400,'04 Payments'!$D$7:$D$400,$B227)</f>
        <v>0</v>
      </c>
      <c r="N227" s="41">
        <f t="shared" si="3"/>
        <v>0</v>
      </c>
      <c r="O227" s="38"/>
      <c r="P227" s="41">
        <f t="shared" si="4"/>
        <v>0</v>
      </c>
      <c r="Q227" s="32"/>
      <c r="R227" s="32"/>
      <c r="S227" s="44"/>
    </row>
    <row r="228" ht="16.5" customHeight="1">
      <c r="A228" s="1"/>
      <c r="B228" s="32"/>
      <c r="C228" s="32"/>
      <c r="D228" s="32"/>
      <c r="E228" s="38"/>
      <c r="F228" s="32"/>
      <c r="G228" s="32"/>
      <c r="H228" s="32"/>
      <c r="I228" s="38"/>
      <c r="J228" s="38"/>
      <c r="K228" s="38"/>
      <c r="L228" s="41" t="str">
        <f t="shared" si="2"/>
        <v/>
      </c>
      <c r="M228" s="41">
        <f>SUMIFS('04 Payments'!$K$7:$K$400,'04 Payments'!$D$7:$D$400,$B228)</f>
        <v>0</v>
      </c>
      <c r="N228" s="41">
        <f t="shared" si="3"/>
        <v>0</v>
      </c>
      <c r="O228" s="38"/>
      <c r="P228" s="41">
        <f t="shared" si="4"/>
        <v>0</v>
      </c>
      <c r="Q228" s="32"/>
      <c r="R228" s="32"/>
      <c r="S228" s="44"/>
    </row>
    <row r="229" ht="16.5" customHeight="1">
      <c r="A229" s="1"/>
      <c r="B229" s="32"/>
      <c r="C229" s="32"/>
      <c r="D229" s="32"/>
      <c r="E229" s="38"/>
      <c r="F229" s="32"/>
      <c r="G229" s="32"/>
      <c r="H229" s="32"/>
      <c r="I229" s="38"/>
      <c r="J229" s="38"/>
      <c r="K229" s="38"/>
      <c r="L229" s="41" t="str">
        <f t="shared" si="2"/>
        <v/>
      </c>
      <c r="M229" s="41">
        <f>SUMIFS('04 Payments'!$K$7:$K$400,'04 Payments'!$D$7:$D$400,$B229)</f>
        <v>0</v>
      </c>
      <c r="N229" s="41">
        <f t="shared" si="3"/>
        <v>0</v>
      </c>
      <c r="O229" s="38"/>
      <c r="P229" s="41">
        <f t="shared" si="4"/>
        <v>0</v>
      </c>
      <c r="Q229" s="32"/>
      <c r="R229" s="32"/>
      <c r="S229" s="44"/>
    </row>
    <row r="230" ht="16.5" customHeight="1">
      <c r="A230" s="1"/>
      <c r="B230" s="32"/>
      <c r="C230" s="32"/>
      <c r="D230" s="32"/>
      <c r="E230" s="38"/>
      <c r="F230" s="32"/>
      <c r="G230" s="32"/>
      <c r="H230" s="32"/>
      <c r="I230" s="38"/>
      <c r="J230" s="38"/>
      <c r="K230" s="38"/>
      <c r="L230" s="41" t="str">
        <f t="shared" si="2"/>
        <v/>
      </c>
      <c r="M230" s="41">
        <f>SUMIFS('04 Payments'!$K$7:$K$400,'04 Payments'!$D$7:$D$400,$B230)</f>
        <v>0</v>
      </c>
      <c r="N230" s="41">
        <f t="shared" si="3"/>
        <v>0</v>
      </c>
      <c r="O230" s="38"/>
      <c r="P230" s="41">
        <f t="shared" si="4"/>
        <v>0</v>
      </c>
      <c r="Q230" s="32"/>
      <c r="R230" s="32"/>
      <c r="S230" s="44"/>
    </row>
    <row r="231" ht="16.5" customHeight="1">
      <c r="A231" s="1"/>
      <c r="B231" s="32"/>
      <c r="C231" s="32"/>
      <c r="D231" s="32"/>
      <c r="E231" s="38"/>
      <c r="F231" s="32"/>
      <c r="G231" s="32"/>
      <c r="H231" s="32"/>
      <c r="I231" s="38"/>
      <c r="J231" s="38"/>
      <c r="K231" s="38"/>
      <c r="L231" s="41" t="str">
        <f t="shared" si="2"/>
        <v/>
      </c>
      <c r="M231" s="41">
        <f>SUMIFS('04 Payments'!$K$7:$K$400,'04 Payments'!$D$7:$D$400,$B231)</f>
        <v>0</v>
      </c>
      <c r="N231" s="41">
        <f t="shared" si="3"/>
        <v>0</v>
      </c>
      <c r="O231" s="38"/>
      <c r="P231" s="41">
        <f t="shared" si="4"/>
        <v>0</v>
      </c>
      <c r="Q231" s="32"/>
      <c r="R231" s="32"/>
      <c r="S231" s="44"/>
    </row>
    <row r="232" ht="16.5" customHeight="1">
      <c r="A232" s="1"/>
      <c r="B232" s="32"/>
      <c r="C232" s="32"/>
      <c r="D232" s="32"/>
      <c r="E232" s="38"/>
      <c r="F232" s="32"/>
      <c r="G232" s="32"/>
      <c r="H232" s="32"/>
      <c r="I232" s="38"/>
      <c r="J232" s="38"/>
      <c r="K232" s="38"/>
      <c r="L232" s="41" t="str">
        <f t="shared" si="2"/>
        <v/>
      </c>
      <c r="M232" s="41">
        <f>SUMIFS('04 Payments'!$K$7:$K$400,'04 Payments'!$D$7:$D$400,$B232)</f>
        <v>0</v>
      </c>
      <c r="N232" s="41">
        <f t="shared" si="3"/>
        <v>0</v>
      </c>
      <c r="O232" s="38"/>
      <c r="P232" s="41">
        <f t="shared" si="4"/>
        <v>0</v>
      </c>
      <c r="Q232" s="32"/>
      <c r="R232" s="32"/>
      <c r="S232" s="44"/>
    </row>
    <row r="233" ht="16.5" customHeight="1">
      <c r="A233" s="1"/>
      <c r="B233" s="32"/>
      <c r="C233" s="32"/>
      <c r="D233" s="32"/>
      <c r="E233" s="38"/>
      <c r="F233" s="32"/>
      <c r="G233" s="32"/>
      <c r="H233" s="32"/>
      <c r="I233" s="38"/>
      <c r="J233" s="38"/>
      <c r="K233" s="38"/>
      <c r="L233" s="41" t="str">
        <f t="shared" si="2"/>
        <v/>
      </c>
      <c r="M233" s="41">
        <f>SUMIFS('04 Payments'!$K$7:$K$400,'04 Payments'!$D$7:$D$400,$B233)</f>
        <v>0</v>
      </c>
      <c r="N233" s="41">
        <f t="shared" si="3"/>
        <v>0</v>
      </c>
      <c r="O233" s="38"/>
      <c r="P233" s="41">
        <f t="shared" si="4"/>
        <v>0</v>
      </c>
      <c r="Q233" s="32"/>
      <c r="R233" s="32"/>
      <c r="S233" s="44"/>
    </row>
    <row r="234" ht="16.5" customHeight="1">
      <c r="A234" s="1"/>
      <c r="B234" s="32"/>
      <c r="C234" s="32"/>
      <c r="D234" s="32"/>
      <c r="E234" s="38"/>
      <c r="F234" s="32"/>
      <c r="G234" s="32"/>
      <c r="H234" s="32"/>
      <c r="I234" s="38"/>
      <c r="J234" s="38"/>
      <c r="K234" s="38"/>
      <c r="L234" s="41" t="str">
        <f t="shared" si="2"/>
        <v/>
      </c>
      <c r="M234" s="41">
        <f>SUMIFS('04 Payments'!$K$7:$K$400,'04 Payments'!$D$7:$D$400,$B234)</f>
        <v>0</v>
      </c>
      <c r="N234" s="41">
        <f t="shared" si="3"/>
        <v>0</v>
      </c>
      <c r="O234" s="38"/>
      <c r="P234" s="41">
        <f t="shared" si="4"/>
        <v>0</v>
      </c>
      <c r="Q234" s="32"/>
      <c r="R234" s="32"/>
      <c r="S234" s="44"/>
    </row>
    <row r="235" ht="16.5" customHeight="1">
      <c r="A235" s="1"/>
      <c r="B235" s="32"/>
      <c r="C235" s="32"/>
      <c r="D235" s="32"/>
      <c r="E235" s="38"/>
      <c r="F235" s="32"/>
      <c r="G235" s="32"/>
      <c r="H235" s="32"/>
      <c r="I235" s="38"/>
      <c r="J235" s="38"/>
      <c r="K235" s="38"/>
      <c r="L235" s="41" t="str">
        <f t="shared" si="2"/>
        <v/>
      </c>
      <c r="M235" s="41">
        <f>SUMIFS('04 Payments'!$K$7:$K$400,'04 Payments'!$D$7:$D$400,$B235)</f>
        <v>0</v>
      </c>
      <c r="N235" s="41">
        <f t="shared" si="3"/>
        <v>0</v>
      </c>
      <c r="O235" s="38"/>
      <c r="P235" s="41">
        <f t="shared" si="4"/>
        <v>0</v>
      </c>
      <c r="Q235" s="32"/>
      <c r="R235" s="32"/>
      <c r="S235" s="44"/>
    </row>
    <row r="236" ht="16.5" customHeight="1">
      <c r="A236" s="1"/>
      <c r="B236" s="32"/>
      <c r="C236" s="32"/>
      <c r="D236" s="32"/>
      <c r="E236" s="38"/>
      <c r="F236" s="32"/>
      <c r="G236" s="32"/>
      <c r="H236" s="32"/>
      <c r="I236" s="38"/>
      <c r="J236" s="38"/>
      <c r="K236" s="38"/>
      <c r="L236" s="41" t="str">
        <f t="shared" si="2"/>
        <v/>
      </c>
      <c r="M236" s="41">
        <f>SUMIFS('04 Payments'!$K$7:$K$400,'04 Payments'!$D$7:$D$400,$B236)</f>
        <v>0</v>
      </c>
      <c r="N236" s="41">
        <f t="shared" si="3"/>
        <v>0</v>
      </c>
      <c r="O236" s="38"/>
      <c r="P236" s="41">
        <f t="shared" si="4"/>
        <v>0</v>
      </c>
      <c r="Q236" s="32"/>
      <c r="R236" s="32"/>
      <c r="S236" s="44"/>
    </row>
    <row r="237" ht="16.5" customHeight="1">
      <c r="A237" s="1"/>
      <c r="B237" s="32"/>
      <c r="C237" s="32"/>
      <c r="D237" s="32"/>
      <c r="E237" s="38"/>
      <c r="F237" s="32"/>
      <c r="G237" s="32"/>
      <c r="H237" s="32"/>
      <c r="I237" s="38"/>
      <c r="J237" s="38"/>
      <c r="K237" s="38"/>
      <c r="L237" s="41" t="str">
        <f t="shared" si="2"/>
        <v/>
      </c>
      <c r="M237" s="41">
        <f>SUMIFS('04 Payments'!$K$7:$K$400,'04 Payments'!$D$7:$D$400,$B237)</f>
        <v>0</v>
      </c>
      <c r="N237" s="41">
        <f t="shared" si="3"/>
        <v>0</v>
      </c>
      <c r="O237" s="38"/>
      <c r="P237" s="41">
        <f t="shared" si="4"/>
        <v>0</v>
      </c>
      <c r="Q237" s="32"/>
      <c r="R237" s="32"/>
      <c r="S237" s="44"/>
    </row>
    <row r="238" ht="16.5" customHeight="1">
      <c r="A238" s="1"/>
      <c r="B238" s="32"/>
      <c r="C238" s="32"/>
      <c r="D238" s="32"/>
      <c r="E238" s="38"/>
      <c r="F238" s="32"/>
      <c r="G238" s="32"/>
      <c r="H238" s="32"/>
      <c r="I238" s="38"/>
      <c r="J238" s="38"/>
      <c r="K238" s="38"/>
      <c r="L238" s="41" t="str">
        <f t="shared" si="2"/>
        <v/>
      </c>
      <c r="M238" s="41">
        <f>SUMIFS('04 Payments'!$K$7:$K$400,'04 Payments'!$D$7:$D$400,$B238)</f>
        <v>0</v>
      </c>
      <c r="N238" s="41">
        <f t="shared" si="3"/>
        <v>0</v>
      </c>
      <c r="O238" s="38"/>
      <c r="P238" s="41">
        <f t="shared" si="4"/>
        <v>0</v>
      </c>
      <c r="Q238" s="32"/>
      <c r="R238" s="32"/>
      <c r="S238" s="44"/>
    </row>
    <row r="239" ht="16.5" customHeight="1">
      <c r="A239" s="1"/>
      <c r="B239" s="32"/>
      <c r="C239" s="32"/>
      <c r="D239" s="32"/>
      <c r="E239" s="38"/>
      <c r="F239" s="32"/>
      <c r="G239" s="32"/>
      <c r="H239" s="32"/>
      <c r="I239" s="38"/>
      <c r="J239" s="38"/>
      <c r="K239" s="38"/>
      <c r="L239" s="41" t="str">
        <f t="shared" si="2"/>
        <v/>
      </c>
      <c r="M239" s="41">
        <f>SUMIFS('04 Payments'!$K$7:$K$400,'04 Payments'!$D$7:$D$400,$B239)</f>
        <v>0</v>
      </c>
      <c r="N239" s="41">
        <f t="shared" si="3"/>
        <v>0</v>
      </c>
      <c r="O239" s="38"/>
      <c r="P239" s="41">
        <f t="shared" si="4"/>
        <v>0</v>
      </c>
      <c r="Q239" s="32"/>
      <c r="R239" s="32"/>
      <c r="S239" s="44"/>
    </row>
    <row r="240" ht="16.5" customHeight="1">
      <c r="A240" s="1"/>
      <c r="B240" s="32"/>
      <c r="C240" s="32"/>
      <c r="D240" s="32"/>
      <c r="E240" s="38"/>
      <c r="F240" s="32"/>
      <c r="G240" s="32"/>
      <c r="H240" s="32"/>
      <c r="I240" s="38"/>
      <c r="J240" s="38"/>
      <c r="K240" s="38"/>
      <c r="L240" s="41" t="str">
        <f t="shared" si="2"/>
        <v/>
      </c>
      <c r="M240" s="41">
        <f>SUMIFS('04 Payments'!$K$7:$K$400,'04 Payments'!$D$7:$D$400,$B240)</f>
        <v>0</v>
      </c>
      <c r="N240" s="41">
        <f t="shared" si="3"/>
        <v>0</v>
      </c>
      <c r="O240" s="38"/>
      <c r="P240" s="41">
        <f t="shared" si="4"/>
        <v>0</v>
      </c>
      <c r="Q240" s="32"/>
      <c r="R240" s="32"/>
      <c r="S240" s="44"/>
    </row>
    <row r="241" ht="16.5" customHeight="1">
      <c r="A241" s="1"/>
      <c r="B241" s="32"/>
      <c r="C241" s="32"/>
      <c r="D241" s="32"/>
      <c r="E241" s="38"/>
      <c r="F241" s="32"/>
      <c r="G241" s="32"/>
      <c r="H241" s="32"/>
      <c r="I241" s="38"/>
      <c r="J241" s="38"/>
      <c r="K241" s="38"/>
      <c r="L241" s="41" t="str">
        <f t="shared" si="2"/>
        <v/>
      </c>
      <c r="M241" s="41">
        <f>SUMIFS('04 Payments'!$K$7:$K$400,'04 Payments'!$D$7:$D$400,$B241)</f>
        <v>0</v>
      </c>
      <c r="N241" s="41">
        <f t="shared" si="3"/>
        <v>0</v>
      </c>
      <c r="O241" s="38"/>
      <c r="P241" s="41">
        <f t="shared" si="4"/>
        <v>0</v>
      </c>
      <c r="Q241" s="32"/>
      <c r="R241" s="32"/>
      <c r="S241" s="44"/>
    </row>
    <row r="242" ht="16.5" customHeight="1">
      <c r="A242" s="1"/>
      <c r="B242" s="32"/>
      <c r="C242" s="32"/>
      <c r="D242" s="32"/>
      <c r="E242" s="38"/>
      <c r="F242" s="32"/>
      <c r="G242" s="32"/>
      <c r="H242" s="32"/>
      <c r="I242" s="38"/>
      <c r="J242" s="38"/>
      <c r="K242" s="38"/>
      <c r="L242" s="41" t="str">
        <f t="shared" si="2"/>
        <v/>
      </c>
      <c r="M242" s="41">
        <f>SUMIFS('04 Payments'!$K$7:$K$400,'04 Payments'!$D$7:$D$400,$B242)</f>
        <v>0</v>
      </c>
      <c r="N242" s="41">
        <f t="shared" si="3"/>
        <v>0</v>
      </c>
      <c r="O242" s="38"/>
      <c r="P242" s="41">
        <f t="shared" si="4"/>
        <v>0</v>
      </c>
      <c r="Q242" s="32"/>
      <c r="R242" s="32"/>
      <c r="S242" s="44"/>
    </row>
    <row r="243" ht="16.5" customHeight="1">
      <c r="A243" s="1"/>
      <c r="B243" s="32"/>
      <c r="C243" s="32"/>
      <c r="D243" s="32"/>
      <c r="E243" s="38"/>
      <c r="F243" s="32"/>
      <c r="G243" s="32"/>
      <c r="H243" s="32"/>
      <c r="I243" s="38"/>
      <c r="J243" s="38"/>
      <c r="K243" s="38"/>
      <c r="L243" s="41" t="str">
        <f t="shared" si="2"/>
        <v/>
      </c>
      <c r="M243" s="41">
        <f>SUMIFS('04 Payments'!$K$7:$K$400,'04 Payments'!$D$7:$D$400,$B243)</f>
        <v>0</v>
      </c>
      <c r="N243" s="41">
        <f t="shared" si="3"/>
        <v>0</v>
      </c>
      <c r="O243" s="38"/>
      <c r="P243" s="41">
        <f t="shared" si="4"/>
        <v>0</v>
      </c>
      <c r="Q243" s="32"/>
      <c r="R243" s="32"/>
      <c r="S243" s="44"/>
    </row>
    <row r="244" ht="16.5" customHeight="1">
      <c r="A244" s="1"/>
      <c r="B244" s="32"/>
      <c r="C244" s="32"/>
      <c r="D244" s="32"/>
      <c r="E244" s="38"/>
      <c r="F244" s="32"/>
      <c r="G244" s="32"/>
      <c r="H244" s="32"/>
      <c r="I244" s="38"/>
      <c r="J244" s="38"/>
      <c r="K244" s="38"/>
      <c r="L244" s="41" t="str">
        <f t="shared" si="2"/>
        <v/>
      </c>
      <c r="M244" s="41">
        <f>SUMIFS('04 Payments'!$K$7:$K$400,'04 Payments'!$D$7:$D$400,$B244)</f>
        <v>0</v>
      </c>
      <c r="N244" s="41">
        <f t="shared" si="3"/>
        <v>0</v>
      </c>
      <c r="O244" s="38"/>
      <c r="P244" s="41">
        <f t="shared" si="4"/>
        <v>0</v>
      </c>
      <c r="Q244" s="32"/>
      <c r="R244" s="32"/>
      <c r="S244" s="44"/>
    </row>
    <row r="245" ht="16.5" customHeight="1">
      <c r="A245" s="1"/>
      <c r="B245" s="32"/>
      <c r="C245" s="32"/>
      <c r="D245" s="32"/>
      <c r="E245" s="38"/>
      <c r="F245" s="32"/>
      <c r="G245" s="32"/>
      <c r="H245" s="32"/>
      <c r="I245" s="38"/>
      <c r="J245" s="38"/>
      <c r="K245" s="38"/>
      <c r="L245" s="41" t="str">
        <f t="shared" si="2"/>
        <v/>
      </c>
      <c r="M245" s="41">
        <f>SUMIFS('04 Payments'!$K$7:$K$400,'04 Payments'!$D$7:$D$400,$B245)</f>
        <v>0</v>
      </c>
      <c r="N245" s="41">
        <f t="shared" si="3"/>
        <v>0</v>
      </c>
      <c r="O245" s="38"/>
      <c r="P245" s="41">
        <f t="shared" si="4"/>
        <v>0</v>
      </c>
      <c r="Q245" s="32"/>
      <c r="R245" s="32"/>
      <c r="S245" s="44"/>
    </row>
    <row r="246" ht="16.5" customHeight="1">
      <c r="A246" s="1"/>
      <c r="B246" s="32"/>
      <c r="C246" s="32"/>
      <c r="D246" s="32"/>
      <c r="E246" s="38"/>
      <c r="F246" s="32"/>
      <c r="G246" s="32"/>
      <c r="H246" s="32"/>
      <c r="I246" s="38"/>
      <c r="J246" s="38"/>
      <c r="K246" s="38"/>
      <c r="L246" s="41" t="str">
        <f t="shared" si="2"/>
        <v/>
      </c>
      <c r="M246" s="41">
        <f>SUMIFS('04 Payments'!$K$7:$K$400,'04 Payments'!$D$7:$D$400,$B246)</f>
        <v>0</v>
      </c>
      <c r="N246" s="41">
        <f t="shared" si="3"/>
        <v>0</v>
      </c>
      <c r="O246" s="38"/>
      <c r="P246" s="41">
        <f t="shared" si="4"/>
        <v>0</v>
      </c>
      <c r="Q246" s="32"/>
      <c r="R246" s="32"/>
      <c r="S246" s="44"/>
    </row>
    <row r="247" ht="16.5" customHeight="1">
      <c r="A247" s="1"/>
      <c r="B247" s="32"/>
      <c r="C247" s="32"/>
      <c r="D247" s="32"/>
      <c r="E247" s="38"/>
      <c r="F247" s="32"/>
      <c r="G247" s="32"/>
      <c r="H247" s="32"/>
      <c r="I247" s="38"/>
      <c r="J247" s="38"/>
      <c r="K247" s="38"/>
      <c r="L247" s="41" t="str">
        <f t="shared" si="2"/>
        <v/>
      </c>
      <c r="M247" s="41">
        <f>SUMIFS('04 Payments'!$K$7:$K$400,'04 Payments'!$D$7:$D$400,$B247)</f>
        <v>0</v>
      </c>
      <c r="N247" s="41">
        <f t="shared" si="3"/>
        <v>0</v>
      </c>
      <c r="O247" s="38"/>
      <c r="P247" s="41">
        <f t="shared" si="4"/>
        <v>0</v>
      </c>
      <c r="Q247" s="32"/>
      <c r="R247" s="32"/>
      <c r="S247" s="44"/>
    </row>
    <row r="248" ht="16.5" customHeight="1">
      <c r="A248" s="1"/>
      <c r="B248" s="32"/>
      <c r="C248" s="32"/>
      <c r="D248" s="32"/>
      <c r="E248" s="38"/>
      <c r="F248" s="32"/>
      <c r="G248" s="32"/>
      <c r="H248" s="32"/>
      <c r="I248" s="38"/>
      <c r="J248" s="38"/>
      <c r="K248" s="38"/>
      <c r="L248" s="41" t="str">
        <f t="shared" si="2"/>
        <v/>
      </c>
      <c r="M248" s="41">
        <f>SUMIFS('04 Payments'!$K$7:$K$400,'04 Payments'!$D$7:$D$400,$B248)</f>
        <v>0</v>
      </c>
      <c r="N248" s="41">
        <f t="shared" si="3"/>
        <v>0</v>
      </c>
      <c r="O248" s="38"/>
      <c r="P248" s="41">
        <f t="shared" si="4"/>
        <v>0</v>
      </c>
      <c r="Q248" s="32"/>
      <c r="R248" s="32"/>
      <c r="S248" s="44"/>
    </row>
    <row r="249" ht="16.5" customHeight="1">
      <c r="A249" s="1"/>
      <c r="B249" s="32"/>
      <c r="C249" s="32"/>
      <c r="D249" s="32"/>
      <c r="E249" s="38"/>
      <c r="F249" s="32"/>
      <c r="G249" s="32"/>
      <c r="H249" s="32"/>
      <c r="I249" s="38"/>
      <c r="J249" s="38"/>
      <c r="K249" s="38"/>
      <c r="L249" s="41" t="str">
        <f t="shared" si="2"/>
        <v/>
      </c>
      <c r="M249" s="41">
        <f>SUMIFS('04 Payments'!$K$7:$K$400,'04 Payments'!$D$7:$D$400,$B249)</f>
        <v>0</v>
      </c>
      <c r="N249" s="41">
        <f t="shared" si="3"/>
        <v>0</v>
      </c>
      <c r="O249" s="38"/>
      <c r="P249" s="41">
        <f t="shared" si="4"/>
        <v>0</v>
      </c>
      <c r="Q249" s="32"/>
      <c r="R249" s="32"/>
      <c r="S249" s="44"/>
    </row>
    <row r="250" ht="16.5" customHeight="1">
      <c r="A250" s="1"/>
      <c r="B250" s="32"/>
      <c r="C250" s="32"/>
      <c r="D250" s="32"/>
      <c r="E250" s="38"/>
      <c r="F250" s="32"/>
      <c r="G250" s="32"/>
      <c r="H250" s="32"/>
      <c r="I250" s="38"/>
      <c r="J250" s="38"/>
      <c r="K250" s="38"/>
      <c r="L250" s="41" t="str">
        <f t="shared" si="2"/>
        <v/>
      </c>
      <c r="M250" s="41">
        <f>SUMIFS('04 Payments'!$K$7:$K$400,'04 Payments'!$D$7:$D$400,$B250)</f>
        <v>0</v>
      </c>
      <c r="N250" s="41">
        <f t="shared" si="3"/>
        <v>0</v>
      </c>
      <c r="O250" s="38"/>
      <c r="P250" s="41">
        <f t="shared" si="4"/>
        <v>0</v>
      </c>
      <c r="Q250" s="32"/>
      <c r="R250" s="32"/>
      <c r="S250" s="44"/>
    </row>
    <row r="251" ht="16.5" customHeight="1">
      <c r="A251" s="1"/>
      <c r="B251" s="32"/>
      <c r="C251" s="32"/>
      <c r="D251" s="32"/>
      <c r="E251" s="38"/>
      <c r="F251" s="32"/>
      <c r="G251" s="32"/>
      <c r="H251" s="32"/>
      <c r="I251" s="38"/>
      <c r="J251" s="38"/>
      <c r="K251" s="38"/>
      <c r="L251" s="41" t="str">
        <f t="shared" si="2"/>
        <v/>
      </c>
      <c r="M251" s="41">
        <f>SUMIFS('04 Payments'!$K$7:$K$400,'04 Payments'!$D$7:$D$400,$B251)</f>
        <v>0</v>
      </c>
      <c r="N251" s="41">
        <f t="shared" si="3"/>
        <v>0</v>
      </c>
      <c r="O251" s="38"/>
      <c r="P251" s="41">
        <f t="shared" si="4"/>
        <v>0</v>
      </c>
      <c r="Q251" s="32"/>
      <c r="R251" s="32"/>
      <c r="S251" s="44"/>
    </row>
    <row r="252" ht="16.5" customHeight="1">
      <c r="A252" s="1"/>
      <c r="B252" s="32"/>
      <c r="C252" s="32"/>
      <c r="D252" s="32"/>
      <c r="E252" s="38"/>
      <c r="F252" s="32"/>
      <c r="G252" s="32"/>
      <c r="H252" s="32"/>
      <c r="I252" s="38"/>
      <c r="J252" s="38"/>
      <c r="K252" s="38"/>
      <c r="L252" s="41" t="str">
        <f t="shared" si="2"/>
        <v/>
      </c>
      <c r="M252" s="41">
        <f>SUMIFS('04 Payments'!$K$7:$K$400,'04 Payments'!$D$7:$D$400,$B252)</f>
        <v>0</v>
      </c>
      <c r="N252" s="41">
        <f t="shared" si="3"/>
        <v>0</v>
      </c>
      <c r="O252" s="38"/>
      <c r="P252" s="41">
        <f t="shared" si="4"/>
        <v>0</v>
      </c>
      <c r="Q252" s="32"/>
      <c r="R252" s="32"/>
      <c r="S252" s="44"/>
    </row>
    <row r="253" ht="16.5" customHeight="1">
      <c r="A253" s="1"/>
      <c r="B253" s="32"/>
      <c r="C253" s="32"/>
      <c r="D253" s="32"/>
      <c r="E253" s="38"/>
      <c r="F253" s="32"/>
      <c r="G253" s="32"/>
      <c r="H253" s="32"/>
      <c r="I253" s="38"/>
      <c r="J253" s="38"/>
      <c r="K253" s="38"/>
      <c r="L253" s="41" t="str">
        <f t="shared" si="2"/>
        <v/>
      </c>
      <c r="M253" s="41">
        <f>SUMIFS('04 Payments'!$K$7:$K$400,'04 Payments'!$D$7:$D$400,$B253)</f>
        <v>0</v>
      </c>
      <c r="N253" s="41">
        <f t="shared" si="3"/>
        <v>0</v>
      </c>
      <c r="O253" s="38"/>
      <c r="P253" s="41">
        <f t="shared" si="4"/>
        <v>0</v>
      </c>
      <c r="Q253" s="32"/>
      <c r="R253" s="32"/>
      <c r="S253" s="44"/>
    </row>
    <row r="254" ht="16.5" customHeight="1">
      <c r="A254" s="1"/>
      <c r="B254" s="32"/>
      <c r="C254" s="32"/>
      <c r="D254" s="32"/>
      <c r="E254" s="38"/>
      <c r="F254" s="32"/>
      <c r="G254" s="32"/>
      <c r="H254" s="32"/>
      <c r="I254" s="38"/>
      <c r="J254" s="38"/>
      <c r="K254" s="38"/>
      <c r="L254" s="41" t="str">
        <f t="shared" si="2"/>
        <v/>
      </c>
      <c r="M254" s="41">
        <f>SUMIFS('04 Payments'!$K$7:$K$400,'04 Payments'!$D$7:$D$400,$B254)</f>
        <v>0</v>
      </c>
      <c r="N254" s="41">
        <f t="shared" si="3"/>
        <v>0</v>
      </c>
      <c r="O254" s="38"/>
      <c r="P254" s="41">
        <f t="shared" si="4"/>
        <v>0</v>
      </c>
      <c r="Q254" s="32"/>
      <c r="R254" s="32"/>
      <c r="S254" s="44"/>
    </row>
    <row r="255" ht="16.5" customHeight="1">
      <c r="A255" s="1"/>
      <c r="B255" s="32"/>
      <c r="C255" s="32"/>
      <c r="D255" s="32"/>
      <c r="E255" s="38"/>
      <c r="F255" s="32"/>
      <c r="G255" s="32"/>
      <c r="H255" s="32"/>
      <c r="I255" s="38"/>
      <c r="J255" s="38"/>
      <c r="K255" s="38"/>
      <c r="L255" s="41" t="str">
        <f t="shared" si="2"/>
        <v/>
      </c>
      <c r="M255" s="41">
        <f>SUMIFS('04 Payments'!$K$7:$K$400,'04 Payments'!$D$7:$D$400,$B255)</f>
        <v>0</v>
      </c>
      <c r="N255" s="41">
        <f t="shared" si="3"/>
        <v>0</v>
      </c>
      <c r="O255" s="38"/>
      <c r="P255" s="41">
        <f t="shared" si="4"/>
        <v>0</v>
      </c>
      <c r="Q255" s="32"/>
      <c r="R255" s="32"/>
      <c r="S255" s="44"/>
    </row>
    <row r="256" ht="16.5" customHeight="1">
      <c r="A256" s="1"/>
      <c r="B256" s="32"/>
      <c r="C256" s="32"/>
      <c r="D256" s="32"/>
      <c r="E256" s="38"/>
      <c r="F256" s="32"/>
      <c r="G256" s="32"/>
      <c r="H256" s="32"/>
      <c r="I256" s="38"/>
      <c r="J256" s="38"/>
      <c r="K256" s="38"/>
      <c r="L256" s="41" t="str">
        <f t="shared" si="2"/>
        <v/>
      </c>
      <c r="M256" s="41">
        <f>SUMIFS('04 Payments'!$K$7:$K$400,'04 Payments'!$D$7:$D$400,$B256)</f>
        <v>0</v>
      </c>
      <c r="N256" s="41">
        <f t="shared" si="3"/>
        <v>0</v>
      </c>
      <c r="O256" s="38"/>
      <c r="P256" s="41">
        <f t="shared" si="4"/>
        <v>0</v>
      </c>
      <c r="Q256" s="32"/>
      <c r="R256" s="32"/>
      <c r="S256" s="44"/>
    </row>
    <row r="257" ht="16.5" customHeight="1">
      <c r="A257" s="1"/>
      <c r="B257" s="32"/>
      <c r="C257" s="32"/>
      <c r="D257" s="32"/>
      <c r="E257" s="38"/>
      <c r="F257" s="32"/>
      <c r="G257" s="32"/>
      <c r="H257" s="32"/>
      <c r="I257" s="38"/>
      <c r="J257" s="38"/>
      <c r="K257" s="38"/>
      <c r="L257" s="41" t="str">
        <f t="shared" si="2"/>
        <v/>
      </c>
      <c r="M257" s="41">
        <f>SUMIFS('04 Payments'!$K$7:$K$400,'04 Payments'!$D$7:$D$400,$B257)</f>
        <v>0</v>
      </c>
      <c r="N257" s="41">
        <f t="shared" si="3"/>
        <v>0</v>
      </c>
      <c r="O257" s="38"/>
      <c r="P257" s="41">
        <f t="shared" si="4"/>
        <v>0</v>
      </c>
      <c r="Q257" s="32"/>
      <c r="R257" s="32"/>
      <c r="S257" s="44"/>
    </row>
    <row r="258" ht="16.5" customHeight="1">
      <c r="A258" s="1"/>
      <c r="B258" s="32"/>
      <c r="C258" s="32"/>
      <c r="D258" s="32"/>
      <c r="E258" s="38"/>
      <c r="F258" s="32"/>
      <c r="G258" s="32"/>
      <c r="H258" s="32"/>
      <c r="I258" s="38"/>
      <c r="J258" s="38"/>
      <c r="K258" s="38"/>
      <c r="L258" s="41" t="str">
        <f t="shared" si="2"/>
        <v/>
      </c>
      <c r="M258" s="41">
        <f>SUMIFS('04 Payments'!$K$7:$K$400,'04 Payments'!$D$7:$D$400,$B258)</f>
        <v>0</v>
      </c>
      <c r="N258" s="41">
        <f t="shared" si="3"/>
        <v>0</v>
      </c>
      <c r="O258" s="38"/>
      <c r="P258" s="41">
        <f t="shared" si="4"/>
        <v>0</v>
      </c>
      <c r="Q258" s="32"/>
      <c r="R258" s="32"/>
      <c r="S258" s="44"/>
    </row>
    <row r="259" ht="16.5" customHeight="1">
      <c r="A259" s="1"/>
      <c r="B259" s="32"/>
      <c r="C259" s="32"/>
      <c r="D259" s="32"/>
      <c r="E259" s="38"/>
      <c r="F259" s="32"/>
      <c r="G259" s="32"/>
      <c r="H259" s="32"/>
      <c r="I259" s="38"/>
      <c r="J259" s="38"/>
      <c r="K259" s="38"/>
      <c r="L259" s="41" t="str">
        <f t="shared" si="2"/>
        <v/>
      </c>
      <c r="M259" s="41">
        <f>SUMIFS('04 Payments'!$K$7:$K$400,'04 Payments'!$D$7:$D$400,$B259)</f>
        <v>0</v>
      </c>
      <c r="N259" s="41">
        <f t="shared" si="3"/>
        <v>0</v>
      </c>
      <c r="O259" s="38"/>
      <c r="P259" s="41">
        <f t="shared" si="4"/>
        <v>0</v>
      </c>
      <c r="Q259" s="32"/>
      <c r="R259" s="32"/>
      <c r="S259" s="44"/>
    </row>
    <row r="260" ht="16.5" customHeight="1">
      <c r="A260" s="1"/>
      <c r="B260" s="32"/>
      <c r="C260" s="32"/>
      <c r="D260" s="32"/>
      <c r="E260" s="38"/>
      <c r="F260" s="32"/>
      <c r="G260" s="32"/>
      <c r="H260" s="32"/>
      <c r="I260" s="38"/>
      <c r="J260" s="38"/>
      <c r="K260" s="38"/>
      <c r="L260" s="41" t="str">
        <f t="shared" si="2"/>
        <v/>
      </c>
      <c r="M260" s="41">
        <f>SUMIFS('04 Payments'!$K$7:$K$400,'04 Payments'!$D$7:$D$400,$B260)</f>
        <v>0</v>
      </c>
      <c r="N260" s="41">
        <f t="shared" si="3"/>
        <v>0</v>
      </c>
      <c r="O260" s="38"/>
      <c r="P260" s="41">
        <f t="shared" si="4"/>
        <v>0</v>
      </c>
      <c r="Q260" s="32"/>
      <c r="R260" s="32"/>
      <c r="S260" s="44"/>
    </row>
    <row r="261" ht="16.5" customHeight="1">
      <c r="A261" s="1"/>
      <c r="B261" s="32"/>
      <c r="C261" s="32"/>
      <c r="D261" s="32"/>
      <c r="E261" s="38"/>
      <c r="F261" s="32"/>
      <c r="G261" s="32"/>
      <c r="H261" s="32"/>
      <c r="I261" s="38"/>
      <c r="J261" s="38"/>
      <c r="K261" s="38"/>
      <c r="L261" s="41" t="str">
        <f t="shared" si="2"/>
        <v/>
      </c>
      <c r="M261" s="41">
        <f>SUMIFS('04 Payments'!$K$7:$K$400,'04 Payments'!$D$7:$D$400,$B261)</f>
        <v>0</v>
      </c>
      <c r="N261" s="41">
        <f t="shared" si="3"/>
        <v>0</v>
      </c>
      <c r="O261" s="38"/>
      <c r="P261" s="41">
        <f t="shared" si="4"/>
        <v>0</v>
      </c>
      <c r="Q261" s="32"/>
      <c r="R261" s="32"/>
      <c r="S261" s="44"/>
    </row>
    <row r="262" ht="16.5" customHeight="1">
      <c r="A262" s="1"/>
      <c r="B262" s="32"/>
      <c r="C262" s="32"/>
      <c r="D262" s="32"/>
      <c r="E262" s="38"/>
      <c r="F262" s="32"/>
      <c r="G262" s="32"/>
      <c r="H262" s="32"/>
      <c r="I262" s="38"/>
      <c r="J262" s="38"/>
      <c r="K262" s="38"/>
      <c r="L262" s="41" t="str">
        <f t="shared" si="2"/>
        <v/>
      </c>
      <c r="M262" s="41">
        <f>SUMIFS('04 Payments'!$K$7:$K$400,'04 Payments'!$D$7:$D$400,$B262)</f>
        <v>0</v>
      </c>
      <c r="N262" s="41">
        <f t="shared" si="3"/>
        <v>0</v>
      </c>
      <c r="O262" s="38"/>
      <c r="P262" s="41">
        <f t="shared" si="4"/>
        <v>0</v>
      </c>
      <c r="Q262" s="32"/>
      <c r="R262" s="32"/>
      <c r="S262" s="44"/>
    </row>
    <row r="263" ht="16.5" customHeight="1">
      <c r="A263" s="1"/>
      <c r="B263" s="32"/>
      <c r="C263" s="32"/>
      <c r="D263" s="32"/>
      <c r="E263" s="38"/>
      <c r="F263" s="32"/>
      <c r="G263" s="32"/>
      <c r="H263" s="32"/>
      <c r="I263" s="38"/>
      <c r="J263" s="38"/>
      <c r="K263" s="38"/>
      <c r="L263" s="41" t="str">
        <f t="shared" si="2"/>
        <v/>
      </c>
      <c r="M263" s="41">
        <f>SUMIFS('04 Payments'!$K$7:$K$400,'04 Payments'!$D$7:$D$400,$B263)</f>
        <v>0</v>
      </c>
      <c r="N263" s="41">
        <f t="shared" si="3"/>
        <v>0</v>
      </c>
      <c r="O263" s="38"/>
      <c r="P263" s="41">
        <f t="shared" si="4"/>
        <v>0</v>
      </c>
      <c r="Q263" s="32"/>
      <c r="R263" s="32"/>
      <c r="S263" s="44"/>
    </row>
    <row r="264" ht="16.5" customHeight="1">
      <c r="A264" s="1"/>
      <c r="B264" s="32"/>
      <c r="C264" s="32"/>
      <c r="D264" s="32"/>
      <c r="E264" s="38"/>
      <c r="F264" s="32"/>
      <c r="G264" s="32"/>
      <c r="H264" s="32"/>
      <c r="I264" s="38"/>
      <c r="J264" s="38"/>
      <c r="K264" s="38"/>
      <c r="L264" s="41" t="str">
        <f t="shared" si="2"/>
        <v/>
      </c>
      <c r="M264" s="41">
        <f>SUMIFS('04 Payments'!$K$7:$K$400,'04 Payments'!$D$7:$D$400,$B264)</f>
        <v>0</v>
      </c>
      <c r="N264" s="41">
        <f t="shared" si="3"/>
        <v>0</v>
      </c>
      <c r="O264" s="38"/>
      <c r="P264" s="41">
        <f t="shared" si="4"/>
        <v>0</v>
      </c>
      <c r="Q264" s="32"/>
      <c r="R264" s="32"/>
      <c r="S264" s="44"/>
    </row>
    <row r="265" ht="16.5" customHeight="1">
      <c r="A265" s="1"/>
      <c r="B265" s="32"/>
      <c r="C265" s="32"/>
      <c r="D265" s="32"/>
      <c r="E265" s="38"/>
      <c r="F265" s="32"/>
      <c r="G265" s="32"/>
      <c r="H265" s="32"/>
      <c r="I265" s="38"/>
      <c r="J265" s="38"/>
      <c r="K265" s="38"/>
      <c r="L265" s="41" t="str">
        <f t="shared" si="2"/>
        <v/>
      </c>
      <c r="M265" s="41">
        <f>SUMIFS('04 Payments'!$K$7:$K$400,'04 Payments'!$D$7:$D$400,$B265)</f>
        <v>0</v>
      </c>
      <c r="N265" s="41">
        <f t="shared" si="3"/>
        <v>0</v>
      </c>
      <c r="O265" s="38"/>
      <c r="P265" s="41">
        <f t="shared" si="4"/>
        <v>0</v>
      </c>
      <c r="Q265" s="32"/>
      <c r="R265" s="32"/>
      <c r="S265" s="44"/>
    </row>
    <row r="266" ht="16.5" customHeight="1">
      <c r="A266" s="1"/>
      <c r="B266" s="32"/>
      <c r="C266" s="32"/>
      <c r="D266" s="32"/>
      <c r="E266" s="38"/>
      <c r="F266" s="32"/>
      <c r="G266" s="32"/>
      <c r="H266" s="32"/>
      <c r="I266" s="38"/>
      <c r="J266" s="38"/>
      <c r="K266" s="38"/>
      <c r="L266" s="41" t="str">
        <f t="shared" si="2"/>
        <v/>
      </c>
      <c r="M266" s="41">
        <f>SUMIFS('04 Payments'!$K$7:$K$400,'04 Payments'!$D$7:$D$400,$B266)</f>
        <v>0</v>
      </c>
      <c r="N266" s="41">
        <f t="shared" si="3"/>
        <v>0</v>
      </c>
      <c r="O266" s="38"/>
      <c r="P266" s="41">
        <f t="shared" si="4"/>
        <v>0</v>
      </c>
      <c r="Q266" s="32"/>
      <c r="R266" s="32"/>
      <c r="S266" s="44"/>
    </row>
    <row r="267" ht="16.5" customHeight="1">
      <c r="A267" s="1"/>
      <c r="B267" s="32"/>
      <c r="C267" s="32"/>
      <c r="D267" s="32"/>
      <c r="E267" s="38"/>
      <c r="F267" s="32"/>
      <c r="G267" s="32"/>
      <c r="H267" s="32"/>
      <c r="I267" s="38"/>
      <c r="J267" s="38"/>
      <c r="K267" s="38"/>
      <c r="L267" s="41" t="str">
        <f t="shared" si="2"/>
        <v/>
      </c>
      <c r="M267" s="41">
        <f>SUMIFS('04 Payments'!$K$7:$K$400,'04 Payments'!$D$7:$D$400,$B267)</f>
        <v>0</v>
      </c>
      <c r="N267" s="41">
        <f t="shared" si="3"/>
        <v>0</v>
      </c>
      <c r="O267" s="38"/>
      <c r="P267" s="41">
        <f t="shared" si="4"/>
        <v>0</v>
      </c>
      <c r="Q267" s="32"/>
      <c r="R267" s="32"/>
      <c r="S267" s="44"/>
    </row>
    <row r="268" ht="16.5" customHeight="1">
      <c r="A268" s="1"/>
      <c r="B268" s="32"/>
      <c r="C268" s="32"/>
      <c r="D268" s="32"/>
      <c r="E268" s="38"/>
      <c r="F268" s="32"/>
      <c r="G268" s="32"/>
      <c r="H268" s="32"/>
      <c r="I268" s="38"/>
      <c r="J268" s="38"/>
      <c r="K268" s="38"/>
      <c r="L268" s="41" t="str">
        <f t="shared" si="2"/>
        <v/>
      </c>
      <c r="M268" s="41">
        <f>SUMIFS('04 Payments'!$K$7:$K$400,'04 Payments'!$D$7:$D$400,$B268)</f>
        <v>0</v>
      </c>
      <c r="N268" s="41">
        <f t="shared" si="3"/>
        <v>0</v>
      </c>
      <c r="O268" s="38"/>
      <c r="P268" s="41">
        <f t="shared" si="4"/>
        <v>0</v>
      </c>
      <c r="Q268" s="32"/>
      <c r="R268" s="32"/>
      <c r="S268" s="44"/>
    </row>
    <row r="269" ht="16.5" customHeight="1">
      <c r="A269" s="1"/>
      <c r="B269" s="32"/>
      <c r="C269" s="32"/>
      <c r="D269" s="32"/>
      <c r="E269" s="38"/>
      <c r="F269" s="32"/>
      <c r="G269" s="32"/>
      <c r="H269" s="32"/>
      <c r="I269" s="38"/>
      <c r="J269" s="38"/>
      <c r="K269" s="38"/>
      <c r="L269" s="41" t="str">
        <f t="shared" si="2"/>
        <v/>
      </c>
      <c r="M269" s="41">
        <f>SUMIFS('04 Payments'!$K$7:$K$400,'04 Payments'!$D$7:$D$400,$B269)</f>
        <v>0</v>
      </c>
      <c r="N269" s="41">
        <f t="shared" si="3"/>
        <v>0</v>
      </c>
      <c r="O269" s="38"/>
      <c r="P269" s="41">
        <f t="shared" si="4"/>
        <v>0</v>
      </c>
      <c r="Q269" s="32"/>
      <c r="R269" s="32"/>
      <c r="S269" s="44"/>
    </row>
    <row r="270" ht="16.5" customHeight="1">
      <c r="A270" s="1"/>
      <c r="B270" s="32"/>
      <c r="C270" s="32"/>
      <c r="D270" s="32"/>
      <c r="E270" s="38"/>
      <c r="F270" s="32"/>
      <c r="G270" s="32"/>
      <c r="H270" s="32"/>
      <c r="I270" s="38"/>
      <c r="J270" s="38"/>
      <c r="K270" s="38"/>
      <c r="L270" s="41" t="str">
        <f t="shared" si="2"/>
        <v/>
      </c>
      <c r="M270" s="41">
        <f>SUMIFS('04 Payments'!$K$7:$K$400,'04 Payments'!$D$7:$D$400,$B270)</f>
        <v>0</v>
      </c>
      <c r="N270" s="41">
        <f t="shared" si="3"/>
        <v>0</v>
      </c>
      <c r="O270" s="38"/>
      <c r="P270" s="41">
        <f t="shared" si="4"/>
        <v>0</v>
      </c>
      <c r="Q270" s="32"/>
      <c r="R270" s="32"/>
      <c r="S270" s="44"/>
    </row>
    <row r="271" ht="16.5" customHeight="1">
      <c r="A271" s="1"/>
      <c r="B271" s="32"/>
      <c r="C271" s="32"/>
      <c r="D271" s="32"/>
      <c r="E271" s="38"/>
      <c r="F271" s="32"/>
      <c r="G271" s="32"/>
      <c r="H271" s="32"/>
      <c r="I271" s="38"/>
      <c r="J271" s="38"/>
      <c r="K271" s="38"/>
      <c r="L271" s="41" t="str">
        <f t="shared" si="2"/>
        <v/>
      </c>
      <c r="M271" s="41">
        <f>SUMIFS('04 Payments'!$K$7:$K$400,'04 Payments'!$D$7:$D$400,$B271)</f>
        <v>0</v>
      </c>
      <c r="N271" s="41">
        <f t="shared" si="3"/>
        <v>0</v>
      </c>
      <c r="O271" s="38"/>
      <c r="P271" s="41">
        <f t="shared" si="4"/>
        <v>0</v>
      </c>
      <c r="Q271" s="32"/>
      <c r="R271" s="32"/>
      <c r="S271" s="44"/>
    </row>
    <row r="272" ht="16.5" customHeight="1">
      <c r="A272" s="1"/>
      <c r="B272" s="32"/>
      <c r="C272" s="32"/>
      <c r="D272" s="32"/>
      <c r="E272" s="38"/>
      <c r="F272" s="32"/>
      <c r="G272" s="32"/>
      <c r="H272" s="32"/>
      <c r="I272" s="38"/>
      <c r="J272" s="38"/>
      <c r="K272" s="38"/>
      <c r="L272" s="41" t="str">
        <f t="shared" si="2"/>
        <v/>
      </c>
      <c r="M272" s="41">
        <f>SUMIFS('04 Payments'!$K$7:$K$400,'04 Payments'!$D$7:$D$400,$B272)</f>
        <v>0</v>
      </c>
      <c r="N272" s="41">
        <f t="shared" si="3"/>
        <v>0</v>
      </c>
      <c r="O272" s="38"/>
      <c r="P272" s="41">
        <f t="shared" si="4"/>
        <v>0</v>
      </c>
      <c r="Q272" s="32"/>
      <c r="R272" s="32"/>
      <c r="S272" s="44"/>
    </row>
    <row r="273" ht="16.5" customHeight="1">
      <c r="A273" s="1"/>
      <c r="B273" s="32"/>
      <c r="C273" s="32"/>
      <c r="D273" s="32"/>
      <c r="E273" s="38"/>
      <c r="F273" s="32"/>
      <c r="G273" s="32"/>
      <c r="H273" s="32"/>
      <c r="I273" s="38"/>
      <c r="J273" s="38"/>
      <c r="K273" s="38"/>
      <c r="L273" s="41" t="str">
        <f t="shared" si="2"/>
        <v/>
      </c>
      <c r="M273" s="41">
        <f>SUMIFS('04 Payments'!$K$7:$K$400,'04 Payments'!$D$7:$D$400,$B273)</f>
        <v>0</v>
      </c>
      <c r="N273" s="41">
        <f t="shared" si="3"/>
        <v>0</v>
      </c>
      <c r="O273" s="38"/>
      <c r="P273" s="41">
        <f t="shared" si="4"/>
        <v>0</v>
      </c>
      <c r="Q273" s="32"/>
      <c r="R273" s="32"/>
      <c r="S273" s="44"/>
    </row>
    <row r="274" ht="16.5" customHeight="1">
      <c r="A274" s="1"/>
      <c r="B274" s="32"/>
      <c r="C274" s="32"/>
      <c r="D274" s="32"/>
      <c r="E274" s="38"/>
      <c r="F274" s="32"/>
      <c r="G274" s="32"/>
      <c r="H274" s="32"/>
      <c r="I274" s="38"/>
      <c r="J274" s="38"/>
      <c r="K274" s="38"/>
      <c r="L274" s="41" t="str">
        <f t="shared" si="2"/>
        <v/>
      </c>
      <c r="M274" s="41">
        <f>SUMIFS('04 Payments'!$K$7:$K$400,'04 Payments'!$D$7:$D$400,$B274)</f>
        <v>0</v>
      </c>
      <c r="N274" s="41">
        <f t="shared" si="3"/>
        <v>0</v>
      </c>
      <c r="O274" s="38"/>
      <c r="P274" s="41">
        <f t="shared" si="4"/>
        <v>0</v>
      </c>
      <c r="Q274" s="32"/>
      <c r="R274" s="32"/>
      <c r="S274" s="44"/>
    </row>
    <row r="275" ht="16.5" customHeight="1">
      <c r="A275" s="1"/>
      <c r="B275" s="32"/>
      <c r="C275" s="32"/>
      <c r="D275" s="32"/>
      <c r="E275" s="38"/>
      <c r="F275" s="32"/>
      <c r="G275" s="32"/>
      <c r="H275" s="32"/>
      <c r="I275" s="38"/>
      <c r="J275" s="38"/>
      <c r="K275" s="38"/>
      <c r="L275" s="41" t="str">
        <f t="shared" si="2"/>
        <v/>
      </c>
      <c r="M275" s="41">
        <f>SUMIFS('04 Payments'!$K$7:$K$400,'04 Payments'!$D$7:$D$400,$B275)</f>
        <v>0</v>
      </c>
      <c r="N275" s="41">
        <f t="shared" si="3"/>
        <v>0</v>
      </c>
      <c r="O275" s="38"/>
      <c r="P275" s="41">
        <f t="shared" si="4"/>
        <v>0</v>
      </c>
      <c r="Q275" s="32"/>
      <c r="R275" s="32"/>
      <c r="S275" s="44"/>
    </row>
    <row r="276" ht="16.5" customHeight="1">
      <c r="A276" s="1"/>
      <c r="B276" s="32"/>
      <c r="C276" s="32"/>
      <c r="D276" s="32"/>
      <c r="E276" s="38"/>
      <c r="F276" s="32"/>
      <c r="G276" s="32"/>
      <c r="H276" s="32"/>
      <c r="I276" s="38"/>
      <c r="J276" s="38"/>
      <c r="K276" s="38"/>
      <c r="L276" s="41" t="str">
        <f t="shared" si="2"/>
        <v/>
      </c>
      <c r="M276" s="41">
        <f>SUMIFS('04 Payments'!$K$7:$K$400,'04 Payments'!$D$7:$D$400,$B276)</f>
        <v>0</v>
      </c>
      <c r="N276" s="41">
        <f t="shared" si="3"/>
        <v>0</v>
      </c>
      <c r="O276" s="38"/>
      <c r="P276" s="41">
        <f t="shared" si="4"/>
        <v>0</v>
      </c>
      <c r="Q276" s="32"/>
      <c r="R276" s="32"/>
      <c r="S276" s="44"/>
    </row>
    <row r="277" ht="16.5" customHeight="1">
      <c r="A277" s="1"/>
      <c r="B277" s="32"/>
      <c r="C277" s="32"/>
      <c r="D277" s="32"/>
      <c r="E277" s="38"/>
      <c r="F277" s="32"/>
      <c r="G277" s="32"/>
      <c r="H277" s="32"/>
      <c r="I277" s="38"/>
      <c r="J277" s="38"/>
      <c r="K277" s="38"/>
      <c r="L277" s="41" t="str">
        <f t="shared" si="2"/>
        <v/>
      </c>
      <c r="M277" s="41">
        <f>SUMIFS('04 Payments'!$K$7:$K$400,'04 Payments'!$D$7:$D$400,$B277)</f>
        <v>0</v>
      </c>
      <c r="N277" s="41">
        <f t="shared" si="3"/>
        <v>0</v>
      </c>
      <c r="O277" s="38"/>
      <c r="P277" s="41">
        <f t="shared" si="4"/>
        <v>0</v>
      </c>
      <c r="Q277" s="32"/>
      <c r="R277" s="32"/>
      <c r="S277" s="44"/>
    </row>
    <row r="278" ht="16.5" customHeight="1">
      <c r="A278" s="1"/>
      <c r="B278" s="32"/>
      <c r="C278" s="32"/>
      <c r="D278" s="32"/>
      <c r="E278" s="38"/>
      <c r="F278" s="32"/>
      <c r="G278" s="32"/>
      <c r="H278" s="32"/>
      <c r="I278" s="38"/>
      <c r="J278" s="38"/>
      <c r="K278" s="38"/>
      <c r="L278" s="41" t="str">
        <f t="shared" si="2"/>
        <v/>
      </c>
      <c r="M278" s="41">
        <f>SUMIFS('04 Payments'!$K$7:$K$400,'04 Payments'!$D$7:$D$400,$B278)</f>
        <v>0</v>
      </c>
      <c r="N278" s="41">
        <f t="shared" si="3"/>
        <v>0</v>
      </c>
      <c r="O278" s="38"/>
      <c r="P278" s="41">
        <f t="shared" si="4"/>
        <v>0</v>
      </c>
      <c r="Q278" s="32"/>
      <c r="R278" s="32"/>
      <c r="S278" s="44"/>
    </row>
    <row r="279" ht="16.5" customHeight="1">
      <c r="A279" s="1"/>
      <c r="B279" s="32"/>
      <c r="C279" s="32"/>
      <c r="D279" s="32"/>
      <c r="E279" s="38"/>
      <c r="F279" s="32"/>
      <c r="G279" s="32"/>
      <c r="H279" s="32"/>
      <c r="I279" s="38"/>
      <c r="J279" s="38"/>
      <c r="K279" s="38"/>
      <c r="L279" s="41" t="str">
        <f t="shared" si="2"/>
        <v/>
      </c>
      <c r="M279" s="41">
        <f>SUMIFS('04 Payments'!$K$7:$K$400,'04 Payments'!$D$7:$D$400,$B279)</f>
        <v>0</v>
      </c>
      <c r="N279" s="41">
        <f t="shared" si="3"/>
        <v>0</v>
      </c>
      <c r="O279" s="38"/>
      <c r="P279" s="41">
        <f t="shared" si="4"/>
        <v>0</v>
      </c>
      <c r="Q279" s="32"/>
      <c r="R279" s="32"/>
      <c r="S279" s="44"/>
    </row>
    <row r="280" ht="16.5" customHeight="1">
      <c r="A280" s="1"/>
      <c r="B280" s="32"/>
      <c r="C280" s="32"/>
      <c r="D280" s="32"/>
      <c r="E280" s="38"/>
      <c r="F280" s="32"/>
      <c r="G280" s="32"/>
      <c r="H280" s="32"/>
      <c r="I280" s="38"/>
      <c r="J280" s="38"/>
      <c r="K280" s="38"/>
      <c r="L280" s="41" t="str">
        <f t="shared" si="2"/>
        <v/>
      </c>
      <c r="M280" s="41">
        <f>SUMIFS('04 Payments'!$K$7:$K$400,'04 Payments'!$D$7:$D$400,$B280)</f>
        <v>0</v>
      </c>
      <c r="N280" s="41">
        <f t="shared" si="3"/>
        <v>0</v>
      </c>
      <c r="O280" s="38"/>
      <c r="P280" s="41">
        <f t="shared" si="4"/>
        <v>0</v>
      </c>
      <c r="Q280" s="32"/>
      <c r="R280" s="32"/>
      <c r="S280" s="44"/>
    </row>
    <row r="281" ht="16.5" customHeight="1">
      <c r="A281" s="1"/>
      <c r="B281" s="32"/>
      <c r="C281" s="32"/>
      <c r="D281" s="32"/>
      <c r="E281" s="38"/>
      <c r="F281" s="32"/>
      <c r="G281" s="32"/>
      <c r="H281" s="32"/>
      <c r="I281" s="38"/>
      <c r="J281" s="38"/>
      <c r="K281" s="38"/>
      <c r="L281" s="41" t="str">
        <f t="shared" si="2"/>
        <v/>
      </c>
      <c r="M281" s="41">
        <f>SUMIFS('04 Payments'!$K$7:$K$400,'04 Payments'!$D$7:$D$400,$B281)</f>
        <v>0</v>
      </c>
      <c r="N281" s="41">
        <f t="shared" si="3"/>
        <v>0</v>
      </c>
      <c r="O281" s="38"/>
      <c r="P281" s="41">
        <f t="shared" si="4"/>
        <v>0</v>
      </c>
      <c r="Q281" s="32"/>
      <c r="R281" s="32"/>
      <c r="S281" s="44"/>
    </row>
    <row r="282" ht="16.5" customHeight="1">
      <c r="A282" s="1"/>
      <c r="B282" s="32"/>
      <c r="C282" s="32"/>
      <c r="D282" s="32"/>
      <c r="E282" s="38"/>
      <c r="F282" s="32"/>
      <c r="G282" s="32"/>
      <c r="H282" s="32"/>
      <c r="I282" s="38"/>
      <c r="J282" s="38"/>
      <c r="K282" s="38"/>
      <c r="L282" s="41" t="str">
        <f t="shared" si="2"/>
        <v/>
      </c>
      <c r="M282" s="41">
        <f>SUMIFS('04 Payments'!$K$7:$K$400,'04 Payments'!$D$7:$D$400,$B282)</f>
        <v>0</v>
      </c>
      <c r="N282" s="41">
        <f t="shared" si="3"/>
        <v>0</v>
      </c>
      <c r="O282" s="38"/>
      <c r="P282" s="41">
        <f t="shared" si="4"/>
        <v>0</v>
      </c>
      <c r="Q282" s="32"/>
      <c r="R282" s="32"/>
      <c r="S282" s="44"/>
    </row>
    <row r="283" ht="16.5" customHeight="1">
      <c r="A283" s="1"/>
      <c r="B283" s="32"/>
      <c r="C283" s="32"/>
      <c r="D283" s="32"/>
      <c r="E283" s="38"/>
      <c r="F283" s="32"/>
      <c r="G283" s="32"/>
      <c r="H283" s="32"/>
      <c r="I283" s="38"/>
      <c r="J283" s="38"/>
      <c r="K283" s="38"/>
      <c r="L283" s="41" t="str">
        <f t="shared" si="2"/>
        <v/>
      </c>
      <c r="M283" s="41">
        <f>SUMIFS('04 Payments'!$K$7:$K$400,'04 Payments'!$D$7:$D$400,$B283)</f>
        <v>0</v>
      </c>
      <c r="N283" s="41">
        <f t="shared" si="3"/>
        <v>0</v>
      </c>
      <c r="O283" s="38"/>
      <c r="P283" s="41">
        <f t="shared" si="4"/>
        <v>0</v>
      </c>
      <c r="Q283" s="32"/>
      <c r="R283" s="32"/>
      <c r="S283" s="44"/>
    </row>
    <row r="284" ht="16.5" customHeight="1">
      <c r="A284" s="1"/>
      <c r="B284" s="32"/>
      <c r="C284" s="32"/>
      <c r="D284" s="32"/>
      <c r="E284" s="38"/>
      <c r="F284" s="32"/>
      <c r="G284" s="32"/>
      <c r="H284" s="32"/>
      <c r="I284" s="38"/>
      <c r="J284" s="38"/>
      <c r="K284" s="38"/>
      <c r="L284" s="41" t="str">
        <f t="shared" si="2"/>
        <v/>
      </c>
      <c r="M284" s="41">
        <f>SUMIFS('04 Payments'!$K$7:$K$400,'04 Payments'!$D$7:$D$400,$B284)</f>
        <v>0</v>
      </c>
      <c r="N284" s="41">
        <f t="shared" si="3"/>
        <v>0</v>
      </c>
      <c r="O284" s="38"/>
      <c r="P284" s="41">
        <f t="shared" si="4"/>
        <v>0</v>
      </c>
      <c r="Q284" s="32"/>
      <c r="R284" s="32"/>
      <c r="S284" s="44"/>
    </row>
    <row r="285" ht="16.5" customHeight="1">
      <c r="A285" s="1"/>
      <c r="B285" s="32"/>
      <c r="C285" s="32"/>
      <c r="D285" s="32"/>
      <c r="E285" s="38"/>
      <c r="F285" s="32"/>
      <c r="G285" s="32"/>
      <c r="H285" s="32"/>
      <c r="I285" s="38"/>
      <c r="J285" s="38"/>
      <c r="K285" s="38"/>
      <c r="L285" s="41" t="str">
        <f t="shared" si="2"/>
        <v/>
      </c>
      <c r="M285" s="41">
        <f>SUMIFS('04 Payments'!$K$7:$K$400,'04 Payments'!$D$7:$D$400,$B285)</f>
        <v>0</v>
      </c>
      <c r="N285" s="41">
        <f t="shared" si="3"/>
        <v>0</v>
      </c>
      <c r="O285" s="38"/>
      <c r="P285" s="41">
        <f t="shared" si="4"/>
        <v>0</v>
      </c>
      <c r="Q285" s="32"/>
      <c r="R285" s="32"/>
      <c r="S285" s="44"/>
    </row>
    <row r="286" ht="16.5" customHeight="1">
      <c r="A286" s="1"/>
      <c r="B286" s="32"/>
      <c r="C286" s="32"/>
      <c r="D286" s="32"/>
      <c r="E286" s="38"/>
      <c r="F286" s="32"/>
      <c r="G286" s="32"/>
      <c r="H286" s="32"/>
      <c r="I286" s="38"/>
      <c r="J286" s="38"/>
      <c r="K286" s="38"/>
      <c r="L286" s="41" t="str">
        <f t="shared" si="2"/>
        <v/>
      </c>
      <c r="M286" s="41">
        <f>SUMIFS('04 Payments'!$K$7:$K$400,'04 Payments'!$D$7:$D$400,$B286)</f>
        <v>0</v>
      </c>
      <c r="N286" s="41">
        <f t="shared" si="3"/>
        <v>0</v>
      </c>
      <c r="O286" s="38"/>
      <c r="P286" s="41">
        <f t="shared" si="4"/>
        <v>0</v>
      </c>
      <c r="Q286" s="32"/>
      <c r="R286" s="32"/>
      <c r="S286" s="44"/>
    </row>
    <row r="287" ht="16.5" customHeight="1">
      <c r="A287" s="1"/>
      <c r="B287" s="32"/>
      <c r="C287" s="32"/>
      <c r="D287" s="32"/>
      <c r="E287" s="38"/>
      <c r="F287" s="32"/>
      <c r="G287" s="32"/>
      <c r="H287" s="32"/>
      <c r="I287" s="38"/>
      <c r="J287" s="38"/>
      <c r="K287" s="38"/>
      <c r="L287" s="41" t="str">
        <f t="shared" si="2"/>
        <v/>
      </c>
      <c r="M287" s="41">
        <f>SUMIFS('04 Payments'!$K$7:$K$400,'04 Payments'!$D$7:$D$400,$B287)</f>
        <v>0</v>
      </c>
      <c r="N287" s="41">
        <f t="shared" si="3"/>
        <v>0</v>
      </c>
      <c r="O287" s="38"/>
      <c r="P287" s="41">
        <f t="shared" si="4"/>
        <v>0</v>
      </c>
      <c r="Q287" s="32"/>
      <c r="R287" s="32"/>
      <c r="S287" s="44"/>
    </row>
    <row r="288" ht="16.5" customHeight="1">
      <c r="A288" s="1"/>
      <c r="B288" s="32"/>
      <c r="C288" s="32"/>
      <c r="D288" s="32"/>
      <c r="E288" s="38"/>
      <c r="F288" s="32"/>
      <c r="G288" s="32"/>
      <c r="H288" s="32"/>
      <c r="I288" s="38"/>
      <c r="J288" s="38"/>
      <c r="K288" s="38"/>
      <c r="L288" s="41" t="str">
        <f t="shared" si="2"/>
        <v/>
      </c>
      <c r="M288" s="41">
        <f>SUMIFS('04 Payments'!$K$7:$K$400,'04 Payments'!$D$7:$D$400,$B288)</f>
        <v>0</v>
      </c>
      <c r="N288" s="41">
        <f t="shared" si="3"/>
        <v>0</v>
      </c>
      <c r="O288" s="38"/>
      <c r="P288" s="41">
        <f t="shared" si="4"/>
        <v>0</v>
      </c>
      <c r="Q288" s="32"/>
      <c r="R288" s="32"/>
      <c r="S288" s="44"/>
    </row>
    <row r="289" ht="16.5" customHeight="1">
      <c r="A289" s="1"/>
      <c r="B289" s="32"/>
      <c r="C289" s="32"/>
      <c r="D289" s="32"/>
      <c r="E289" s="38"/>
      <c r="F289" s="32"/>
      <c r="G289" s="32"/>
      <c r="H289" s="32"/>
      <c r="I289" s="38"/>
      <c r="J289" s="38"/>
      <c r="K289" s="38"/>
      <c r="L289" s="41" t="str">
        <f t="shared" si="2"/>
        <v/>
      </c>
      <c r="M289" s="41">
        <f>SUMIFS('04 Payments'!$K$7:$K$400,'04 Payments'!$D$7:$D$400,$B289)</f>
        <v>0</v>
      </c>
      <c r="N289" s="41">
        <f t="shared" si="3"/>
        <v>0</v>
      </c>
      <c r="O289" s="38"/>
      <c r="P289" s="41">
        <f t="shared" si="4"/>
        <v>0</v>
      </c>
      <c r="Q289" s="32"/>
      <c r="R289" s="32"/>
      <c r="S289" s="44"/>
    </row>
    <row r="290" ht="16.5" customHeight="1">
      <c r="A290" s="1"/>
      <c r="B290" s="32"/>
      <c r="C290" s="32"/>
      <c r="D290" s="32"/>
      <c r="E290" s="38"/>
      <c r="F290" s="32"/>
      <c r="G290" s="32"/>
      <c r="H290" s="32"/>
      <c r="I290" s="38"/>
      <c r="J290" s="38"/>
      <c r="K290" s="38"/>
      <c r="L290" s="41" t="str">
        <f t="shared" si="2"/>
        <v/>
      </c>
      <c r="M290" s="41">
        <f>SUMIFS('04 Payments'!$K$7:$K$400,'04 Payments'!$D$7:$D$400,$B290)</f>
        <v>0</v>
      </c>
      <c r="N290" s="41">
        <f t="shared" si="3"/>
        <v>0</v>
      </c>
      <c r="O290" s="38"/>
      <c r="P290" s="41">
        <f t="shared" si="4"/>
        <v>0</v>
      </c>
      <c r="Q290" s="32"/>
      <c r="R290" s="32"/>
      <c r="S290" s="44"/>
    </row>
    <row r="291" ht="16.5" customHeight="1">
      <c r="A291" s="1"/>
      <c r="B291" s="32"/>
      <c r="C291" s="32"/>
      <c r="D291" s="32"/>
      <c r="E291" s="38"/>
      <c r="F291" s="32"/>
      <c r="G291" s="32"/>
      <c r="H291" s="32"/>
      <c r="I291" s="38"/>
      <c r="J291" s="38"/>
      <c r="K291" s="38"/>
      <c r="L291" s="41" t="str">
        <f t="shared" si="2"/>
        <v/>
      </c>
      <c r="M291" s="41">
        <f>SUMIFS('04 Payments'!$K$7:$K$400,'04 Payments'!$D$7:$D$400,$B291)</f>
        <v>0</v>
      </c>
      <c r="N291" s="41">
        <f t="shared" si="3"/>
        <v>0</v>
      </c>
      <c r="O291" s="38"/>
      <c r="P291" s="41">
        <f t="shared" si="4"/>
        <v>0</v>
      </c>
      <c r="Q291" s="32"/>
      <c r="R291" s="32"/>
      <c r="S291" s="44"/>
    </row>
    <row r="292" ht="16.5" customHeight="1">
      <c r="A292" s="1"/>
      <c r="B292" s="32"/>
      <c r="C292" s="32"/>
      <c r="D292" s="32"/>
      <c r="E292" s="38"/>
      <c r="F292" s="32"/>
      <c r="G292" s="32"/>
      <c r="H292" s="32"/>
      <c r="I292" s="38"/>
      <c r="J292" s="38"/>
      <c r="K292" s="38"/>
      <c r="L292" s="41" t="str">
        <f t="shared" si="2"/>
        <v/>
      </c>
      <c r="M292" s="41">
        <f>SUMIFS('04 Payments'!$K$7:$K$400,'04 Payments'!$D$7:$D$400,$B292)</f>
        <v>0</v>
      </c>
      <c r="N292" s="41">
        <f t="shared" si="3"/>
        <v>0</v>
      </c>
      <c r="O292" s="38"/>
      <c r="P292" s="41">
        <f t="shared" si="4"/>
        <v>0</v>
      </c>
      <c r="Q292" s="32"/>
      <c r="R292" s="32"/>
      <c r="S292" s="44"/>
    </row>
    <row r="293" ht="16.5" customHeight="1">
      <c r="A293" s="1"/>
      <c r="B293" s="32"/>
      <c r="C293" s="32"/>
      <c r="D293" s="32"/>
      <c r="E293" s="38"/>
      <c r="F293" s="32"/>
      <c r="G293" s="32"/>
      <c r="H293" s="32"/>
      <c r="I293" s="38"/>
      <c r="J293" s="38"/>
      <c r="K293" s="38"/>
      <c r="L293" s="41" t="str">
        <f t="shared" si="2"/>
        <v/>
      </c>
      <c r="M293" s="41">
        <f>SUMIFS('04 Payments'!$K$7:$K$400,'04 Payments'!$D$7:$D$400,$B293)</f>
        <v>0</v>
      </c>
      <c r="N293" s="41">
        <f t="shared" si="3"/>
        <v>0</v>
      </c>
      <c r="O293" s="38"/>
      <c r="P293" s="41">
        <f t="shared" si="4"/>
        <v>0</v>
      </c>
      <c r="Q293" s="32"/>
      <c r="R293" s="32"/>
      <c r="S293" s="44"/>
    </row>
    <row r="294" ht="16.5" customHeight="1">
      <c r="A294" s="1"/>
      <c r="B294" s="32"/>
      <c r="C294" s="32"/>
      <c r="D294" s="32"/>
      <c r="E294" s="38"/>
      <c r="F294" s="32"/>
      <c r="G294" s="32"/>
      <c r="H294" s="32"/>
      <c r="I294" s="38"/>
      <c r="J294" s="38"/>
      <c r="K294" s="38"/>
      <c r="L294" s="41" t="str">
        <f t="shared" si="2"/>
        <v/>
      </c>
      <c r="M294" s="41">
        <f>SUMIFS('04 Payments'!$K$7:$K$400,'04 Payments'!$D$7:$D$400,$B294)</f>
        <v>0</v>
      </c>
      <c r="N294" s="41">
        <f t="shared" si="3"/>
        <v>0</v>
      </c>
      <c r="O294" s="38"/>
      <c r="P294" s="41">
        <f t="shared" si="4"/>
        <v>0</v>
      </c>
      <c r="Q294" s="32"/>
      <c r="R294" s="32"/>
      <c r="S294" s="44"/>
    </row>
    <row r="295" ht="16.5" customHeight="1">
      <c r="A295" s="1"/>
      <c r="B295" s="32"/>
      <c r="C295" s="32"/>
      <c r="D295" s="32"/>
      <c r="E295" s="38"/>
      <c r="F295" s="32"/>
      <c r="G295" s="32"/>
      <c r="H295" s="32"/>
      <c r="I295" s="38"/>
      <c r="J295" s="38"/>
      <c r="K295" s="38"/>
      <c r="L295" s="41" t="str">
        <f t="shared" si="2"/>
        <v/>
      </c>
      <c r="M295" s="41">
        <f>SUMIFS('04 Payments'!$K$7:$K$400,'04 Payments'!$D$7:$D$400,$B295)</f>
        <v>0</v>
      </c>
      <c r="N295" s="41">
        <f t="shared" si="3"/>
        <v>0</v>
      </c>
      <c r="O295" s="38"/>
      <c r="P295" s="41">
        <f t="shared" si="4"/>
        <v>0</v>
      </c>
      <c r="Q295" s="32"/>
      <c r="R295" s="32"/>
      <c r="S295" s="44"/>
    </row>
    <row r="296" ht="16.5" customHeight="1">
      <c r="A296" s="1"/>
      <c r="B296" s="32"/>
      <c r="C296" s="32"/>
      <c r="D296" s="32"/>
      <c r="E296" s="38"/>
      <c r="F296" s="32"/>
      <c r="G296" s="32"/>
      <c r="H296" s="32"/>
      <c r="I296" s="38"/>
      <c r="J296" s="38"/>
      <c r="K296" s="38"/>
      <c r="L296" s="41" t="str">
        <f t="shared" si="2"/>
        <v/>
      </c>
      <c r="M296" s="41">
        <f>SUMIFS('04 Payments'!$K$7:$K$400,'04 Payments'!$D$7:$D$400,$B296)</f>
        <v>0</v>
      </c>
      <c r="N296" s="41">
        <f t="shared" si="3"/>
        <v>0</v>
      </c>
      <c r="O296" s="38"/>
      <c r="P296" s="41">
        <f t="shared" si="4"/>
        <v>0</v>
      </c>
      <c r="Q296" s="32"/>
      <c r="R296" s="32"/>
      <c r="S296" s="44"/>
    </row>
    <row r="297" ht="16.5" customHeight="1">
      <c r="A297" s="1"/>
      <c r="B297" s="32"/>
      <c r="C297" s="32"/>
      <c r="D297" s="32"/>
      <c r="E297" s="38"/>
      <c r="F297" s="32"/>
      <c r="G297" s="32"/>
      <c r="H297" s="32"/>
      <c r="I297" s="38"/>
      <c r="J297" s="38"/>
      <c r="K297" s="38"/>
      <c r="L297" s="41" t="str">
        <f t="shared" si="2"/>
        <v/>
      </c>
      <c r="M297" s="41">
        <f>SUMIFS('04 Payments'!$K$7:$K$400,'04 Payments'!$D$7:$D$400,$B297)</f>
        <v>0</v>
      </c>
      <c r="N297" s="41">
        <f t="shared" si="3"/>
        <v>0</v>
      </c>
      <c r="O297" s="38"/>
      <c r="P297" s="41">
        <f t="shared" si="4"/>
        <v>0</v>
      </c>
      <c r="Q297" s="32"/>
      <c r="R297" s="32"/>
      <c r="S297" s="44"/>
    </row>
    <row r="298" ht="16.5" customHeight="1">
      <c r="A298" s="1"/>
      <c r="B298" s="32"/>
      <c r="C298" s="32"/>
      <c r="D298" s="32"/>
      <c r="E298" s="38"/>
      <c r="F298" s="32"/>
      <c r="G298" s="32"/>
      <c r="H298" s="32"/>
      <c r="I298" s="38"/>
      <c r="J298" s="38"/>
      <c r="K298" s="38"/>
      <c r="L298" s="41" t="str">
        <f t="shared" si="2"/>
        <v/>
      </c>
      <c r="M298" s="41">
        <f>SUMIFS('04 Payments'!$K$7:$K$400,'04 Payments'!$D$7:$D$400,$B298)</f>
        <v>0</v>
      </c>
      <c r="N298" s="41">
        <f t="shared" si="3"/>
        <v>0</v>
      </c>
      <c r="O298" s="38"/>
      <c r="P298" s="41">
        <f t="shared" si="4"/>
        <v>0</v>
      </c>
      <c r="Q298" s="32"/>
      <c r="R298" s="32"/>
      <c r="S298" s="44"/>
    </row>
    <row r="299" ht="16.5" customHeight="1">
      <c r="A299" s="1"/>
      <c r="B299" s="32"/>
      <c r="C299" s="32"/>
      <c r="D299" s="32"/>
      <c r="E299" s="38"/>
      <c r="F299" s="32"/>
      <c r="G299" s="32"/>
      <c r="H299" s="32"/>
      <c r="I299" s="38"/>
      <c r="J299" s="38"/>
      <c r="K299" s="38"/>
      <c r="L299" s="41" t="str">
        <f t="shared" si="2"/>
        <v/>
      </c>
      <c r="M299" s="41">
        <f>SUMIFS('04 Payments'!$K$7:$K$400,'04 Payments'!$D$7:$D$400,$B299)</f>
        <v>0</v>
      </c>
      <c r="N299" s="41">
        <f t="shared" si="3"/>
        <v>0</v>
      </c>
      <c r="O299" s="38"/>
      <c r="P299" s="41">
        <f t="shared" si="4"/>
        <v>0</v>
      </c>
      <c r="Q299" s="32"/>
      <c r="R299" s="32"/>
      <c r="S299" s="44"/>
    </row>
    <row r="300" ht="16.5" customHeight="1">
      <c r="A300" s="1"/>
      <c r="B300" s="32"/>
      <c r="C300" s="32"/>
      <c r="D300" s="32"/>
      <c r="E300" s="38"/>
      <c r="F300" s="32"/>
      <c r="G300" s="32"/>
      <c r="H300" s="32"/>
      <c r="I300" s="38"/>
      <c r="J300" s="38"/>
      <c r="K300" s="38"/>
      <c r="L300" s="41" t="str">
        <f t="shared" si="2"/>
        <v/>
      </c>
      <c r="M300" s="41">
        <f>SUMIFS('04 Payments'!$K$7:$K$400,'04 Payments'!$D$7:$D$400,$B300)</f>
        <v>0</v>
      </c>
      <c r="N300" s="41">
        <f t="shared" si="3"/>
        <v>0</v>
      </c>
      <c r="O300" s="38"/>
      <c r="P300" s="41">
        <f t="shared" si="4"/>
        <v>0</v>
      </c>
      <c r="Q300" s="32"/>
      <c r="R300" s="32"/>
      <c r="S300" s="44"/>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R$300">
    <sortState ref="B6:R300">
      <sortCondition ref="B6:B300"/>
      <sortCondition ref="E6:E300"/>
      <sortCondition descending="1" ref="G6:G300"/>
      <sortCondition descending="1" ref="F6:F300"/>
    </sortState>
  </autoFilter>
  <conditionalFormatting sqref="B7:S300">
    <cfRule type="expression" dxfId="11" priority="1" stopIfTrue="1">
      <formula>$F7="Not Applicable"</formula>
    </cfRule>
  </conditionalFormatting>
  <conditionalFormatting sqref="P7:P300">
    <cfRule type="cellIs" dxfId="2" priority="2" operator="greaterThan">
      <formula>0</formula>
    </cfRule>
  </conditionalFormatting>
  <conditionalFormatting sqref="P7:P300">
    <cfRule type="cellIs" dxfId="3" priority="3" operator="lessThan">
      <formula>0</formula>
    </cfRule>
  </conditionalFormatting>
  <conditionalFormatting sqref="B7:R300">
    <cfRule type="expression" dxfId="3" priority="4">
      <formula>$Q7="Completed"</formula>
    </cfRule>
  </conditionalFormatting>
  <dataValidations>
    <dataValidation type="list" allowBlank="1" sqref="Q7:Q300">
      <formula1>"Not Started,In Progress,Waiting,Completed,Cancelled"</formula1>
    </dataValidation>
    <dataValidation type="list" allowBlank="1" sqref="F7:F300">
      <formula1>"Required,Optional,Not Applicable,Completed"</formula1>
    </dataValidation>
    <dataValidation type="list" allowBlank="1" sqref="G7:G300">
      <formula1>"Bride,Groom,Couple,Bride's Family,Groom's Family,Coordinator,Vendor,Shared"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4E"/>
    <pageSetUpPr/>
  </sheetPr>
  <sheetViews>
    <sheetView showGridLines="0"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2.0"/>
    <col customWidth="1" min="2" max="2" width="8.57"/>
    <col customWidth="1" min="3" max="3" width="12.86"/>
    <col customWidth="1" min="4" max="4" width="14.0"/>
    <col customWidth="1" min="5" max="5" width="24.0"/>
    <col customWidth="1" min="6" max="6" width="40.0"/>
    <col customWidth="1" min="7" max="7" width="25.86"/>
    <col customWidth="1" min="8" max="8" width="17.14"/>
    <col customWidth="1" min="9" max="9" width="15.0"/>
    <col customWidth="1" min="10" max="10" width="12.86"/>
    <col customWidth="1" min="11" max="11" width="15.0"/>
    <col customWidth="1" min="12" max="12" width="12.86"/>
    <col customWidth="1" min="13" max="13" width="14.57"/>
    <col customWidth="1" min="14" max="14" width="13.86"/>
    <col customWidth="1" min="15" max="15" width="17.14"/>
    <col customWidth="1" min="16" max="16" width="11.86"/>
    <col customWidth="1" min="17" max="17" width="10.71"/>
    <col customWidth="1" min="18" max="18" width="19.29"/>
    <col customWidth="1" min="19" max="19" width="12.86"/>
    <col customWidth="1" min="20" max="20" width="15.0"/>
    <col customWidth="1" min="21" max="21" width="30.0"/>
  </cols>
  <sheetData>
    <row r="1" ht="16.5" customHeight="1">
      <c r="A1" s="1"/>
      <c r="B1" s="1"/>
      <c r="C1" s="1"/>
      <c r="D1" s="1"/>
      <c r="E1" s="1"/>
      <c r="F1" s="1"/>
      <c r="G1" s="1"/>
      <c r="H1" s="1"/>
      <c r="I1" s="1"/>
      <c r="J1" s="1"/>
      <c r="K1" s="1"/>
      <c r="L1" s="1"/>
      <c r="M1" s="1"/>
      <c r="N1" s="1"/>
      <c r="O1" s="1"/>
      <c r="P1" s="1"/>
      <c r="Q1" s="1"/>
      <c r="R1" s="1"/>
      <c r="S1" s="1"/>
      <c r="T1" s="1"/>
      <c r="U1" s="1"/>
    </row>
    <row r="2" ht="33.75" customHeight="1">
      <c r="A2" s="2"/>
      <c r="B2" s="2" t="s">
        <v>2</v>
      </c>
      <c r="C2" s="2"/>
      <c r="D2" s="2"/>
      <c r="E2" s="2"/>
      <c r="F2" s="2"/>
      <c r="G2" s="2"/>
      <c r="H2" s="2"/>
      <c r="I2" s="2"/>
      <c r="J2" s="2"/>
      <c r="K2" s="2"/>
      <c r="L2" s="2"/>
      <c r="M2" s="2"/>
      <c r="N2" s="2"/>
      <c r="O2" s="2"/>
      <c r="P2" s="2"/>
      <c r="Q2" s="2"/>
      <c r="R2" s="2"/>
      <c r="S2" s="2"/>
      <c r="T2" s="2"/>
      <c r="U2" s="2"/>
    </row>
    <row r="3" ht="15.75" customHeight="1">
      <c r="A3" s="3"/>
      <c r="B3" s="3" t="s">
        <v>6</v>
      </c>
      <c r="C3" s="3"/>
      <c r="D3" s="3"/>
      <c r="E3" s="3"/>
      <c r="F3" s="3"/>
      <c r="G3" s="3"/>
      <c r="H3" s="3"/>
      <c r="I3" s="3"/>
      <c r="J3" s="3"/>
      <c r="K3" s="3"/>
      <c r="L3" s="3"/>
      <c r="M3" s="3"/>
      <c r="N3" s="3"/>
      <c r="O3" s="3"/>
      <c r="P3" s="3"/>
      <c r="Q3" s="3"/>
      <c r="R3" s="3"/>
      <c r="S3" s="3"/>
      <c r="T3" s="3"/>
      <c r="U3" s="3"/>
    </row>
    <row r="4" ht="16.5" customHeight="1">
      <c r="A4" s="1"/>
      <c r="B4" s="1"/>
      <c r="C4" s="1"/>
      <c r="D4" s="1"/>
      <c r="E4" s="1"/>
      <c r="F4" s="1"/>
      <c r="G4" s="1"/>
      <c r="H4" s="1"/>
      <c r="I4" s="1"/>
      <c r="J4" s="1"/>
      <c r="K4" s="1"/>
      <c r="L4" s="1"/>
      <c r="M4" s="1"/>
      <c r="N4" s="1"/>
      <c r="O4" s="1"/>
      <c r="P4" s="1"/>
      <c r="Q4" s="1"/>
      <c r="R4" s="1"/>
      <c r="S4" s="1"/>
      <c r="T4" s="1"/>
      <c r="U4" s="1"/>
    </row>
    <row r="5" ht="16.5" customHeight="1">
      <c r="A5" s="1"/>
      <c r="B5" s="1"/>
      <c r="C5" s="1"/>
      <c r="D5" s="1"/>
      <c r="E5" s="1"/>
      <c r="F5" s="5" t="s">
        <v>13</v>
      </c>
      <c r="G5" s="1"/>
      <c r="H5" s="1"/>
      <c r="I5" s="13">
        <f>SUM(I7:I400)</f>
        <v>896000</v>
      </c>
      <c r="J5" s="1"/>
      <c r="K5" s="13">
        <f>SUM(K7:K400)</f>
        <v>896000</v>
      </c>
      <c r="L5" s="1"/>
      <c r="M5" s="13">
        <f>SUM(M7:M400)</f>
        <v>0</v>
      </c>
      <c r="N5" s="1"/>
      <c r="O5" s="1"/>
      <c r="P5" s="1"/>
      <c r="Q5" s="1"/>
      <c r="R5" s="1"/>
      <c r="S5" s="1"/>
      <c r="T5" s="1"/>
      <c r="U5" s="1"/>
    </row>
    <row r="6" ht="30.0" customHeight="1">
      <c r="A6" s="16"/>
      <c r="B6" s="17" t="s">
        <v>24</v>
      </c>
      <c r="C6" s="17" t="s">
        <v>25</v>
      </c>
      <c r="D6" s="17" t="s">
        <v>26</v>
      </c>
      <c r="E6" s="17" t="s">
        <v>27</v>
      </c>
      <c r="F6" s="17" t="s">
        <v>28</v>
      </c>
      <c r="G6" s="17" t="s">
        <v>29</v>
      </c>
      <c r="H6" s="17" t="s">
        <v>30</v>
      </c>
      <c r="I6" s="17" t="s">
        <v>31</v>
      </c>
      <c r="J6" s="17" t="s">
        <v>33</v>
      </c>
      <c r="K6" s="17" t="s">
        <v>36</v>
      </c>
      <c r="L6" s="17" t="s">
        <v>37</v>
      </c>
      <c r="M6" s="17" t="s">
        <v>39</v>
      </c>
      <c r="N6" s="17" t="s">
        <v>40</v>
      </c>
      <c r="O6" s="17" t="s">
        <v>41</v>
      </c>
      <c r="P6" s="17" t="s">
        <v>42</v>
      </c>
      <c r="Q6" s="17" t="s">
        <v>43</v>
      </c>
      <c r="R6" s="17" t="s">
        <v>45</v>
      </c>
      <c r="S6" s="17" t="s">
        <v>46</v>
      </c>
      <c r="T6" s="17" t="s">
        <v>48</v>
      </c>
      <c r="U6" s="17" t="s">
        <v>50</v>
      </c>
    </row>
    <row r="7" ht="16.5" customHeight="1">
      <c r="A7" s="1"/>
      <c r="B7" s="23" t="str">
        <f t="shared" ref="B7:B400" si="1">IF($D7="","","PY"&amp;TEXT(ROW()-6,"000"))</f>
        <v>PY001</v>
      </c>
      <c r="C7" s="24"/>
      <c r="D7" s="25" t="s">
        <v>71</v>
      </c>
      <c r="E7" s="33" t="str">
        <f t="array" ref="E7">IFERROR(INDEX('03 Budget'!$C$7:$C$300,MATCH($D7,'03 Budget'!$B$7:$B$300,0)),IF($D7="","","** ID not found **"))</f>
        <v>JEWELLERY</v>
      </c>
      <c r="F7" s="33" t="str">
        <f t="array" ref="F7">IFERROR(INDEX('03 Budget'!$D$7:$D$300,MATCH($D7,'03 Budget'!$B$7:$B$300,0)),IF($D7="","","** ID not found **"))</f>
        <v>Bridal necklace set</v>
      </c>
      <c r="G7" s="36" t="s">
        <v>101</v>
      </c>
      <c r="H7" s="36" t="s">
        <v>103</v>
      </c>
      <c r="I7" s="34">
        <v>395000.0</v>
      </c>
      <c r="J7" s="24"/>
      <c r="K7" s="34">
        <v>395000.0</v>
      </c>
      <c r="L7" s="42">
        <v>46268.0</v>
      </c>
      <c r="M7" s="41">
        <f t="shared" ref="M7:M400" si="2">IF(I7="","",MAX(0,I7-K7))</f>
        <v>0</v>
      </c>
      <c r="N7" s="36" t="s">
        <v>112</v>
      </c>
      <c r="O7" s="32"/>
      <c r="P7" s="32"/>
      <c r="Q7" s="36" t="s">
        <v>114</v>
      </c>
      <c r="R7" s="36" t="s">
        <v>115</v>
      </c>
      <c r="S7" s="32" t="str">
        <f t="shared" ref="S7:S400" si="3">IF(I7="","",IF(K7&gt;=I7,"Paid",IF(J7="","Not Due",IF(J7&lt;TODAY(),"Overdue",IF(J7&lt;=TODAY()+7,"Due",IF(J7&lt;=TODAY()+30,"Due Soon","Not Due"))))))</f>
        <v>Paid</v>
      </c>
      <c r="T7" s="32"/>
      <c r="U7" s="32"/>
    </row>
    <row r="8" ht="16.5" customHeight="1">
      <c r="A8" s="1"/>
      <c r="B8" s="23" t="str">
        <f t="shared" si="1"/>
        <v>PY002</v>
      </c>
      <c r="C8" s="24"/>
      <c r="D8" s="25" t="s">
        <v>121</v>
      </c>
      <c r="E8" s="33" t="str">
        <f t="array" ref="E8">IFERROR(INDEX('03 Budget'!$C$7:$C$300,MATCH($D8,'03 Budget'!$B$7:$B$300,0)),IF($D8="","","** ID not found **"))</f>
        <v>JEWELLERY</v>
      </c>
      <c r="F8" s="33" t="str">
        <f t="array" ref="F8">IFERROR(INDEX('03 Budget'!$D$7:$D$300,MATCH($D8,'03 Budget'!$B$7:$B$300,0)),IF($D8="","","** ID not found **"))</f>
        <v>Wedding rings (pair)</v>
      </c>
      <c r="G8" s="36" t="s">
        <v>101</v>
      </c>
      <c r="H8" s="36" t="s">
        <v>103</v>
      </c>
      <c r="I8" s="34">
        <v>485000.0</v>
      </c>
      <c r="J8" s="24"/>
      <c r="K8" s="34">
        <v>485000.0</v>
      </c>
      <c r="L8" s="42">
        <v>46268.0</v>
      </c>
      <c r="M8" s="41">
        <f t="shared" si="2"/>
        <v>0</v>
      </c>
      <c r="N8" s="36" t="s">
        <v>112</v>
      </c>
      <c r="O8" s="32"/>
      <c r="P8" s="32"/>
      <c r="Q8" s="36" t="s">
        <v>114</v>
      </c>
      <c r="R8" s="36" t="s">
        <v>115</v>
      </c>
      <c r="S8" s="32" t="str">
        <f t="shared" si="3"/>
        <v>Paid</v>
      </c>
      <c r="T8" s="32"/>
      <c r="U8" s="32"/>
    </row>
    <row r="9" ht="16.5" customHeight="1">
      <c r="A9" s="1"/>
      <c r="B9" s="23" t="str">
        <f t="shared" si="1"/>
        <v>PY003</v>
      </c>
      <c r="C9" s="24"/>
      <c r="D9" s="25" t="s">
        <v>141</v>
      </c>
      <c r="E9" s="33" t="str">
        <f t="array" ref="E9">IFERROR(INDEX('03 Budget'!$C$7:$C$300,MATCH($D9,'03 Budget'!$B$7:$B$300,0)),IF($D9="","","** ID not found **"))</f>
        <v>JEWELLERY</v>
      </c>
      <c r="F9" s="33" t="str">
        <f t="array" ref="F9">IFERROR(INDEX('03 Budget'!$D$7:$D$300,MATCH($D9,'03 Budget'!$B$7:$B$300,0)),IF($D9="","","** ID not found **"))</f>
        <v>Bride's brother ring</v>
      </c>
      <c r="G9" s="36" t="s">
        <v>101</v>
      </c>
      <c r="H9" s="36" t="s">
        <v>103</v>
      </c>
      <c r="I9" s="34">
        <v>16000.0</v>
      </c>
      <c r="J9" s="24"/>
      <c r="K9" s="34">
        <v>16000.0</v>
      </c>
      <c r="L9" s="42">
        <v>46268.0</v>
      </c>
      <c r="M9" s="41">
        <f t="shared" si="2"/>
        <v>0</v>
      </c>
      <c r="N9" s="36" t="s">
        <v>112</v>
      </c>
      <c r="O9" s="32"/>
      <c r="P9" s="32"/>
      <c r="Q9" s="36" t="s">
        <v>114</v>
      </c>
      <c r="R9" s="36" t="s">
        <v>115</v>
      </c>
      <c r="S9" s="32" t="str">
        <f t="shared" si="3"/>
        <v>Paid</v>
      </c>
      <c r="T9" s="32"/>
      <c r="U9" s="32"/>
    </row>
    <row r="10" ht="16.5" customHeight="1">
      <c r="A10" s="1"/>
      <c r="B10" s="23" t="str">
        <f t="shared" si="1"/>
        <v/>
      </c>
      <c r="C10" s="24"/>
      <c r="D10" s="25"/>
      <c r="E10" s="33" t="str">
        <f t="array" ref="E10">IFERROR(INDEX('03 Budget'!$C$7:$C$300,MATCH($D10,'03 Budget'!$B$7:$B$300,0)),IF($D10="","","** ID not found **"))</f>
        <v/>
      </c>
      <c r="F10" s="33" t="str">
        <f t="array" ref="F10">IFERROR(INDEX('03 Budget'!$D$7:$D$300,MATCH($D10,'03 Budget'!$B$7:$B$300,0)),IF($D10="","","** ID not found **"))</f>
        <v/>
      </c>
      <c r="G10" s="32"/>
      <c r="H10" s="32"/>
      <c r="I10" s="38"/>
      <c r="J10" s="24"/>
      <c r="K10" s="38"/>
      <c r="L10" s="24"/>
      <c r="M10" s="41" t="str">
        <f t="shared" si="2"/>
        <v/>
      </c>
      <c r="N10" s="32"/>
      <c r="O10" s="32"/>
      <c r="P10" s="32"/>
      <c r="Q10" s="32"/>
      <c r="R10" s="32"/>
      <c r="S10" s="32" t="str">
        <f t="shared" si="3"/>
        <v/>
      </c>
      <c r="T10" s="32"/>
      <c r="U10" s="32"/>
    </row>
    <row r="11" ht="16.5" customHeight="1">
      <c r="A11" s="1"/>
      <c r="B11" s="23" t="str">
        <f t="shared" si="1"/>
        <v/>
      </c>
      <c r="C11" s="24"/>
      <c r="D11" s="25"/>
      <c r="E11" s="33" t="str">
        <f t="array" ref="E11">IFERROR(INDEX('03 Budget'!$C$7:$C$300,MATCH($D11,'03 Budget'!$B$7:$B$300,0)),IF($D11="","","** ID not found **"))</f>
        <v/>
      </c>
      <c r="F11" s="33" t="str">
        <f t="array" ref="F11">IFERROR(INDEX('03 Budget'!$D$7:$D$300,MATCH($D11,'03 Budget'!$B$7:$B$300,0)),IF($D11="","","** ID not found **"))</f>
        <v/>
      </c>
      <c r="G11" s="32"/>
      <c r="H11" s="32"/>
      <c r="I11" s="38"/>
      <c r="J11" s="24"/>
      <c r="K11" s="38"/>
      <c r="L11" s="24"/>
      <c r="M11" s="41" t="str">
        <f t="shared" si="2"/>
        <v/>
      </c>
      <c r="N11" s="32"/>
      <c r="O11" s="32"/>
      <c r="P11" s="32"/>
      <c r="Q11" s="32"/>
      <c r="R11" s="32"/>
      <c r="S11" s="32" t="str">
        <f t="shared" si="3"/>
        <v/>
      </c>
      <c r="T11" s="32"/>
      <c r="U11" s="32"/>
    </row>
    <row r="12" ht="16.5" customHeight="1">
      <c r="A12" s="1"/>
      <c r="B12" s="23" t="str">
        <f t="shared" si="1"/>
        <v/>
      </c>
      <c r="C12" s="24"/>
      <c r="D12" s="25"/>
      <c r="E12" s="33" t="str">
        <f t="array" ref="E12">IFERROR(INDEX('03 Budget'!$C$7:$C$300,MATCH($D12,'03 Budget'!$B$7:$B$300,0)),IF($D12="","","** ID not found **"))</f>
        <v/>
      </c>
      <c r="F12" s="33" t="str">
        <f t="array" ref="F12">IFERROR(INDEX('03 Budget'!$D$7:$D$300,MATCH($D12,'03 Budget'!$B$7:$B$300,0)),IF($D12="","","** ID not found **"))</f>
        <v/>
      </c>
      <c r="G12" s="32"/>
      <c r="H12" s="32"/>
      <c r="I12" s="38"/>
      <c r="J12" s="24"/>
      <c r="K12" s="38"/>
      <c r="L12" s="24"/>
      <c r="M12" s="41" t="str">
        <f t="shared" si="2"/>
        <v/>
      </c>
      <c r="N12" s="32"/>
      <c r="O12" s="32"/>
      <c r="P12" s="32"/>
      <c r="Q12" s="32"/>
      <c r="R12" s="32"/>
      <c r="S12" s="32" t="str">
        <f t="shared" si="3"/>
        <v/>
      </c>
      <c r="T12" s="32"/>
      <c r="U12" s="32"/>
    </row>
    <row r="13" ht="16.5" customHeight="1">
      <c r="A13" s="1"/>
      <c r="B13" s="23" t="str">
        <f t="shared" si="1"/>
        <v/>
      </c>
      <c r="C13" s="24"/>
      <c r="D13" s="25"/>
      <c r="E13" s="33" t="str">
        <f t="array" ref="E13">IFERROR(INDEX('03 Budget'!$C$7:$C$300,MATCH($D13,'03 Budget'!$B$7:$B$300,0)),IF($D13="","","** ID not found **"))</f>
        <v/>
      </c>
      <c r="F13" s="33" t="str">
        <f t="array" ref="F13">IFERROR(INDEX('03 Budget'!$D$7:$D$300,MATCH($D13,'03 Budget'!$B$7:$B$300,0)),IF($D13="","","** ID not found **"))</f>
        <v/>
      </c>
      <c r="G13" s="32"/>
      <c r="H13" s="32"/>
      <c r="I13" s="38"/>
      <c r="J13" s="24"/>
      <c r="K13" s="38"/>
      <c r="L13" s="24"/>
      <c r="M13" s="41" t="str">
        <f t="shared" si="2"/>
        <v/>
      </c>
      <c r="N13" s="32"/>
      <c r="O13" s="32"/>
      <c r="P13" s="32"/>
      <c r="Q13" s="32"/>
      <c r="R13" s="32"/>
      <c r="S13" s="32" t="str">
        <f t="shared" si="3"/>
        <v/>
      </c>
      <c r="T13" s="32"/>
      <c r="U13" s="32"/>
    </row>
    <row r="14" ht="16.5" customHeight="1">
      <c r="A14" s="1"/>
      <c r="B14" s="23" t="str">
        <f t="shared" si="1"/>
        <v/>
      </c>
      <c r="C14" s="24"/>
      <c r="D14" s="25"/>
      <c r="E14" s="33" t="str">
        <f t="array" ref="E14">IFERROR(INDEX('03 Budget'!$C$7:$C$300,MATCH($D14,'03 Budget'!$B$7:$B$300,0)),IF($D14="","","** ID not found **"))</f>
        <v/>
      </c>
      <c r="F14" s="33" t="str">
        <f t="array" ref="F14">IFERROR(INDEX('03 Budget'!$D$7:$D$300,MATCH($D14,'03 Budget'!$B$7:$B$300,0)),IF($D14="","","** ID not found **"))</f>
        <v/>
      </c>
      <c r="G14" s="32"/>
      <c r="H14" s="32"/>
      <c r="I14" s="38"/>
      <c r="J14" s="24"/>
      <c r="K14" s="38"/>
      <c r="L14" s="24"/>
      <c r="M14" s="41" t="str">
        <f t="shared" si="2"/>
        <v/>
      </c>
      <c r="N14" s="32"/>
      <c r="O14" s="32"/>
      <c r="P14" s="32"/>
      <c r="Q14" s="32"/>
      <c r="R14" s="32"/>
      <c r="S14" s="32" t="str">
        <f t="shared" si="3"/>
        <v/>
      </c>
      <c r="T14" s="32"/>
      <c r="U14" s="32"/>
    </row>
    <row r="15" ht="16.5" customHeight="1">
      <c r="A15" s="1"/>
      <c r="B15" s="23" t="str">
        <f t="shared" si="1"/>
        <v/>
      </c>
      <c r="C15" s="24"/>
      <c r="D15" s="25"/>
      <c r="E15" s="33" t="str">
        <f t="array" ref="E15">IFERROR(INDEX('03 Budget'!$C$7:$C$300,MATCH($D15,'03 Budget'!$B$7:$B$300,0)),IF($D15="","","** ID not found **"))</f>
        <v/>
      </c>
      <c r="F15" s="33" t="str">
        <f t="array" ref="F15">IFERROR(INDEX('03 Budget'!$D$7:$D$300,MATCH($D15,'03 Budget'!$B$7:$B$300,0)),IF($D15="","","** ID not found **"))</f>
        <v/>
      </c>
      <c r="G15" s="32"/>
      <c r="H15" s="32"/>
      <c r="I15" s="38"/>
      <c r="J15" s="24"/>
      <c r="K15" s="38"/>
      <c r="L15" s="24"/>
      <c r="M15" s="41" t="str">
        <f t="shared" si="2"/>
        <v/>
      </c>
      <c r="N15" s="32"/>
      <c r="O15" s="32"/>
      <c r="P15" s="32"/>
      <c r="Q15" s="32"/>
      <c r="R15" s="32"/>
      <c r="S15" s="32" t="str">
        <f t="shared" si="3"/>
        <v/>
      </c>
      <c r="T15" s="32"/>
      <c r="U15" s="32"/>
    </row>
    <row r="16" ht="16.5" customHeight="1">
      <c r="A16" s="1"/>
      <c r="B16" s="23" t="str">
        <f t="shared" si="1"/>
        <v/>
      </c>
      <c r="C16" s="24"/>
      <c r="D16" s="25"/>
      <c r="E16" s="33" t="str">
        <f t="array" ref="E16">IFERROR(INDEX('03 Budget'!$C$7:$C$300,MATCH($D16,'03 Budget'!$B$7:$B$300,0)),IF($D16="","","** ID not found **"))</f>
        <v/>
      </c>
      <c r="F16" s="33" t="str">
        <f t="array" ref="F16">IFERROR(INDEX('03 Budget'!$D$7:$D$300,MATCH($D16,'03 Budget'!$B$7:$B$300,0)),IF($D16="","","** ID not found **"))</f>
        <v/>
      </c>
      <c r="G16" s="32"/>
      <c r="H16" s="32"/>
      <c r="I16" s="38"/>
      <c r="J16" s="24"/>
      <c r="K16" s="38"/>
      <c r="L16" s="24"/>
      <c r="M16" s="41" t="str">
        <f t="shared" si="2"/>
        <v/>
      </c>
      <c r="N16" s="32"/>
      <c r="O16" s="32"/>
      <c r="P16" s="32"/>
      <c r="Q16" s="32"/>
      <c r="R16" s="32"/>
      <c r="S16" s="32" t="str">
        <f t="shared" si="3"/>
        <v/>
      </c>
      <c r="T16" s="32"/>
      <c r="U16" s="32"/>
    </row>
    <row r="17" ht="16.5" customHeight="1">
      <c r="A17" s="1"/>
      <c r="B17" s="23" t="str">
        <f t="shared" si="1"/>
        <v/>
      </c>
      <c r="C17" s="24"/>
      <c r="D17" s="25"/>
      <c r="E17" s="33" t="str">
        <f t="array" ref="E17">IFERROR(INDEX('03 Budget'!$C$7:$C$300,MATCH($D17,'03 Budget'!$B$7:$B$300,0)),IF($D17="","","** ID not found **"))</f>
        <v/>
      </c>
      <c r="F17" s="33" t="str">
        <f t="array" ref="F17">IFERROR(INDEX('03 Budget'!$D$7:$D$300,MATCH($D17,'03 Budget'!$B$7:$B$300,0)),IF($D17="","","** ID not found **"))</f>
        <v/>
      </c>
      <c r="G17" s="32"/>
      <c r="H17" s="32"/>
      <c r="I17" s="38"/>
      <c r="J17" s="24"/>
      <c r="K17" s="38"/>
      <c r="L17" s="24"/>
      <c r="M17" s="41" t="str">
        <f t="shared" si="2"/>
        <v/>
      </c>
      <c r="N17" s="32"/>
      <c r="O17" s="32"/>
      <c r="P17" s="32"/>
      <c r="Q17" s="32"/>
      <c r="R17" s="32"/>
      <c r="S17" s="32" t="str">
        <f t="shared" si="3"/>
        <v/>
      </c>
      <c r="T17" s="32"/>
      <c r="U17" s="32"/>
    </row>
    <row r="18" ht="16.5" customHeight="1">
      <c r="A18" s="1"/>
      <c r="B18" s="23" t="str">
        <f t="shared" si="1"/>
        <v/>
      </c>
      <c r="C18" s="24"/>
      <c r="D18" s="25"/>
      <c r="E18" s="33" t="str">
        <f t="array" ref="E18">IFERROR(INDEX('03 Budget'!$C$7:$C$300,MATCH($D18,'03 Budget'!$B$7:$B$300,0)),IF($D18="","","** ID not found **"))</f>
        <v/>
      </c>
      <c r="F18" s="33" t="str">
        <f t="array" ref="F18">IFERROR(INDEX('03 Budget'!$D$7:$D$300,MATCH($D18,'03 Budget'!$B$7:$B$300,0)),IF($D18="","","** ID not found **"))</f>
        <v/>
      </c>
      <c r="G18" s="32"/>
      <c r="H18" s="32"/>
      <c r="I18" s="38"/>
      <c r="J18" s="24"/>
      <c r="K18" s="38"/>
      <c r="L18" s="24"/>
      <c r="M18" s="41" t="str">
        <f t="shared" si="2"/>
        <v/>
      </c>
      <c r="N18" s="32"/>
      <c r="O18" s="32"/>
      <c r="P18" s="32"/>
      <c r="Q18" s="32"/>
      <c r="R18" s="32"/>
      <c r="S18" s="32" t="str">
        <f t="shared" si="3"/>
        <v/>
      </c>
      <c r="T18" s="32"/>
      <c r="U18" s="32"/>
    </row>
    <row r="19" ht="16.5" customHeight="1">
      <c r="A19" s="1"/>
      <c r="B19" s="23" t="str">
        <f t="shared" si="1"/>
        <v/>
      </c>
      <c r="C19" s="24"/>
      <c r="D19" s="25"/>
      <c r="E19" s="33" t="str">
        <f t="array" ref="E19">IFERROR(INDEX('03 Budget'!$C$7:$C$300,MATCH($D19,'03 Budget'!$B$7:$B$300,0)),IF($D19="","","** ID not found **"))</f>
        <v/>
      </c>
      <c r="F19" s="33" t="str">
        <f t="array" ref="F19">IFERROR(INDEX('03 Budget'!$D$7:$D$300,MATCH($D19,'03 Budget'!$B$7:$B$300,0)),IF($D19="","","** ID not found **"))</f>
        <v/>
      </c>
      <c r="G19" s="32"/>
      <c r="H19" s="32"/>
      <c r="I19" s="38"/>
      <c r="J19" s="24"/>
      <c r="K19" s="38"/>
      <c r="L19" s="24"/>
      <c r="M19" s="41" t="str">
        <f t="shared" si="2"/>
        <v/>
      </c>
      <c r="N19" s="32"/>
      <c r="O19" s="32"/>
      <c r="P19" s="32"/>
      <c r="Q19" s="32"/>
      <c r="R19" s="32"/>
      <c r="S19" s="32" t="str">
        <f t="shared" si="3"/>
        <v/>
      </c>
      <c r="T19" s="32"/>
      <c r="U19" s="32"/>
    </row>
    <row r="20" ht="16.5" customHeight="1">
      <c r="A20" s="1"/>
      <c r="B20" s="23" t="str">
        <f t="shared" si="1"/>
        <v/>
      </c>
      <c r="C20" s="24"/>
      <c r="D20" s="25"/>
      <c r="E20" s="33" t="str">
        <f t="array" ref="E20">IFERROR(INDEX('03 Budget'!$C$7:$C$300,MATCH($D20,'03 Budget'!$B$7:$B$300,0)),IF($D20="","","** ID not found **"))</f>
        <v/>
      </c>
      <c r="F20" s="33" t="str">
        <f t="array" ref="F20">IFERROR(INDEX('03 Budget'!$D$7:$D$300,MATCH($D20,'03 Budget'!$B$7:$B$300,0)),IF($D20="","","** ID not found **"))</f>
        <v/>
      </c>
      <c r="G20" s="32"/>
      <c r="H20" s="32"/>
      <c r="I20" s="38"/>
      <c r="J20" s="24"/>
      <c r="K20" s="38"/>
      <c r="L20" s="24"/>
      <c r="M20" s="41" t="str">
        <f t="shared" si="2"/>
        <v/>
      </c>
      <c r="N20" s="32"/>
      <c r="O20" s="32"/>
      <c r="P20" s="32"/>
      <c r="Q20" s="32"/>
      <c r="R20" s="32"/>
      <c r="S20" s="32" t="str">
        <f t="shared" si="3"/>
        <v/>
      </c>
      <c r="T20" s="32"/>
      <c r="U20" s="32"/>
    </row>
    <row r="21" ht="16.5" customHeight="1">
      <c r="A21" s="1"/>
      <c r="B21" s="23" t="str">
        <f t="shared" si="1"/>
        <v/>
      </c>
      <c r="C21" s="24"/>
      <c r="D21" s="25"/>
      <c r="E21" s="33" t="str">
        <f t="array" ref="E21">IFERROR(INDEX('03 Budget'!$C$7:$C$300,MATCH($D21,'03 Budget'!$B$7:$B$300,0)),IF($D21="","","** ID not found **"))</f>
        <v/>
      </c>
      <c r="F21" s="33" t="str">
        <f t="array" ref="F21">IFERROR(INDEX('03 Budget'!$D$7:$D$300,MATCH($D21,'03 Budget'!$B$7:$B$300,0)),IF($D21="","","** ID not found **"))</f>
        <v/>
      </c>
      <c r="G21" s="32"/>
      <c r="H21" s="32"/>
      <c r="I21" s="38"/>
      <c r="J21" s="24"/>
      <c r="K21" s="38"/>
      <c r="L21" s="24"/>
      <c r="M21" s="41" t="str">
        <f t="shared" si="2"/>
        <v/>
      </c>
      <c r="N21" s="32"/>
      <c r="O21" s="32"/>
      <c r="P21" s="32"/>
      <c r="Q21" s="32"/>
      <c r="R21" s="32"/>
      <c r="S21" s="32" t="str">
        <f t="shared" si="3"/>
        <v/>
      </c>
      <c r="T21" s="32"/>
      <c r="U21" s="32"/>
    </row>
    <row r="22" ht="16.5" customHeight="1">
      <c r="A22" s="1"/>
      <c r="B22" s="23" t="str">
        <f t="shared" si="1"/>
        <v/>
      </c>
      <c r="C22" s="24"/>
      <c r="D22" s="25"/>
      <c r="E22" s="33" t="str">
        <f t="array" ref="E22">IFERROR(INDEX('03 Budget'!$C$7:$C$300,MATCH($D22,'03 Budget'!$B$7:$B$300,0)),IF($D22="","","** ID not found **"))</f>
        <v/>
      </c>
      <c r="F22" s="33" t="str">
        <f t="array" ref="F22">IFERROR(INDEX('03 Budget'!$D$7:$D$300,MATCH($D22,'03 Budget'!$B$7:$B$300,0)),IF($D22="","","** ID not found **"))</f>
        <v/>
      </c>
      <c r="G22" s="32"/>
      <c r="H22" s="32"/>
      <c r="I22" s="38"/>
      <c r="J22" s="24"/>
      <c r="K22" s="38"/>
      <c r="L22" s="24"/>
      <c r="M22" s="41" t="str">
        <f t="shared" si="2"/>
        <v/>
      </c>
      <c r="N22" s="32"/>
      <c r="O22" s="32"/>
      <c r="P22" s="32"/>
      <c r="Q22" s="32"/>
      <c r="R22" s="32"/>
      <c r="S22" s="32" t="str">
        <f t="shared" si="3"/>
        <v/>
      </c>
      <c r="T22" s="32"/>
      <c r="U22" s="32"/>
    </row>
    <row r="23" ht="16.5" customHeight="1">
      <c r="A23" s="1"/>
      <c r="B23" s="23" t="str">
        <f t="shared" si="1"/>
        <v/>
      </c>
      <c r="C23" s="24"/>
      <c r="D23" s="25"/>
      <c r="E23" s="33" t="str">
        <f t="array" ref="E23">IFERROR(INDEX('03 Budget'!$C$7:$C$300,MATCH($D23,'03 Budget'!$B$7:$B$300,0)),IF($D23="","","** ID not found **"))</f>
        <v/>
      </c>
      <c r="F23" s="33" t="str">
        <f t="array" ref="F23">IFERROR(INDEX('03 Budget'!$D$7:$D$300,MATCH($D23,'03 Budget'!$B$7:$B$300,0)),IF($D23="","","** ID not found **"))</f>
        <v/>
      </c>
      <c r="G23" s="32"/>
      <c r="H23" s="32"/>
      <c r="I23" s="38"/>
      <c r="J23" s="24"/>
      <c r="K23" s="38"/>
      <c r="L23" s="24"/>
      <c r="M23" s="41" t="str">
        <f t="shared" si="2"/>
        <v/>
      </c>
      <c r="N23" s="32"/>
      <c r="O23" s="32"/>
      <c r="P23" s="32"/>
      <c r="Q23" s="32"/>
      <c r="R23" s="32"/>
      <c r="S23" s="32" t="str">
        <f t="shared" si="3"/>
        <v/>
      </c>
      <c r="T23" s="32"/>
      <c r="U23" s="32"/>
    </row>
    <row r="24" ht="16.5" customHeight="1">
      <c r="A24" s="1"/>
      <c r="B24" s="23" t="str">
        <f t="shared" si="1"/>
        <v/>
      </c>
      <c r="C24" s="24"/>
      <c r="D24" s="25"/>
      <c r="E24" s="33" t="str">
        <f t="array" ref="E24">IFERROR(INDEX('03 Budget'!$C$7:$C$300,MATCH($D24,'03 Budget'!$B$7:$B$300,0)),IF($D24="","","** ID not found **"))</f>
        <v/>
      </c>
      <c r="F24" s="33" t="str">
        <f t="array" ref="F24">IFERROR(INDEX('03 Budget'!$D$7:$D$300,MATCH($D24,'03 Budget'!$B$7:$B$300,0)),IF($D24="","","** ID not found **"))</f>
        <v/>
      </c>
      <c r="G24" s="32"/>
      <c r="H24" s="32"/>
      <c r="I24" s="38"/>
      <c r="J24" s="24"/>
      <c r="K24" s="38"/>
      <c r="L24" s="24"/>
      <c r="M24" s="41" t="str">
        <f t="shared" si="2"/>
        <v/>
      </c>
      <c r="N24" s="32"/>
      <c r="O24" s="32"/>
      <c r="P24" s="32"/>
      <c r="Q24" s="32"/>
      <c r="R24" s="32"/>
      <c r="S24" s="32" t="str">
        <f t="shared" si="3"/>
        <v/>
      </c>
      <c r="T24" s="32"/>
      <c r="U24" s="32"/>
    </row>
    <row r="25" ht="16.5" customHeight="1">
      <c r="A25" s="1"/>
      <c r="B25" s="23" t="str">
        <f t="shared" si="1"/>
        <v/>
      </c>
      <c r="C25" s="24"/>
      <c r="D25" s="25"/>
      <c r="E25" s="33" t="str">
        <f t="array" ref="E25">IFERROR(INDEX('03 Budget'!$C$7:$C$300,MATCH($D25,'03 Budget'!$B$7:$B$300,0)),IF($D25="","","** ID not found **"))</f>
        <v/>
      </c>
      <c r="F25" s="33" t="str">
        <f t="array" ref="F25">IFERROR(INDEX('03 Budget'!$D$7:$D$300,MATCH($D25,'03 Budget'!$B$7:$B$300,0)),IF($D25="","","** ID not found **"))</f>
        <v/>
      </c>
      <c r="G25" s="32"/>
      <c r="H25" s="32"/>
      <c r="I25" s="38"/>
      <c r="J25" s="24"/>
      <c r="K25" s="38"/>
      <c r="L25" s="24"/>
      <c r="M25" s="41" t="str">
        <f t="shared" si="2"/>
        <v/>
      </c>
      <c r="N25" s="32"/>
      <c r="O25" s="32"/>
      <c r="P25" s="32"/>
      <c r="Q25" s="32"/>
      <c r="R25" s="32"/>
      <c r="S25" s="32" t="str">
        <f t="shared" si="3"/>
        <v/>
      </c>
      <c r="T25" s="32"/>
      <c r="U25" s="32"/>
    </row>
    <row r="26" ht="16.5" customHeight="1">
      <c r="A26" s="1"/>
      <c r="B26" s="23" t="str">
        <f t="shared" si="1"/>
        <v/>
      </c>
      <c r="C26" s="24"/>
      <c r="D26" s="25"/>
      <c r="E26" s="33" t="str">
        <f t="array" ref="E26">IFERROR(INDEX('03 Budget'!$C$7:$C$300,MATCH($D26,'03 Budget'!$B$7:$B$300,0)),IF($D26="","","** ID not found **"))</f>
        <v/>
      </c>
      <c r="F26" s="33" t="str">
        <f t="array" ref="F26">IFERROR(INDEX('03 Budget'!$D$7:$D$300,MATCH($D26,'03 Budget'!$B$7:$B$300,0)),IF($D26="","","** ID not found **"))</f>
        <v/>
      </c>
      <c r="G26" s="32"/>
      <c r="H26" s="32"/>
      <c r="I26" s="38"/>
      <c r="J26" s="24"/>
      <c r="K26" s="38"/>
      <c r="L26" s="24"/>
      <c r="M26" s="41" t="str">
        <f t="shared" si="2"/>
        <v/>
      </c>
      <c r="N26" s="32"/>
      <c r="O26" s="32"/>
      <c r="P26" s="32"/>
      <c r="Q26" s="32"/>
      <c r="R26" s="32"/>
      <c r="S26" s="32" t="str">
        <f t="shared" si="3"/>
        <v/>
      </c>
      <c r="T26" s="32"/>
      <c r="U26" s="32"/>
    </row>
    <row r="27" ht="16.5" customHeight="1">
      <c r="A27" s="1"/>
      <c r="B27" s="23" t="str">
        <f t="shared" si="1"/>
        <v/>
      </c>
      <c r="C27" s="24"/>
      <c r="D27" s="25"/>
      <c r="E27" s="33" t="str">
        <f t="array" ref="E27">IFERROR(INDEX('03 Budget'!$C$7:$C$300,MATCH($D27,'03 Budget'!$B$7:$B$300,0)),IF($D27="","","** ID not found **"))</f>
        <v/>
      </c>
      <c r="F27" s="33" t="str">
        <f t="array" ref="F27">IFERROR(INDEX('03 Budget'!$D$7:$D$300,MATCH($D27,'03 Budget'!$B$7:$B$300,0)),IF($D27="","","** ID not found **"))</f>
        <v/>
      </c>
      <c r="G27" s="32"/>
      <c r="H27" s="32"/>
      <c r="I27" s="38"/>
      <c r="J27" s="24"/>
      <c r="K27" s="38"/>
      <c r="L27" s="24"/>
      <c r="M27" s="41" t="str">
        <f t="shared" si="2"/>
        <v/>
      </c>
      <c r="N27" s="32"/>
      <c r="O27" s="32"/>
      <c r="P27" s="32"/>
      <c r="Q27" s="32"/>
      <c r="R27" s="32"/>
      <c r="S27" s="32" t="str">
        <f t="shared" si="3"/>
        <v/>
      </c>
      <c r="T27" s="32"/>
      <c r="U27" s="32"/>
    </row>
    <row r="28" ht="16.5" customHeight="1">
      <c r="A28" s="1"/>
      <c r="B28" s="23" t="str">
        <f t="shared" si="1"/>
        <v/>
      </c>
      <c r="C28" s="24"/>
      <c r="D28" s="25"/>
      <c r="E28" s="33" t="str">
        <f t="array" ref="E28">IFERROR(INDEX('03 Budget'!$C$7:$C$300,MATCH($D28,'03 Budget'!$B$7:$B$300,0)),IF($D28="","","** ID not found **"))</f>
        <v/>
      </c>
      <c r="F28" s="33" t="str">
        <f t="array" ref="F28">IFERROR(INDEX('03 Budget'!$D$7:$D$300,MATCH($D28,'03 Budget'!$B$7:$B$300,0)),IF($D28="","","** ID not found **"))</f>
        <v/>
      </c>
      <c r="G28" s="32"/>
      <c r="H28" s="32"/>
      <c r="I28" s="38"/>
      <c r="J28" s="24"/>
      <c r="K28" s="38"/>
      <c r="L28" s="24"/>
      <c r="M28" s="41" t="str">
        <f t="shared" si="2"/>
        <v/>
      </c>
      <c r="N28" s="32"/>
      <c r="O28" s="32"/>
      <c r="P28" s="32"/>
      <c r="Q28" s="32"/>
      <c r="R28" s="32"/>
      <c r="S28" s="32" t="str">
        <f t="shared" si="3"/>
        <v/>
      </c>
      <c r="T28" s="32"/>
      <c r="U28" s="32"/>
    </row>
    <row r="29" ht="16.5" customHeight="1">
      <c r="A29" s="1"/>
      <c r="B29" s="23" t="str">
        <f t="shared" si="1"/>
        <v/>
      </c>
      <c r="C29" s="24"/>
      <c r="D29" s="25"/>
      <c r="E29" s="33" t="str">
        <f t="array" ref="E29">IFERROR(INDEX('03 Budget'!$C$7:$C$300,MATCH($D29,'03 Budget'!$B$7:$B$300,0)),IF($D29="","","** ID not found **"))</f>
        <v/>
      </c>
      <c r="F29" s="33" t="str">
        <f t="array" ref="F29">IFERROR(INDEX('03 Budget'!$D$7:$D$300,MATCH($D29,'03 Budget'!$B$7:$B$300,0)),IF($D29="","","** ID not found **"))</f>
        <v/>
      </c>
      <c r="G29" s="32"/>
      <c r="H29" s="32"/>
      <c r="I29" s="38"/>
      <c r="J29" s="24"/>
      <c r="K29" s="38"/>
      <c r="L29" s="24"/>
      <c r="M29" s="41" t="str">
        <f t="shared" si="2"/>
        <v/>
      </c>
      <c r="N29" s="32"/>
      <c r="O29" s="32"/>
      <c r="P29" s="32"/>
      <c r="Q29" s="32"/>
      <c r="R29" s="32"/>
      <c r="S29" s="32" t="str">
        <f t="shared" si="3"/>
        <v/>
      </c>
      <c r="T29" s="32"/>
      <c r="U29" s="32"/>
    </row>
    <row r="30" ht="16.5" customHeight="1">
      <c r="A30" s="1"/>
      <c r="B30" s="23" t="str">
        <f t="shared" si="1"/>
        <v/>
      </c>
      <c r="C30" s="24"/>
      <c r="D30" s="25"/>
      <c r="E30" s="33" t="str">
        <f t="array" ref="E30">IFERROR(INDEX('03 Budget'!$C$7:$C$300,MATCH($D30,'03 Budget'!$B$7:$B$300,0)),IF($D30="","","** ID not found **"))</f>
        <v/>
      </c>
      <c r="F30" s="33" t="str">
        <f t="array" ref="F30">IFERROR(INDEX('03 Budget'!$D$7:$D$300,MATCH($D30,'03 Budget'!$B$7:$B$300,0)),IF($D30="","","** ID not found **"))</f>
        <v/>
      </c>
      <c r="G30" s="32"/>
      <c r="H30" s="32"/>
      <c r="I30" s="38"/>
      <c r="J30" s="24"/>
      <c r="K30" s="38"/>
      <c r="L30" s="24"/>
      <c r="M30" s="41" t="str">
        <f t="shared" si="2"/>
        <v/>
      </c>
      <c r="N30" s="32"/>
      <c r="O30" s="32"/>
      <c r="P30" s="32"/>
      <c r="Q30" s="32"/>
      <c r="R30" s="32"/>
      <c r="S30" s="32" t="str">
        <f t="shared" si="3"/>
        <v/>
      </c>
      <c r="T30" s="32"/>
      <c r="U30" s="32"/>
    </row>
    <row r="31" ht="16.5" customHeight="1">
      <c r="A31" s="1"/>
      <c r="B31" s="23" t="str">
        <f t="shared" si="1"/>
        <v/>
      </c>
      <c r="C31" s="24"/>
      <c r="D31" s="25"/>
      <c r="E31" s="33" t="str">
        <f t="array" ref="E31">IFERROR(INDEX('03 Budget'!$C$7:$C$300,MATCH($D31,'03 Budget'!$B$7:$B$300,0)),IF($D31="","","** ID not found **"))</f>
        <v/>
      </c>
      <c r="F31" s="33" t="str">
        <f t="array" ref="F31">IFERROR(INDEX('03 Budget'!$D$7:$D$300,MATCH($D31,'03 Budget'!$B$7:$B$300,0)),IF($D31="","","** ID not found **"))</f>
        <v/>
      </c>
      <c r="G31" s="32"/>
      <c r="H31" s="32"/>
      <c r="I31" s="38"/>
      <c r="J31" s="24"/>
      <c r="K31" s="38"/>
      <c r="L31" s="24"/>
      <c r="M31" s="41" t="str">
        <f t="shared" si="2"/>
        <v/>
      </c>
      <c r="N31" s="32"/>
      <c r="O31" s="32"/>
      <c r="P31" s="32"/>
      <c r="Q31" s="32"/>
      <c r="R31" s="32"/>
      <c r="S31" s="32" t="str">
        <f t="shared" si="3"/>
        <v/>
      </c>
      <c r="T31" s="32"/>
      <c r="U31" s="32"/>
    </row>
    <row r="32" ht="16.5" customHeight="1">
      <c r="A32" s="1"/>
      <c r="B32" s="23" t="str">
        <f t="shared" si="1"/>
        <v/>
      </c>
      <c r="C32" s="24"/>
      <c r="D32" s="25"/>
      <c r="E32" s="33" t="str">
        <f t="array" ref="E32">IFERROR(INDEX('03 Budget'!$C$7:$C$300,MATCH($D32,'03 Budget'!$B$7:$B$300,0)),IF($D32="","","** ID not found **"))</f>
        <v/>
      </c>
      <c r="F32" s="33" t="str">
        <f t="array" ref="F32">IFERROR(INDEX('03 Budget'!$D$7:$D$300,MATCH($D32,'03 Budget'!$B$7:$B$300,0)),IF($D32="","","** ID not found **"))</f>
        <v/>
      </c>
      <c r="G32" s="32"/>
      <c r="H32" s="32"/>
      <c r="I32" s="38"/>
      <c r="J32" s="24"/>
      <c r="K32" s="38"/>
      <c r="L32" s="24"/>
      <c r="M32" s="41" t="str">
        <f t="shared" si="2"/>
        <v/>
      </c>
      <c r="N32" s="32"/>
      <c r="O32" s="32"/>
      <c r="P32" s="32"/>
      <c r="Q32" s="32"/>
      <c r="R32" s="32"/>
      <c r="S32" s="32" t="str">
        <f t="shared" si="3"/>
        <v/>
      </c>
      <c r="T32" s="32"/>
      <c r="U32" s="32"/>
    </row>
    <row r="33" ht="16.5" customHeight="1">
      <c r="A33" s="1"/>
      <c r="B33" s="23" t="str">
        <f t="shared" si="1"/>
        <v/>
      </c>
      <c r="C33" s="24"/>
      <c r="D33" s="25"/>
      <c r="E33" s="33" t="str">
        <f t="array" ref="E33">IFERROR(INDEX('03 Budget'!$C$7:$C$300,MATCH($D33,'03 Budget'!$B$7:$B$300,0)),IF($D33="","","** ID not found **"))</f>
        <v/>
      </c>
      <c r="F33" s="33" t="str">
        <f t="array" ref="F33">IFERROR(INDEX('03 Budget'!$D$7:$D$300,MATCH($D33,'03 Budget'!$B$7:$B$300,0)),IF($D33="","","** ID not found **"))</f>
        <v/>
      </c>
      <c r="G33" s="32"/>
      <c r="H33" s="32"/>
      <c r="I33" s="38"/>
      <c r="J33" s="24"/>
      <c r="K33" s="38"/>
      <c r="L33" s="24"/>
      <c r="M33" s="41" t="str">
        <f t="shared" si="2"/>
        <v/>
      </c>
      <c r="N33" s="32"/>
      <c r="O33" s="32"/>
      <c r="P33" s="32"/>
      <c r="Q33" s="32"/>
      <c r="R33" s="32"/>
      <c r="S33" s="32" t="str">
        <f t="shared" si="3"/>
        <v/>
      </c>
      <c r="T33" s="32"/>
      <c r="U33" s="32"/>
    </row>
    <row r="34" ht="16.5" customHeight="1">
      <c r="A34" s="1"/>
      <c r="B34" s="23" t="str">
        <f t="shared" si="1"/>
        <v/>
      </c>
      <c r="C34" s="24"/>
      <c r="D34" s="25"/>
      <c r="E34" s="33" t="str">
        <f t="array" ref="E34">IFERROR(INDEX('03 Budget'!$C$7:$C$300,MATCH($D34,'03 Budget'!$B$7:$B$300,0)),IF($D34="","","** ID not found **"))</f>
        <v/>
      </c>
      <c r="F34" s="33" t="str">
        <f t="array" ref="F34">IFERROR(INDEX('03 Budget'!$D$7:$D$300,MATCH($D34,'03 Budget'!$B$7:$B$300,0)),IF($D34="","","** ID not found **"))</f>
        <v/>
      </c>
      <c r="G34" s="32"/>
      <c r="H34" s="32"/>
      <c r="I34" s="38"/>
      <c r="J34" s="24"/>
      <c r="K34" s="38"/>
      <c r="L34" s="24"/>
      <c r="M34" s="41" t="str">
        <f t="shared" si="2"/>
        <v/>
      </c>
      <c r="N34" s="32"/>
      <c r="O34" s="32"/>
      <c r="P34" s="32"/>
      <c r="Q34" s="32"/>
      <c r="R34" s="32"/>
      <c r="S34" s="32" t="str">
        <f t="shared" si="3"/>
        <v/>
      </c>
      <c r="T34" s="32"/>
      <c r="U34" s="32"/>
    </row>
    <row r="35" ht="16.5" customHeight="1">
      <c r="A35" s="1"/>
      <c r="B35" s="23" t="str">
        <f t="shared" si="1"/>
        <v/>
      </c>
      <c r="C35" s="24"/>
      <c r="D35" s="25"/>
      <c r="E35" s="33" t="str">
        <f t="array" ref="E35">IFERROR(INDEX('03 Budget'!$C$7:$C$300,MATCH($D35,'03 Budget'!$B$7:$B$300,0)),IF($D35="","","** ID not found **"))</f>
        <v/>
      </c>
      <c r="F35" s="33" t="str">
        <f t="array" ref="F35">IFERROR(INDEX('03 Budget'!$D$7:$D$300,MATCH($D35,'03 Budget'!$B$7:$B$300,0)),IF($D35="","","** ID not found **"))</f>
        <v/>
      </c>
      <c r="G35" s="32"/>
      <c r="H35" s="32"/>
      <c r="I35" s="38"/>
      <c r="J35" s="24"/>
      <c r="K35" s="38"/>
      <c r="L35" s="24"/>
      <c r="M35" s="41" t="str">
        <f t="shared" si="2"/>
        <v/>
      </c>
      <c r="N35" s="32"/>
      <c r="O35" s="32"/>
      <c r="P35" s="32"/>
      <c r="Q35" s="32"/>
      <c r="R35" s="32"/>
      <c r="S35" s="32" t="str">
        <f t="shared" si="3"/>
        <v/>
      </c>
      <c r="T35" s="32"/>
      <c r="U35" s="32"/>
    </row>
    <row r="36" ht="16.5" customHeight="1">
      <c r="A36" s="1"/>
      <c r="B36" s="23" t="str">
        <f t="shared" si="1"/>
        <v/>
      </c>
      <c r="C36" s="24"/>
      <c r="D36" s="25"/>
      <c r="E36" s="33" t="str">
        <f t="array" ref="E36">IFERROR(INDEX('03 Budget'!$C$7:$C$300,MATCH($D36,'03 Budget'!$B$7:$B$300,0)),IF($D36="","","** ID not found **"))</f>
        <v/>
      </c>
      <c r="F36" s="33" t="str">
        <f t="array" ref="F36">IFERROR(INDEX('03 Budget'!$D$7:$D$300,MATCH($D36,'03 Budget'!$B$7:$B$300,0)),IF($D36="","","** ID not found **"))</f>
        <v/>
      </c>
      <c r="G36" s="32"/>
      <c r="H36" s="32"/>
      <c r="I36" s="38"/>
      <c r="J36" s="24"/>
      <c r="K36" s="38"/>
      <c r="L36" s="24"/>
      <c r="M36" s="41" t="str">
        <f t="shared" si="2"/>
        <v/>
      </c>
      <c r="N36" s="32"/>
      <c r="O36" s="32"/>
      <c r="P36" s="32"/>
      <c r="Q36" s="32"/>
      <c r="R36" s="32"/>
      <c r="S36" s="32" t="str">
        <f t="shared" si="3"/>
        <v/>
      </c>
      <c r="T36" s="32"/>
      <c r="U36" s="32"/>
    </row>
    <row r="37" ht="16.5" customHeight="1">
      <c r="A37" s="1"/>
      <c r="B37" s="23" t="str">
        <f t="shared" si="1"/>
        <v/>
      </c>
      <c r="C37" s="24"/>
      <c r="D37" s="25"/>
      <c r="E37" s="33" t="str">
        <f t="array" ref="E37">IFERROR(INDEX('03 Budget'!$C$7:$C$300,MATCH($D37,'03 Budget'!$B$7:$B$300,0)),IF($D37="","","** ID not found **"))</f>
        <v/>
      </c>
      <c r="F37" s="33" t="str">
        <f t="array" ref="F37">IFERROR(INDEX('03 Budget'!$D$7:$D$300,MATCH($D37,'03 Budget'!$B$7:$B$300,0)),IF($D37="","","** ID not found **"))</f>
        <v/>
      </c>
      <c r="G37" s="32"/>
      <c r="H37" s="32"/>
      <c r="I37" s="38"/>
      <c r="J37" s="24"/>
      <c r="K37" s="38"/>
      <c r="L37" s="24"/>
      <c r="M37" s="41" t="str">
        <f t="shared" si="2"/>
        <v/>
      </c>
      <c r="N37" s="32"/>
      <c r="O37" s="32"/>
      <c r="P37" s="32"/>
      <c r="Q37" s="32"/>
      <c r="R37" s="32"/>
      <c r="S37" s="32" t="str">
        <f t="shared" si="3"/>
        <v/>
      </c>
      <c r="T37" s="32"/>
      <c r="U37" s="32"/>
    </row>
    <row r="38" ht="16.5" customHeight="1">
      <c r="A38" s="1"/>
      <c r="B38" s="23" t="str">
        <f t="shared" si="1"/>
        <v/>
      </c>
      <c r="C38" s="24"/>
      <c r="D38" s="25"/>
      <c r="E38" s="33" t="str">
        <f t="array" ref="E38">IFERROR(INDEX('03 Budget'!$C$7:$C$300,MATCH($D38,'03 Budget'!$B$7:$B$300,0)),IF($D38="","","** ID not found **"))</f>
        <v/>
      </c>
      <c r="F38" s="33" t="str">
        <f t="array" ref="F38">IFERROR(INDEX('03 Budget'!$D$7:$D$300,MATCH($D38,'03 Budget'!$B$7:$B$300,0)),IF($D38="","","** ID not found **"))</f>
        <v/>
      </c>
      <c r="G38" s="32"/>
      <c r="H38" s="32"/>
      <c r="I38" s="38"/>
      <c r="J38" s="24"/>
      <c r="K38" s="38"/>
      <c r="L38" s="24"/>
      <c r="M38" s="41" t="str">
        <f t="shared" si="2"/>
        <v/>
      </c>
      <c r="N38" s="32"/>
      <c r="O38" s="32"/>
      <c r="P38" s="32"/>
      <c r="Q38" s="32"/>
      <c r="R38" s="32"/>
      <c r="S38" s="32" t="str">
        <f t="shared" si="3"/>
        <v/>
      </c>
      <c r="T38" s="32"/>
      <c r="U38" s="32"/>
    </row>
    <row r="39" ht="16.5" customHeight="1">
      <c r="A39" s="1"/>
      <c r="B39" s="23" t="str">
        <f t="shared" si="1"/>
        <v/>
      </c>
      <c r="C39" s="24"/>
      <c r="D39" s="25"/>
      <c r="E39" s="33" t="str">
        <f t="array" ref="E39">IFERROR(INDEX('03 Budget'!$C$7:$C$300,MATCH($D39,'03 Budget'!$B$7:$B$300,0)),IF($D39="","","** ID not found **"))</f>
        <v/>
      </c>
      <c r="F39" s="33" t="str">
        <f t="array" ref="F39">IFERROR(INDEX('03 Budget'!$D$7:$D$300,MATCH($D39,'03 Budget'!$B$7:$B$300,0)),IF($D39="","","** ID not found **"))</f>
        <v/>
      </c>
      <c r="G39" s="32"/>
      <c r="H39" s="32"/>
      <c r="I39" s="38"/>
      <c r="J39" s="24"/>
      <c r="K39" s="38"/>
      <c r="L39" s="24"/>
      <c r="M39" s="41" t="str">
        <f t="shared" si="2"/>
        <v/>
      </c>
      <c r="N39" s="32"/>
      <c r="O39" s="32"/>
      <c r="P39" s="32"/>
      <c r="Q39" s="32"/>
      <c r="R39" s="32"/>
      <c r="S39" s="32" t="str">
        <f t="shared" si="3"/>
        <v/>
      </c>
      <c r="T39" s="32"/>
      <c r="U39" s="32"/>
    </row>
    <row r="40" ht="16.5" customHeight="1">
      <c r="A40" s="1"/>
      <c r="B40" s="23" t="str">
        <f t="shared" si="1"/>
        <v/>
      </c>
      <c r="C40" s="24"/>
      <c r="D40" s="25"/>
      <c r="E40" s="33" t="str">
        <f t="array" ref="E40">IFERROR(INDEX('03 Budget'!$C$7:$C$300,MATCH($D40,'03 Budget'!$B$7:$B$300,0)),IF($D40="","","** ID not found **"))</f>
        <v/>
      </c>
      <c r="F40" s="33" t="str">
        <f t="array" ref="F40">IFERROR(INDEX('03 Budget'!$D$7:$D$300,MATCH($D40,'03 Budget'!$B$7:$B$300,0)),IF($D40="","","** ID not found **"))</f>
        <v/>
      </c>
      <c r="G40" s="32"/>
      <c r="H40" s="32"/>
      <c r="I40" s="38"/>
      <c r="J40" s="24"/>
      <c r="K40" s="38"/>
      <c r="L40" s="24"/>
      <c r="M40" s="41" t="str">
        <f t="shared" si="2"/>
        <v/>
      </c>
      <c r="N40" s="32"/>
      <c r="O40" s="32"/>
      <c r="P40" s="32"/>
      <c r="Q40" s="32"/>
      <c r="R40" s="32"/>
      <c r="S40" s="32" t="str">
        <f t="shared" si="3"/>
        <v/>
      </c>
      <c r="T40" s="32"/>
      <c r="U40" s="32"/>
    </row>
    <row r="41" ht="16.5" customHeight="1">
      <c r="A41" s="1"/>
      <c r="B41" s="23" t="str">
        <f t="shared" si="1"/>
        <v/>
      </c>
      <c r="C41" s="24"/>
      <c r="D41" s="25"/>
      <c r="E41" s="33" t="str">
        <f t="array" ref="E41">IFERROR(INDEX('03 Budget'!$C$7:$C$300,MATCH($D41,'03 Budget'!$B$7:$B$300,0)),IF($D41="","","** ID not found **"))</f>
        <v/>
      </c>
      <c r="F41" s="33" t="str">
        <f t="array" ref="F41">IFERROR(INDEX('03 Budget'!$D$7:$D$300,MATCH($D41,'03 Budget'!$B$7:$B$300,0)),IF($D41="","","** ID not found **"))</f>
        <v/>
      </c>
      <c r="G41" s="32"/>
      <c r="H41" s="32"/>
      <c r="I41" s="38"/>
      <c r="J41" s="24"/>
      <c r="K41" s="38"/>
      <c r="L41" s="24"/>
      <c r="M41" s="41" t="str">
        <f t="shared" si="2"/>
        <v/>
      </c>
      <c r="N41" s="32"/>
      <c r="O41" s="32"/>
      <c r="P41" s="32"/>
      <c r="Q41" s="32"/>
      <c r="R41" s="32"/>
      <c r="S41" s="32" t="str">
        <f t="shared" si="3"/>
        <v/>
      </c>
      <c r="T41" s="32"/>
      <c r="U41" s="32"/>
    </row>
    <row r="42" ht="16.5" customHeight="1">
      <c r="A42" s="1"/>
      <c r="B42" s="23" t="str">
        <f t="shared" si="1"/>
        <v/>
      </c>
      <c r="C42" s="24"/>
      <c r="D42" s="25"/>
      <c r="E42" s="33" t="str">
        <f t="array" ref="E42">IFERROR(INDEX('03 Budget'!$C$7:$C$300,MATCH($D42,'03 Budget'!$B$7:$B$300,0)),IF($D42="","","** ID not found **"))</f>
        <v/>
      </c>
      <c r="F42" s="33" t="str">
        <f t="array" ref="F42">IFERROR(INDEX('03 Budget'!$D$7:$D$300,MATCH($D42,'03 Budget'!$B$7:$B$300,0)),IF($D42="","","** ID not found **"))</f>
        <v/>
      </c>
      <c r="G42" s="32"/>
      <c r="H42" s="32"/>
      <c r="I42" s="38"/>
      <c r="J42" s="24"/>
      <c r="K42" s="38"/>
      <c r="L42" s="24"/>
      <c r="M42" s="41" t="str">
        <f t="shared" si="2"/>
        <v/>
      </c>
      <c r="N42" s="32"/>
      <c r="O42" s="32"/>
      <c r="P42" s="32"/>
      <c r="Q42" s="32"/>
      <c r="R42" s="32"/>
      <c r="S42" s="32" t="str">
        <f t="shared" si="3"/>
        <v/>
      </c>
      <c r="T42" s="32"/>
      <c r="U42" s="32"/>
    </row>
    <row r="43" ht="16.5" customHeight="1">
      <c r="A43" s="1"/>
      <c r="B43" s="23" t="str">
        <f t="shared" si="1"/>
        <v/>
      </c>
      <c r="C43" s="24"/>
      <c r="D43" s="25"/>
      <c r="E43" s="33" t="str">
        <f t="array" ref="E43">IFERROR(INDEX('03 Budget'!$C$7:$C$300,MATCH($D43,'03 Budget'!$B$7:$B$300,0)),IF($D43="","","** ID not found **"))</f>
        <v/>
      </c>
      <c r="F43" s="33" t="str">
        <f t="array" ref="F43">IFERROR(INDEX('03 Budget'!$D$7:$D$300,MATCH($D43,'03 Budget'!$B$7:$B$300,0)),IF($D43="","","** ID not found **"))</f>
        <v/>
      </c>
      <c r="G43" s="32"/>
      <c r="H43" s="32"/>
      <c r="I43" s="38"/>
      <c r="J43" s="24"/>
      <c r="K43" s="38"/>
      <c r="L43" s="24"/>
      <c r="M43" s="41" t="str">
        <f t="shared" si="2"/>
        <v/>
      </c>
      <c r="N43" s="32"/>
      <c r="O43" s="32"/>
      <c r="P43" s="32"/>
      <c r="Q43" s="32"/>
      <c r="R43" s="32"/>
      <c r="S43" s="32" t="str">
        <f t="shared" si="3"/>
        <v/>
      </c>
      <c r="T43" s="32"/>
      <c r="U43" s="32"/>
    </row>
    <row r="44" ht="16.5" customHeight="1">
      <c r="A44" s="1"/>
      <c r="B44" s="23" t="str">
        <f t="shared" si="1"/>
        <v/>
      </c>
      <c r="C44" s="24"/>
      <c r="D44" s="25"/>
      <c r="E44" s="33" t="str">
        <f t="array" ref="E44">IFERROR(INDEX('03 Budget'!$C$7:$C$300,MATCH($D44,'03 Budget'!$B$7:$B$300,0)),IF($D44="","","** ID not found **"))</f>
        <v/>
      </c>
      <c r="F44" s="33" t="str">
        <f t="array" ref="F44">IFERROR(INDEX('03 Budget'!$D$7:$D$300,MATCH($D44,'03 Budget'!$B$7:$B$300,0)),IF($D44="","","** ID not found **"))</f>
        <v/>
      </c>
      <c r="G44" s="32"/>
      <c r="H44" s="32"/>
      <c r="I44" s="38"/>
      <c r="J44" s="24"/>
      <c r="K44" s="38"/>
      <c r="L44" s="24"/>
      <c r="M44" s="41" t="str">
        <f t="shared" si="2"/>
        <v/>
      </c>
      <c r="N44" s="32"/>
      <c r="O44" s="32"/>
      <c r="P44" s="32"/>
      <c r="Q44" s="32"/>
      <c r="R44" s="32"/>
      <c r="S44" s="32" t="str">
        <f t="shared" si="3"/>
        <v/>
      </c>
      <c r="T44" s="32"/>
      <c r="U44" s="32"/>
    </row>
    <row r="45" ht="16.5" customHeight="1">
      <c r="A45" s="1"/>
      <c r="B45" s="23" t="str">
        <f t="shared" si="1"/>
        <v/>
      </c>
      <c r="C45" s="24"/>
      <c r="D45" s="25"/>
      <c r="E45" s="33" t="str">
        <f t="array" ref="E45">IFERROR(INDEX('03 Budget'!$C$7:$C$300,MATCH($D45,'03 Budget'!$B$7:$B$300,0)),IF($D45="","","** ID not found **"))</f>
        <v/>
      </c>
      <c r="F45" s="33" t="str">
        <f t="array" ref="F45">IFERROR(INDEX('03 Budget'!$D$7:$D$300,MATCH($D45,'03 Budget'!$B$7:$B$300,0)),IF($D45="","","** ID not found **"))</f>
        <v/>
      </c>
      <c r="G45" s="32"/>
      <c r="H45" s="32"/>
      <c r="I45" s="38"/>
      <c r="J45" s="24"/>
      <c r="K45" s="38"/>
      <c r="L45" s="24"/>
      <c r="M45" s="41" t="str">
        <f t="shared" si="2"/>
        <v/>
      </c>
      <c r="N45" s="32"/>
      <c r="O45" s="32"/>
      <c r="P45" s="32"/>
      <c r="Q45" s="32"/>
      <c r="R45" s="32"/>
      <c r="S45" s="32" t="str">
        <f t="shared" si="3"/>
        <v/>
      </c>
      <c r="T45" s="32"/>
      <c r="U45" s="32"/>
    </row>
    <row r="46" ht="16.5" customHeight="1">
      <c r="A46" s="1"/>
      <c r="B46" s="23" t="str">
        <f t="shared" si="1"/>
        <v/>
      </c>
      <c r="C46" s="24"/>
      <c r="D46" s="25"/>
      <c r="E46" s="33" t="str">
        <f t="array" ref="E46">IFERROR(INDEX('03 Budget'!$C$7:$C$300,MATCH($D46,'03 Budget'!$B$7:$B$300,0)),IF($D46="","","** ID not found **"))</f>
        <v/>
      </c>
      <c r="F46" s="33" t="str">
        <f t="array" ref="F46">IFERROR(INDEX('03 Budget'!$D$7:$D$300,MATCH($D46,'03 Budget'!$B$7:$B$300,0)),IF($D46="","","** ID not found **"))</f>
        <v/>
      </c>
      <c r="G46" s="32"/>
      <c r="H46" s="32"/>
      <c r="I46" s="38"/>
      <c r="J46" s="24"/>
      <c r="K46" s="38"/>
      <c r="L46" s="24"/>
      <c r="M46" s="41" t="str">
        <f t="shared" si="2"/>
        <v/>
      </c>
      <c r="N46" s="32"/>
      <c r="O46" s="32"/>
      <c r="P46" s="32"/>
      <c r="Q46" s="32"/>
      <c r="R46" s="32"/>
      <c r="S46" s="32" t="str">
        <f t="shared" si="3"/>
        <v/>
      </c>
      <c r="T46" s="32"/>
      <c r="U46" s="32"/>
    </row>
    <row r="47" ht="16.5" customHeight="1">
      <c r="A47" s="1"/>
      <c r="B47" s="23" t="str">
        <f t="shared" si="1"/>
        <v/>
      </c>
      <c r="C47" s="24"/>
      <c r="D47" s="25"/>
      <c r="E47" s="33" t="str">
        <f t="array" ref="E47">IFERROR(INDEX('03 Budget'!$C$7:$C$300,MATCH($D47,'03 Budget'!$B$7:$B$300,0)),IF($D47="","","** ID not found **"))</f>
        <v/>
      </c>
      <c r="F47" s="33" t="str">
        <f t="array" ref="F47">IFERROR(INDEX('03 Budget'!$D$7:$D$300,MATCH($D47,'03 Budget'!$B$7:$B$300,0)),IF($D47="","","** ID not found **"))</f>
        <v/>
      </c>
      <c r="G47" s="32"/>
      <c r="H47" s="32"/>
      <c r="I47" s="38"/>
      <c r="J47" s="24"/>
      <c r="K47" s="38"/>
      <c r="L47" s="24"/>
      <c r="M47" s="41" t="str">
        <f t="shared" si="2"/>
        <v/>
      </c>
      <c r="N47" s="32"/>
      <c r="O47" s="32"/>
      <c r="P47" s="32"/>
      <c r="Q47" s="32"/>
      <c r="R47" s="32"/>
      <c r="S47" s="32" t="str">
        <f t="shared" si="3"/>
        <v/>
      </c>
      <c r="T47" s="32"/>
      <c r="U47" s="32"/>
    </row>
    <row r="48" ht="16.5" customHeight="1">
      <c r="A48" s="1"/>
      <c r="B48" s="23" t="str">
        <f t="shared" si="1"/>
        <v/>
      </c>
      <c r="C48" s="24"/>
      <c r="D48" s="25"/>
      <c r="E48" s="33" t="str">
        <f t="array" ref="E48">IFERROR(INDEX('03 Budget'!$C$7:$C$300,MATCH($D48,'03 Budget'!$B$7:$B$300,0)),IF($D48="","","** ID not found **"))</f>
        <v/>
      </c>
      <c r="F48" s="33" t="str">
        <f t="array" ref="F48">IFERROR(INDEX('03 Budget'!$D$7:$D$300,MATCH($D48,'03 Budget'!$B$7:$B$300,0)),IF($D48="","","** ID not found **"))</f>
        <v/>
      </c>
      <c r="G48" s="32"/>
      <c r="H48" s="32"/>
      <c r="I48" s="38"/>
      <c r="J48" s="24"/>
      <c r="K48" s="38"/>
      <c r="L48" s="24"/>
      <c r="M48" s="41" t="str">
        <f t="shared" si="2"/>
        <v/>
      </c>
      <c r="N48" s="32"/>
      <c r="O48" s="32"/>
      <c r="P48" s="32"/>
      <c r="Q48" s="32"/>
      <c r="R48" s="32"/>
      <c r="S48" s="32" t="str">
        <f t="shared" si="3"/>
        <v/>
      </c>
      <c r="T48" s="32"/>
      <c r="U48" s="32"/>
    </row>
    <row r="49" ht="16.5" customHeight="1">
      <c r="A49" s="1"/>
      <c r="B49" s="23" t="str">
        <f t="shared" si="1"/>
        <v/>
      </c>
      <c r="C49" s="24"/>
      <c r="D49" s="25"/>
      <c r="E49" s="33" t="str">
        <f t="array" ref="E49">IFERROR(INDEX('03 Budget'!$C$7:$C$300,MATCH($D49,'03 Budget'!$B$7:$B$300,0)),IF($D49="","","** ID not found **"))</f>
        <v/>
      </c>
      <c r="F49" s="33" t="str">
        <f t="array" ref="F49">IFERROR(INDEX('03 Budget'!$D$7:$D$300,MATCH($D49,'03 Budget'!$B$7:$B$300,0)),IF($D49="","","** ID not found **"))</f>
        <v/>
      </c>
      <c r="G49" s="32"/>
      <c r="H49" s="32"/>
      <c r="I49" s="38"/>
      <c r="J49" s="24"/>
      <c r="K49" s="38"/>
      <c r="L49" s="24"/>
      <c r="M49" s="41" t="str">
        <f t="shared" si="2"/>
        <v/>
      </c>
      <c r="N49" s="32"/>
      <c r="O49" s="32"/>
      <c r="P49" s="32"/>
      <c r="Q49" s="32"/>
      <c r="R49" s="32"/>
      <c r="S49" s="32" t="str">
        <f t="shared" si="3"/>
        <v/>
      </c>
      <c r="T49" s="32"/>
      <c r="U49" s="32"/>
    </row>
    <row r="50" ht="16.5" customHeight="1">
      <c r="A50" s="1"/>
      <c r="B50" s="23" t="str">
        <f t="shared" si="1"/>
        <v/>
      </c>
      <c r="C50" s="24"/>
      <c r="D50" s="25"/>
      <c r="E50" s="33" t="str">
        <f t="array" ref="E50">IFERROR(INDEX('03 Budget'!$C$7:$C$300,MATCH($D50,'03 Budget'!$B$7:$B$300,0)),IF($D50="","","** ID not found **"))</f>
        <v/>
      </c>
      <c r="F50" s="33" t="str">
        <f t="array" ref="F50">IFERROR(INDEX('03 Budget'!$D$7:$D$300,MATCH($D50,'03 Budget'!$B$7:$B$300,0)),IF($D50="","","** ID not found **"))</f>
        <v/>
      </c>
      <c r="G50" s="32"/>
      <c r="H50" s="32"/>
      <c r="I50" s="38"/>
      <c r="J50" s="24"/>
      <c r="K50" s="38"/>
      <c r="L50" s="24"/>
      <c r="M50" s="41" t="str">
        <f t="shared" si="2"/>
        <v/>
      </c>
      <c r="N50" s="32"/>
      <c r="O50" s="32"/>
      <c r="P50" s="32"/>
      <c r="Q50" s="32"/>
      <c r="R50" s="32"/>
      <c r="S50" s="32" t="str">
        <f t="shared" si="3"/>
        <v/>
      </c>
      <c r="T50" s="32"/>
      <c r="U50" s="32"/>
    </row>
    <row r="51" ht="16.5" customHeight="1">
      <c r="A51" s="1"/>
      <c r="B51" s="23" t="str">
        <f t="shared" si="1"/>
        <v/>
      </c>
      <c r="C51" s="24"/>
      <c r="D51" s="25"/>
      <c r="E51" s="33" t="str">
        <f t="array" ref="E51">IFERROR(INDEX('03 Budget'!$C$7:$C$300,MATCH($D51,'03 Budget'!$B$7:$B$300,0)),IF($D51="","","** ID not found **"))</f>
        <v/>
      </c>
      <c r="F51" s="33" t="str">
        <f t="array" ref="F51">IFERROR(INDEX('03 Budget'!$D$7:$D$300,MATCH($D51,'03 Budget'!$B$7:$B$300,0)),IF($D51="","","** ID not found **"))</f>
        <v/>
      </c>
      <c r="G51" s="32"/>
      <c r="H51" s="32"/>
      <c r="I51" s="38"/>
      <c r="J51" s="24"/>
      <c r="K51" s="38"/>
      <c r="L51" s="24"/>
      <c r="M51" s="41" t="str">
        <f t="shared" si="2"/>
        <v/>
      </c>
      <c r="N51" s="32"/>
      <c r="O51" s="32"/>
      <c r="P51" s="32"/>
      <c r="Q51" s="32"/>
      <c r="R51" s="32"/>
      <c r="S51" s="32" t="str">
        <f t="shared" si="3"/>
        <v/>
      </c>
      <c r="T51" s="32"/>
      <c r="U51" s="32"/>
    </row>
    <row r="52" ht="16.5" customHeight="1">
      <c r="A52" s="1"/>
      <c r="B52" s="23" t="str">
        <f t="shared" si="1"/>
        <v/>
      </c>
      <c r="C52" s="24"/>
      <c r="D52" s="25"/>
      <c r="E52" s="33" t="str">
        <f t="array" ref="E52">IFERROR(INDEX('03 Budget'!$C$7:$C$300,MATCH($D52,'03 Budget'!$B$7:$B$300,0)),IF($D52="","","** ID not found **"))</f>
        <v/>
      </c>
      <c r="F52" s="33" t="str">
        <f t="array" ref="F52">IFERROR(INDEX('03 Budget'!$D$7:$D$300,MATCH($D52,'03 Budget'!$B$7:$B$300,0)),IF($D52="","","** ID not found **"))</f>
        <v/>
      </c>
      <c r="G52" s="32"/>
      <c r="H52" s="32"/>
      <c r="I52" s="38"/>
      <c r="J52" s="24"/>
      <c r="K52" s="38"/>
      <c r="L52" s="24"/>
      <c r="M52" s="41" t="str">
        <f t="shared" si="2"/>
        <v/>
      </c>
      <c r="N52" s="32"/>
      <c r="O52" s="32"/>
      <c r="P52" s="32"/>
      <c r="Q52" s="32"/>
      <c r="R52" s="32"/>
      <c r="S52" s="32" t="str">
        <f t="shared" si="3"/>
        <v/>
      </c>
      <c r="T52" s="32"/>
      <c r="U52" s="32"/>
    </row>
    <row r="53" ht="16.5" customHeight="1">
      <c r="A53" s="1"/>
      <c r="B53" s="23" t="str">
        <f t="shared" si="1"/>
        <v/>
      </c>
      <c r="C53" s="24"/>
      <c r="D53" s="25"/>
      <c r="E53" s="33" t="str">
        <f t="array" ref="E53">IFERROR(INDEX('03 Budget'!$C$7:$C$300,MATCH($D53,'03 Budget'!$B$7:$B$300,0)),IF($D53="","","** ID not found **"))</f>
        <v/>
      </c>
      <c r="F53" s="33" t="str">
        <f t="array" ref="F53">IFERROR(INDEX('03 Budget'!$D$7:$D$300,MATCH($D53,'03 Budget'!$B$7:$B$300,0)),IF($D53="","","** ID not found **"))</f>
        <v/>
      </c>
      <c r="G53" s="32"/>
      <c r="H53" s="32"/>
      <c r="I53" s="38"/>
      <c r="J53" s="24"/>
      <c r="K53" s="38"/>
      <c r="L53" s="24"/>
      <c r="M53" s="41" t="str">
        <f t="shared" si="2"/>
        <v/>
      </c>
      <c r="N53" s="32"/>
      <c r="O53" s="32"/>
      <c r="P53" s="32"/>
      <c r="Q53" s="32"/>
      <c r="R53" s="32"/>
      <c r="S53" s="32" t="str">
        <f t="shared" si="3"/>
        <v/>
      </c>
      <c r="T53" s="32"/>
      <c r="U53" s="32"/>
    </row>
    <row r="54" ht="16.5" customHeight="1">
      <c r="A54" s="1"/>
      <c r="B54" s="23" t="str">
        <f t="shared" si="1"/>
        <v/>
      </c>
      <c r="C54" s="24"/>
      <c r="D54" s="25"/>
      <c r="E54" s="33" t="str">
        <f t="array" ref="E54">IFERROR(INDEX('03 Budget'!$C$7:$C$300,MATCH($D54,'03 Budget'!$B$7:$B$300,0)),IF($D54="","","** ID not found **"))</f>
        <v/>
      </c>
      <c r="F54" s="33" t="str">
        <f t="array" ref="F54">IFERROR(INDEX('03 Budget'!$D$7:$D$300,MATCH($D54,'03 Budget'!$B$7:$B$300,0)),IF($D54="","","** ID not found **"))</f>
        <v/>
      </c>
      <c r="G54" s="32"/>
      <c r="H54" s="32"/>
      <c r="I54" s="38"/>
      <c r="J54" s="24"/>
      <c r="K54" s="38"/>
      <c r="L54" s="24"/>
      <c r="M54" s="41" t="str">
        <f t="shared" si="2"/>
        <v/>
      </c>
      <c r="N54" s="32"/>
      <c r="O54" s="32"/>
      <c r="P54" s="32"/>
      <c r="Q54" s="32"/>
      <c r="R54" s="32"/>
      <c r="S54" s="32" t="str">
        <f t="shared" si="3"/>
        <v/>
      </c>
      <c r="T54" s="32"/>
      <c r="U54" s="32"/>
    </row>
    <row r="55" ht="16.5" customHeight="1">
      <c r="A55" s="1"/>
      <c r="B55" s="23" t="str">
        <f t="shared" si="1"/>
        <v/>
      </c>
      <c r="C55" s="24"/>
      <c r="D55" s="25"/>
      <c r="E55" s="33" t="str">
        <f t="array" ref="E55">IFERROR(INDEX('03 Budget'!$C$7:$C$300,MATCH($D55,'03 Budget'!$B$7:$B$300,0)),IF($D55="","","** ID not found **"))</f>
        <v/>
      </c>
      <c r="F55" s="33" t="str">
        <f t="array" ref="F55">IFERROR(INDEX('03 Budget'!$D$7:$D$300,MATCH($D55,'03 Budget'!$B$7:$B$300,0)),IF($D55="","","** ID not found **"))</f>
        <v/>
      </c>
      <c r="G55" s="32"/>
      <c r="H55" s="32"/>
      <c r="I55" s="38"/>
      <c r="J55" s="24"/>
      <c r="K55" s="38"/>
      <c r="L55" s="24"/>
      <c r="M55" s="41" t="str">
        <f t="shared" si="2"/>
        <v/>
      </c>
      <c r="N55" s="32"/>
      <c r="O55" s="32"/>
      <c r="P55" s="32"/>
      <c r="Q55" s="32"/>
      <c r="R55" s="32"/>
      <c r="S55" s="32" t="str">
        <f t="shared" si="3"/>
        <v/>
      </c>
      <c r="T55" s="32"/>
      <c r="U55" s="32"/>
    </row>
    <row r="56" ht="16.5" customHeight="1">
      <c r="A56" s="1"/>
      <c r="B56" s="23" t="str">
        <f t="shared" si="1"/>
        <v/>
      </c>
      <c r="C56" s="24"/>
      <c r="D56" s="25"/>
      <c r="E56" s="33" t="str">
        <f t="array" ref="E56">IFERROR(INDEX('03 Budget'!$C$7:$C$300,MATCH($D56,'03 Budget'!$B$7:$B$300,0)),IF($D56="","","** ID not found **"))</f>
        <v/>
      </c>
      <c r="F56" s="33" t="str">
        <f t="array" ref="F56">IFERROR(INDEX('03 Budget'!$D$7:$D$300,MATCH($D56,'03 Budget'!$B$7:$B$300,0)),IF($D56="","","** ID not found **"))</f>
        <v/>
      </c>
      <c r="G56" s="32"/>
      <c r="H56" s="32"/>
      <c r="I56" s="38"/>
      <c r="J56" s="24"/>
      <c r="K56" s="38"/>
      <c r="L56" s="24"/>
      <c r="M56" s="41" t="str">
        <f t="shared" si="2"/>
        <v/>
      </c>
      <c r="N56" s="32"/>
      <c r="O56" s="32"/>
      <c r="P56" s="32"/>
      <c r="Q56" s="32"/>
      <c r="R56" s="32"/>
      <c r="S56" s="32" t="str">
        <f t="shared" si="3"/>
        <v/>
      </c>
      <c r="T56" s="32"/>
      <c r="U56" s="32"/>
    </row>
    <row r="57" ht="16.5" customHeight="1">
      <c r="A57" s="1"/>
      <c r="B57" s="23" t="str">
        <f t="shared" si="1"/>
        <v/>
      </c>
      <c r="C57" s="24"/>
      <c r="D57" s="25"/>
      <c r="E57" s="33" t="str">
        <f t="array" ref="E57">IFERROR(INDEX('03 Budget'!$C$7:$C$300,MATCH($D57,'03 Budget'!$B$7:$B$300,0)),IF($D57="","","** ID not found **"))</f>
        <v/>
      </c>
      <c r="F57" s="33" t="str">
        <f t="array" ref="F57">IFERROR(INDEX('03 Budget'!$D$7:$D$300,MATCH($D57,'03 Budget'!$B$7:$B$300,0)),IF($D57="","","** ID not found **"))</f>
        <v/>
      </c>
      <c r="G57" s="32"/>
      <c r="H57" s="32"/>
      <c r="I57" s="38"/>
      <c r="J57" s="24"/>
      <c r="K57" s="38"/>
      <c r="L57" s="24"/>
      <c r="M57" s="41" t="str">
        <f t="shared" si="2"/>
        <v/>
      </c>
      <c r="N57" s="32"/>
      <c r="O57" s="32"/>
      <c r="P57" s="32"/>
      <c r="Q57" s="32"/>
      <c r="R57" s="32"/>
      <c r="S57" s="32" t="str">
        <f t="shared" si="3"/>
        <v/>
      </c>
      <c r="T57" s="32"/>
      <c r="U57" s="32"/>
    </row>
    <row r="58" ht="16.5" customHeight="1">
      <c r="A58" s="1"/>
      <c r="B58" s="23" t="str">
        <f t="shared" si="1"/>
        <v/>
      </c>
      <c r="C58" s="24"/>
      <c r="D58" s="25"/>
      <c r="E58" s="33" t="str">
        <f t="array" ref="E58">IFERROR(INDEX('03 Budget'!$C$7:$C$300,MATCH($D58,'03 Budget'!$B$7:$B$300,0)),IF($D58="","","** ID not found **"))</f>
        <v/>
      </c>
      <c r="F58" s="33" t="str">
        <f t="array" ref="F58">IFERROR(INDEX('03 Budget'!$D$7:$D$300,MATCH($D58,'03 Budget'!$B$7:$B$300,0)),IF($D58="","","** ID not found **"))</f>
        <v/>
      </c>
      <c r="G58" s="32"/>
      <c r="H58" s="32"/>
      <c r="I58" s="38"/>
      <c r="J58" s="24"/>
      <c r="K58" s="38"/>
      <c r="L58" s="24"/>
      <c r="M58" s="41" t="str">
        <f t="shared" si="2"/>
        <v/>
      </c>
      <c r="N58" s="32"/>
      <c r="O58" s="32"/>
      <c r="P58" s="32"/>
      <c r="Q58" s="32"/>
      <c r="R58" s="32"/>
      <c r="S58" s="32" t="str">
        <f t="shared" si="3"/>
        <v/>
      </c>
      <c r="T58" s="32"/>
      <c r="U58" s="32"/>
    </row>
    <row r="59" ht="16.5" customHeight="1">
      <c r="A59" s="1"/>
      <c r="B59" s="23" t="str">
        <f t="shared" si="1"/>
        <v/>
      </c>
      <c r="C59" s="24"/>
      <c r="D59" s="25"/>
      <c r="E59" s="33" t="str">
        <f t="array" ref="E59">IFERROR(INDEX('03 Budget'!$C$7:$C$300,MATCH($D59,'03 Budget'!$B$7:$B$300,0)),IF($D59="","","** ID not found **"))</f>
        <v/>
      </c>
      <c r="F59" s="33" t="str">
        <f t="array" ref="F59">IFERROR(INDEX('03 Budget'!$D$7:$D$300,MATCH($D59,'03 Budget'!$B$7:$B$300,0)),IF($D59="","","** ID not found **"))</f>
        <v/>
      </c>
      <c r="G59" s="32"/>
      <c r="H59" s="32"/>
      <c r="I59" s="38"/>
      <c r="J59" s="24"/>
      <c r="K59" s="38"/>
      <c r="L59" s="24"/>
      <c r="M59" s="41" t="str">
        <f t="shared" si="2"/>
        <v/>
      </c>
      <c r="N59" s="32"/>
      <c r="O59" s="32"/>
      <c r="P59" s="32"/>
      <c r="Q59" s="32"/>
      <c r="R59" s="32"/>
      <c r="S59" s="32" t="str">
        <f t="shared" si="3"/>
        <v/>
      </c>
      <c r="T59" s="32"/>
      <c r="U59" s="32"/>
    </row>
    <row r="60" ht="16.5" customHeight="1">
      <c r="A60" s="1"/>
      <c r="B60" s="23" t="str">
        <f t="shared" si="1"/>
        <v/>
      </c>
      <c r="C60" s="24"/>
      <c r="D60" s="25"/>
      <c r="E60" s="33" t="str">
        <f t="array" ref="E60">IFERROR(INDEX('03 Budget'!$C$7:$C$300,MATCH($D60,'03 Budget'!$B$7:$B$300,0)),IF($D60="","","** ID not found **"))</f>
        <v/>
      </c>
      <c r="F60" s="33" t="str">
        <f t="array" ref="F60">IFERROR(INDEX('03 Budget'!$D$7:$D$300,MATCH($D60,'03 Budget'!$B$7:$B$300,0)),IF($D60="","","** ID not found **"))</f>
        <v/>
      </c>
      <c r="G60" s="32"/>
      <c r="H60" s="32"/>
      <c r="I60" s="38"/>
      <c r="J60" s="24"/>
      <c r="K60" s="38"/>
      <c r="L60" s="24"/>
      <c r="M60" s="41" t="str">
        <f t="shared" si="2"/>
        <v/>
      </c>
      <c r="N60" s="32"/>
      <c r="O60" s="32"/>
      <c r="P60" s="32"/>
      <c r="Q60" s="32"/>
      <c r="R60" s="32"/>
      <c r="S60" s="32" t="str">
        <f t="shared" si="3"/>
        <v/>
      </c>
      <c r="T60" s="32"/>
      <c r="U60" s="32"/>
    </row>
    <row r="61" ht="16.5" customHeight="1">
      <c r="A61" s="1"/>
      <c r="B61" s="23" t="str">
        <f t="shared" si="1"/>
        <v/>
      </c>
      <c r="C61" s="24"/>
      <c r="D61" s="25"/>
      <c r="E61" s="33" t="str">
        <f t="array" ref="E61">IFERROR(INDEX('03 Budget'!$C$7:$C$300,MATCH($D61,'03 Budget'!$B$7:$B$300,0)),IF($D61="","","** ID not found **"))</f>
        <v/>
      </c>
      <c r="F61" s="33" t="str">
        <f t="array" ref="F61">IFERROR(INDEX('03 Budget'!$D$7:$D$300,MATCH($D61,'03 Budget'!$B$7:$B$300,0)),IF($D61="","","** ID not found **"))</f>
        <v/>
      </c>
      <c r="G61" s="32"/>
      <c r="H61" s="32"/>
      <c r="I61" s="38"/>
      <c r="J61" s="24"/>
      <c r="K61" s="38"/>
      <c r="L61" s="24"/>
      <c r="M61" s="41" t="str">
        <f t="shared" si="2"/>
        <v/>
      </c>
      <c r="N61" s="32"/>
      <c r="O61" s="32"/>
      <c r="P61" s="32"/>
      <c r="Q61" s="32"/>
      <c r="R61" s="32"/>
      <c r="S61" s="32" t="str">
        <f t="shared" si="3"/>
        <v/>
      </c>
      <c r="T61" s="32"/>
      <c r="U61" s="32"/>
    </row>
    <row r="62" ht="16.5" customHeight="1">
      <c r="A62" s="1"/>
      <c r="B62" s="23" t="str">
        <f t="shared" si="1"/>
        <v/>
      </c>
      <c r="C62" s="24"/>
      <c r="D62" s="25"/>
      <c r="E62" s="33" t="str">
        <f t="array" ref="E62">IFERROR(INDEX('03 Budget'!$C$7:$C$300,MATCH($D62,'03 Budget'!$B$7:$B$300,0)),IF($D62="","","** ID not found **"))</f>
        <v/>
      </c>
      <c r="F62" s="33" t="str">
        <f t="array" ref="F62">IFERROR(INDEX('03 Budget'!$D$7:$D$300,MATCH($D62,'03 Budget'!$B$7:$B$300,0)),IF($D62="","","** ID not found **"))</f>
        <v/>
      </c>
      <c r="G62" s="32"/>
      <c r="H62" s="32"/>
      <c r="I62" s="38"/>
      <c r="J62" s="24"/>
      <c r="K62" s="38"/>
      <c r="L62" s="24"/>
      <c r="M62" s="41" t="str">
        <f t="shared" si="2"/>
        <v/>
      </c>
      <c r="N62" s="32"/>
      <c r="O62" s="32"/>
      <c r="P62" s="32"/>
      <c r="Q62" s="32"/>
      <c r="R62" s="32"/>
      <c r="S62" s="32" t="str">
        <f t="shared" si="3"/>
        <v/>
      </c>
      <c r="T62" s="32"/>
      <c r="U62" s="32"/>
    </row>
    <row r="63" ht="16.5" customHeight="1">
      <c r="A63" s="1"/>
      <c r="B63" s="23" t="str">
        <f t="shared" si="1"/>
        <v/>
      </c>
      <c r="C63" s="24"/>
      <c r="D63" s="25"/>
      <c r="E63" s="33" t="str">
        <f t="array" ref="E63">IFERROR(INDEX('03 Budget'!$C$7:$C$300,MATCH($D63,'03 Budget'!$B$7:$B$300,0)),IF($D63="","","** ID not found **"))</f>
        <v/>
      </c>
      <c r="F63" s="33" t="str">
        <f t="array" ref="F63">IFERROR(INDEX('03 Budget'!$D$7:$D$300,MATCH($D63,'03 Budget'!$B$7:$B$300,0)),IF($D63="","","** ID not found **"))</f>
        <v/>
      </c>
      <c r="G63" s="32"/>
      <c r="H63" s="32"/>
      <c r="I63" s="38"/>
      <c r="J63" s="24"/>
      <c r="K63" s="38"/>
      <c r="L63" s="24"/>
      <c r="M63" s="41" t="str">
        <f t="shared" si="2"/>
        <v/>
      </c>
      <c r="N63" s="32"/>
      <c r="O63" s="32"/>
      <c r="P63" s="32"/>
      <c r="Q63" s="32"/>
      <c r="R63" s="32"/>
      <c r="S63" s="32" t="str">
        <f t="shared" si="3"/>
        <v/>
      </c>
      <c r="T63" s="32"/>
      <c r="U63" s="32"/>
    </row>
    <row r="64" ht="16.5" customHeight="1">
      <c r="A64" s="1"/>
      <c r="B64" s="23" t="str">
        <f t="shared" si="1"/>
        <v/>
      </c>
      <c r="C64" s="24"/>
      <c r="D64" s="25"/>
      <c r="E64" s="33" t="str">
        <f t="array" ref="E64">IFERROR(INDEX('03 Budget'!$C$7:$C$300,MATCH($D64,'03 Budget'!$B$7:$B$300,0)),IF($D64="","","** ID not found **"))</f>
        <v/>
      </c>
      <c r="F64" s="33" t="str">
        <f t="array" ref="F64">IFERROR(INDEX('03 Budget'!$D$7:$D$300,MATCH($D64,'03 Budget'!$B$7:$B$300,0)),IF($D64="","","** ID not found **"))</f>
        <v/>
      </c>
      <c r="G64" s="32"/>
      <c r="H64" s="32"/>
      <c r="I64" s="38"/>
      <c r="J64" s="24"/>
      <c r="K64" s="38"/>
      <c r="L64" s="24"/>
      <c r="M64" s="41" t="str">
        <f t="shared" si="2"/>
        <v/>
      </c>
      <c r="N64" s="32"/>
      <c r="O64" s="32"/>
      <c r="P64" s="32"/>
      <c r="Q64" s="32"/>
      <c r="R64" s="32"/>
      <c r="S64" s="32" t="str">
        <f t="shared" si="3"/>
        <v/>
      </c>
      <c r="T64" s="32"/>
      <c r="U64" s="32"/>
    </row>
    <row r="65" ht="16.5" customHeight="1">
      <c r="A65" s="1"/>
      <c r="B65" s="23" t="str">
        <f t="shared" si="1"/>
        <v/>
      </c>
      <c r="C65" s="24"/>
      <c r="D65" s="25"/>
      <c r="E65" s="33" t="str">
        <f t="array" ref="E65">IFERROR(INDEX('03 Budget'!$C$7:$C$300,MATCH($D65,'03 Budget'!$B$7:$B$300,0)),IF($D65="","","** ID not found **"))</f>
        <v/>
      </c>
      <c r="F65" s="33" t="str">
        <f t="array" ref="F65">IFERROR(INDEX('03 Budget'!$D$7:$D$300,MATCH($D65,'03 Budget'!$B$7:$B$300,0)),IF($D65="","","** ID not found **"))</f>
        <v/>
      </c>
      <c r="G65" s="32"/>
      <c r="H65" s="32"/>
      <c r="I65" s="38"/>
      <c r="J65" s="24"/>
      <c r="K65" s="38"/>
      <c r="L65" s="24"/>
      <c r="M65" s="41" t="str">
        <f t="shared" si="2"/>
        <v/>
      </c>
      <c r="N65" s="32"/>
      <c r="O65" s="32"/>
      <c r="P65" s="32"/>
      <c r="Q65" s="32"/>
      <c r="R65" s="32"/>
      <c r="S65" s="32" t="str">
        <f t="shared" si="3"/>
        <v/>
      </c>
      <c r="T65" s="32"/>
      <c r="U65" s="32"/>
    </row>
    <row r="66" ht="16.5" customHeight="1">
      <c r="A66" s="1"/>
      <c r="B66" s="23" t="str">
        <f t="shared" si="1"/>
        <v/>
      </c>
      <c r="C66" s="24"/>
      <c r="D66" s="25"/>
      <c r="E66" s="33" t="str">
        <f t="array" ref="E66">IFERROR(INDEX('03 Budget'!$C$7:$C$300,MATCH($D66,'03 Budget'!$B$7:$B$300,0)),IF($D66="","","** ID not found **"))</f>
        <v/>
      </c>
      <c r="F66" s="33" t="str">
        <f t="array" ref="F66">IFERROR(INDEX('03 Budget'!$D$7:$D$300,MATCH($D66,'03 Budget'!$B$7:$B$300,0)),IF($D66="","","** ID not found **"))</f>
        <v/>
      </c>
      <c r="G66" s="32"/>
      <c r="H66" s="32"/>
      <c r="I66" s="38"/>
      <c r="J66" s="24"/>
      <c r="K66" s="38"/>
      <c r="L66" s="24"/>
      <c r="M66" s="41" t="str">
        <f t="shared" si="2"/>
        <v/>
      </c>
      <c r="N66" s="32"/>
      <c r="O66" s="32"/>
      <c r="P66" s="32"/>
      <c r="Q66" s="32"/>
      <c r="R66" s="32"/>
      <c r="S66" s="32" t="str">
        <f t="shared" si="3"/>
        <v/>
      </c>
      <c r="T66" s="32"/>
      <c r="U66" s="32"/>
    </row>
    <row r="67" ht="16.5" customHeight="1">
      <c r="A67" s="1"/>
      <c r="B67" s="23" t="str">
        <f t="shared" si="1"/>
        <v/>
      </c>
      <c r="C67" s="24"/>
      <c r="D67" s="25"/>
      <c r="E67" s="33" t="str">
        <f t="array" ref="E67">IFERROR(INDEX('03 Budget'!$C$7:$C$300,MATCH($D67,'03 Budget'!$B$7:$B$300,0)),IF($D67="","","** ID not found **"))</f>
        <v/>
      </c>
      <c r="F67" s="33" t="str">
        <f t="array" ref="F67">IFERROR(INDEX('03 Budget'!$D$7:$D$300,MATCH($D67,'03 Budget'!$B$7:$B$300,0)),IF($D67="","","** ID not found **"))</f>
        <v/>
      </c>
      <c r="G67" s="32"/>
      <c r="H67" s="32"/>
      <c r="I67" s="38"/>
      <c r="J67" s="24"/>
      <c r="K67" s="38"/>
      <c r="L67" s="24"/>
      <c r="M67" s="41" t="str">
        <f t="shared" si="2"/>
        <v/>
      </c>
      <c r="N67" s="32"/>
      <c r="O67" s="32"/>
      <c r="P67" s="32"/>
      <c r="Q67" s="32"/>
      <c r="R67" s="32"/>
      <c r="S67" s="32" t="str">
        <f t="shared" si="3"/>
        <v/>
      </c>
      <c r="T67" s="32"/>
      <c r="U67" s="32"/>
    </row>
    <row r="68" ht="16.5" customHeight="1">
      <c r="A68" s="1"/>
      <c r="B68" s="23" t="str">
        <f t="shared" si="1"/>
        <v/>
      </c>
      <c r="C68" s="24"/>
      <c r="D68" s="25"/>
      <c r="E68" s="33" t="str">
        <f t="array" ref="E68">IFERROR(INDEX('03 Budget'!$C$7:$C$300,MATCH($D68,'03 Budget'!$B$7:$B$300,0)),IF($D68="","","** ID not found **"))</f>
        <v/>
      </c>
      <c r="F68" s="33" t="str">
        <f t="array" ref="F68">IFERROR(INDEX('03 Budget'!$D$7:$D$300,MATCH($D68,'03 Budget'!$B$7:$B$300,0)),IF($D68="","","** ID not found **"))</f>
        <v/>
      </c>
      <c r="G68" s="32"/>
      <c r="H68" s="32"/>
      <c r="I68" s="38"/>
      <c r="J68" s="24"/>
      <c r="K68" s="38"/>
      <c r="L68" s="24"/>
      <c r="M68" s="41" t="str">
        <f t="shared" si="2"/>
        <v/>
      </c>
      <c r="N68" s="32"/>
      <c r="O68" s="32"/>
      <c r="P68" s="32"/>
      <c r="Q68" s="32"/>
      <c r="R68" s="32"/>
      <c r="S68" s="32" t="str">
        <f t="shared" si="3"/>
        <v/>
      </c>
      <c r="T68" s="32"/>
      <c r="U68" s="32"/>
    </row>
    <row r="69" ht="16.5" customHeight="1">
      <c r="A69" s="1"/>
      <c r="B69" s="23" t="str">
        <f t="shared" si="1"/>
        <v/>
      </c>
      <c r="C69" s="24"/>
      <c r="D69" s="25"/>
      <c r="E69" s="33" t="str">
        <f t="array" ref="E69">IFERROR(INDEX('03 Budget'!$C$7:$C$300,MATCH($D69,'03 Budget'!$B$7:$B$300,0)),IF($D69="","","** ID not found **"))</f>
        <v/>
      </c>
      <c r="F69" s="33" t="str">
        <f t="array" ref="F69">IFERROR(INDEX('03 Budget'!$D$7:$D$300,MATCH($D69,'03 Budget'!$B$7:$B$300,0)),IF($D69="","","** ID not found **"))</f>
        <v/>
      </c>
      <c r="G69" s="32"/>
      <c r="H69" s="32"/>
      <c r="I69" s="38"/>
      <c r="J69" s="24"/>
      <c r="K69" s="38"/>
      <c r="L69" s="24"/>
      <c r="M69" s="41" t="str">
        <f t="shared" si="2"/>
        <v/>
      </c>
      <c r="N69" s="32"/>
      <c r="O69" s="32"/>
      <c r="P69" s="32"/>
      <c r="Q69" s="32"/>
      <c r="R69" s="32"/>
      <c r="S69" s="32" t="str">
        <f t="shared" si="3"/>
        <v/>
      </c>
      <c r="T69" s="32"/>
      <c r="U69" s="32"/>
    </row>
    <row r="70" ht="16.5" customHeight="1">
      <c r="A70" s="1"/>
      <c r="B70" s="23" t="str">
        <f t="shared" si="1"/>
        <v/>
      </c>
      <c r="C70" s="24"/>
      <c r="D70" s="25"/>
      <c r="E70" s="33" t="str">
        <f t="array" ref="E70">IFERROR(INDEX('03 Budget'!$C$7:$C$300,MATCH($D70,'03 Budget'!$B$7:$B$300,0)),IF($D70="","","** ID not found **"))</f>
        <v/>
      </c>
      <c r="F70" s="33" t="str">
        <f t="array" ref="F70">IFERROR(INDEX('03 Budget'!$D$7:$D$300,MATCH($D70,'03 Budget'!$B$7:$B$300,0)),IF($D70="","","** ID not found **"))</f>
        <v/>
      </c>
      <c r="G70" s="32"/>
      <c r="H70" s="32"/>
      <c r="I70" s="38"/>
      <c r="J70" s="24"/>
      <c r="K70" s="38"/>
      <c r="L70" s="24"/>
      <c r="M70" s="41" t="str">
        <f t="shared" si="2"/>
        <v/>
      </c>
      <c r="N70" s="32"/>
      <c r="O70" s="32"/>
      <c r="P70" s="32"/>
      <c r="Q70" s="32"/>
      <c r="R70" s="32"/>
      <c r="S70" s="32" t="str">
        <f t="shared" si="3"/>
        <v/>
      </c>
      <c r="T70" s="32"/>
      <c r="U70" s="32"/>
    </row>
    <row r="71" ht="16.5" customHeight="1">
      <c r="A71" s="1"/>
      <c r="B71" s="23" t="str">
        <f t="shared" si="1"/>
        <v/>
      </c>
      <c r="C71" s="24"/>
      <c r="D71" s="25"/>
      <c r="E71" s="33" t="str">
        <f t="array" ref="E71">IFERROR(INDEX('03 Budget'!$C$7:$C$300,MATCH($D71,'03 Budget'!$B$7:$B$300,0)),IF($D71="","","** ID not found **"))</f>
        <v/>
      </c>
      <c r="F71" s="33" t="str">
        <f t="array" ref="F71">IFERROR(INDEX('03 Budget'!$D$7:$D$300,MATCH($D71,'03 Budget'!$B$7:$B$300,0)),IF($D71="","","** ID not found **"))</f>
        <v/>
      </c>
      <c r="G71" s="32"/>
      <c r="H71" s="32"/>
      <c r="I71" s="38"/>
      <c r="J71" s="24"/>
      <c r="K71" s="38"/>
      <c r="L71" s="24"/>
      <c r="M71" s="41" t="str">
        <f t="shared" si="2"/>
        <v/>
      </c>
      <c r="N71" s="32"/>
      <c r="O71" s="32"/>
      <c r="P71" s="32"/>
      <c r="Q71" s="32"/>
      <c r="R71" s="32"/>
      <c r="S71" s="32" t="str">
        <f t="shared" si="3"/>
        <v/>
      </c>
      <c r="T71" s="32"/>
      <c r="U71" s="32"/>
    </row>
    <row r="72" ht="16.5" customHeight="1">
      <c r="A72" s="1"/>
      <c r="B72" s="23" t="str">
        <f t="shared" si="1"/>
        <v/>
      </c>
      <c r="C72" s="24"/>
      <c r="D72" s="25"/>
      <c r="E72" s="33" t="str">
        <f t="array" ref="E72">IFERROR(INDEX('03 Budget'!$C$7:$C$300,MATCH($D72,'03 Budget'!$B$7:$B$300,0)),IF($D72="","","** ID not found **"))</f>
        <v/>
      </c>
      <c r="F72" s="33" t="str">
        <f t="array" ref="F72">IFERROR(INDEX('03 Budget'!$D$7:$D$300,MATCH($D72,'03 Budget'!$B$7:$B$300,0)),IF($D72="","","** ID not found **"))</f>
        <v/>
      </c>
      <c r="G72" s="32"/>
      <c r="H72" s="32"/>
      <c r="I72" s="38"/>
      <c r="J72" s="24"/>
      <c r="K72" s="38"/>
      <c r="L72" s="24"/>
      <c r="M72" s="41" t="str">
        <f t="shared" si="2"/>
        <v/>
      </c>
      <c r="N72" s="32"/>
      <c r="O72" s="32"/>
      <c r="P72" s="32"/>
      <c r="Q72" s="32"/>
      <c r="R72" s="32"/>
      <c r="S72" s="32" t="str">
        <f t="shared" si="3"/>
        <v/>
      </c>
      <c r="T72" s="32"/>
      <c r="U72" s="32"/>
    </row>
    <row r="73" ht="16.5" customHeight="1">
      <c r="A73" s="1"/>
      <c r="B73" s="23" t="str">
        <f t="shared" si="1"/>
        <v/>
      </c>
      <c r="C73" s="24"/>
      <c r="D73" s="25"/>
      <c r="E73" s="33" t="str">
        <f t="array" ref="E73">IFERROR(INDEX('03 Budget'!$C$7:$C$300,MATCH($D73,'03 Budget'!$B$7:$B$300,0)),IF($D73="","","** ID not found **"))</f>
        <v/>
      </c>
      <c r="F73" s="33" t="str">
        <f t="array" ref="F73">IFERROR(INDEX('03 Budget'!$D$7:$D$300,MATCH($D73,'03 Budget'!$B$7:$B$300,0)),IF($D73="","","** ID not found **"))</f>
        <v/>
      </c>
      <c r="G73" s="32"/>
      <c r="H73" s="32"/>
      <c r="I73" s="38"/>
      <c r="J73" s="24"/>
      <c r="K73" s="38"/>
      <c r="L73" s="24"/>
      <c r="M73" s="41" t="str">
        <f t="shared" si="2"/>
        <v/>
      </c>
      <c r="N73" s="32"/>
      <c r="O73" s="32"/>
      <c r="P73" s="32"/>
      <c r="Q73" s="32"/>
      <c r="R73" s="32"/>
      <c r="S73" s="32" t="str">
        <f t="shared" si="3"/>
        <v/>
      </c>
      <c r="T73" s="32"/>
      <c r="U73" s="32"/>
    </row>
    <row r="74" ht="16.5" customHeight="1">
      <c r="A74" s="1"/>
      <c r="B74" s="23" t="str">
        <f t="shared" si="1"/>
        <v/>
      </c>
      <c r="C74" s="24"/>
      <c r="D74" s="25"/>
      <c r="E74" s="33" t="str">
        <f t="array" ref="E74">IFERROR(INDEX('03 Budget'!$C$7:$C$300,MATCH($D74,'03 Budget'!$B$7:$B$300,0)),IF($D74="","","** ID not found **"))</f>
        <v/>
      </c>
      <c r="F74" s="33" t="str">
        <f t="array" ref="F74">IFERROR(INDEX('03 Budget'!$D$7:$D$300,MATCH($D74,'03 Budget'!$B$7:$B$300,0)),IF($D74="","","** ID not found **"))</f>
        <v/>
      </c>
      <c r="G74" s="32"/>
      <c r="H74" s="32"/>
      <c r="I74" s="38"/>
      <c r="J74" s="24"/>
      <c r="K74" s="38"/>
      <c r="L74" s="24"/>
      <c r="M74" s="41" t="str">
        <f t="shared" si="2"/>
        <v/>
      </c>
      <c r="N74" s="32"/>
      <c r="O74" s="32"/>
      <c r="P74" s="32"/>
      <c r="Q74" s="32"/>
      <c r="R74" s="32"/>
      <c r="S74" s="32" t="str">
        <f t="shared" si="3"/>
        <v/>
      </c>
      <c r="T74" s="32"/>
      <c r="U74" s="32"/>
    </row>
    <row r="75" ht="16.5" customHeight="1">
      <c r="A75" s="1"/>
      <c r="B75" s="23" t="str">
        <f t="shared" si="1"/>
        <v/>
      </c>
      <c r="C75" s="24"/>
      <c r="D75" s="25"/>
      <c r="E75" s="33" t="str">
        <f t="array" ref="E75">IFERROR(INDEX('03 Budget'!$C$7:$C$300,MATCH($D75,'03 Budget'!$B$7:$B$300,0)),IF($D75="","","** ID not found **"))</f>
        <v/>
      </c>
      <c r="F75" s="33" t="str">
        <f t="array" ref="F75">IFERROR(INDEX('03 Budget'!$D$7:$D$300,MATCH($D75,'03 Budget'!$B$7:$B$300,0)),IF($D75="","","** ID not found **"))</f>
        <v/>
      </c>
      <c r="G75" s="32"/>
      <c r="H75" s="32"/>
      <c r="I75" s="38"/>
      <c r="J75" s="24"/>
      <c r="K75" s="38"/>
      <c r="L75" s="24"/>
      <c r="M75" s="41" t="str">
        <f t="shared" si="2"/>
        <v/>
      </c>
      <c r="N75" s="32"/>
      <c r="O75" s="32"/>
      <c r="P75" s="32"/>
      <c r="Q75" s="32"/>
      <c r="R75" s="32"/>
      <c r="S75" s="32" t="str">
        <f t="shared" si="3"/>
        <v/>
      </c>
      <c r="T75" s="32"/>
      <c r="U75" s="32"/>
    </row>
    <row r="76" ht="16.5" customHeight="1">
      <c r="A76" s="1"/>
      <c r="B76" s="23" t="str">
        <f t="shared" si="1"/>
        <v/>
      </c>
      <c r="C76" s="24"/>
      <c r="D76" s="25"/>
      <c r="E76" s="33" t="str">
        <f t="array" ref="E76">IFERROR(INDEX('03 Budget'!$C$7:$C$300,MATCH($D76,'03 Budget'!$B$7:$B$300,0)),IF($D76="","","** ID not found **"))</f>
        <v/>
      </c>
      <c r="F76" s="33" t="str">
        <f t="array" ref="F76">IFERROR(INDEX('03 Budget'!$D$7:$D$300,MATCH($D76,'03 Budget'!$B$7:$B$300,0)),IF($D76="","","** ID not found **"))</f>
        <v/>
      </c>
      <c r="G76" s="32"/>
      <c r="H76" s="32"/>
      <c r="I76" s="38"/>
      <c r="J76" s="24"/>
      <c r="K76" s="38"/>
      <c r="L76" s="24"/>
      <c r="M76" s="41" t="str">
        <f t="shared" si="2"/>
        <v/>
      </c>
      <c r="N76" s="32"/>
      <c r="O76" s="32"/>
      <c r="P76" s="32"/>
      <c r="Q76" s="32"/>
      <c r="R76" s="32"/>
      <c r="S76" s="32" t="str">
        <f t="shared" si="3"/>
        <v/>
      </c>
      <c r="T76" s="32"/>
      <c r="U76" s="32"/>
    </row>
    <row r="77" ht="16.5" customHeight="1">
      <c r="A77" s="1"/>
      <c r="B77" s="23" t="str">
        <f t="shared" si="1"/>
        <v/>
      </c>
      <c r="C77" s="24"/>
      <c r="D77" s="25"/>
      <c r="E77" s="33" t="str">
        <f t="array" ref="E77">IFERROR(INDEX('03 Budget'!$C$7:$C$300,MATCH($D77,'03 Budget'!$B$7:$B$300,0)),IF($D77="","","** ID not found **"))</f>
        <v/>
      </c>
      <c r="F77" s="33" t="str">
        <f t="array" ref="F77">IFERROR(INDEX('03 Budget'!$D$7:$D$300,MATCH($D77,'03 Budget'!$B$7:$B$300,0)),IF($D77="","","** ID not found **"))</f>
        <v/>
      </c>
      <c r="G77" s="32"/>
      <c r="H77" s="32"/>
      <c r="I77" s="38"/>
      <c r="J77" s="24"/>
      <c r="K77" s="38"/>
      <c r="L77" s="24"/>
      <c r="M77" s="41" t="str">
        <f t="shared" si="2"/>
        <v/>
      </c>
      <c r="N77" s="32"/>
      <c r="O77" s="32"/>
      <c r="P77" s="32"/>
      <c r="Q77" s="32"/>
      <c r="R77" s="32"/>
      <c r="S77" s="32" t="str">
        <f t="shared" si="3"/>
        <v/>
      </c>
      <c r="T77" s="32"/>
      <c r="U77" s="32"/>
    </row>
    <row r="78" ht="16.5" customHeight="1">
      <c r="A78" s="1"/>
      <c r="B78" s="23" t="str">
        <f t="shared" si="1"/>
        <v/>
      </c>
      <c r="C78" s="24"/>
      <c r="D78" s="25"/>
      <c r="E78" s="33" t="str">
        <f t="array" ref="E78">IFERROR(INDEX('03 Budget'!$C$7:$C$300,MATCH($D78,'03 Budget'!$B$7:$B$300,0)),IF($D78="","","** ID not found **"))</f>
        <v/>
      </c>
      <c r="F78" s="33" t="str">
        <f t="array" ref="F78">IFERROR(INDEX('03 Budget'!$D$7:$D$300,MATCH($D78,'03 Budget'!$B$7:$B$300,0)),IF($D78="","","** ID not found **"))</f>
        <v/>
      </c>
      <c r="G78" s="32"/>
      <c r="H78" s="32"/>
      <c r="I78" s="38"/>
      <c r="J78" s="24"/>
      <c r="K78" s="38"/>
      <c r="L78" s="24"/>
      <c r="M78" s="41" t="str">
        <f t="shared" si="2"/>
        <v/>
      </c>
      <c r="N78" s="32"/>
      <c r="O78" s="32"/>
      <c r="P78" s="32"/>
      <c r="Q78" s="32"/>
      <c r="R78" s="32"/>
      <c r="S78" s="32" t="str">
        <f t="shared" si="3"/>
        <v/>
      </c>
      <c r="T78" s="32"/>
      <c r="U78" s="32"/>
    </row>
    <row r="79" ht="16.5" customHeight="1">
      <c r="A79" s="1"/>
      <c r="B79" s="23" t="str">
        <f t="shared" si="1"/>
        <v/>
      </c>
      <c r="C79" s="24"/>
      <c r="D79" s="25"/>
      <c r="E79" s="33" t="str">
        <f t="array" ref="E79">IFERROR(INDEX('03 Budget'!$C$7:$C$300,MATCH($D79,'03 Budget'!$B$7:$B$300,0)),IF($D79="","","** ID not found **"))</f>
        <v/>
      </c>
      <c r="F79" s="33" t="str">
        <f t="array" ref="F79">IFERROR(INDEX('03 Budget'!$D$7:$D$300,MATCH($D79,'03 Budget'!$B$7:$B$300,0)),IF($D79="","","** ID not found **"))</f>
        <v/>
      </c>
      <c r="G79" s="32"/>
      <c r="H79" s="32"/>
      <c r="I79" s="38"/>
      <c r="J79" s="24"/>
      <c r="K79" s="38"/>
      <c r="L79" s="24"/>
      <c r="M79" s="41" t="str">
        <f t="shared" si="2"/>
        <v/>
      </c>
      <c r="N79" s="32"/>
      <c r="O79" s="32"/>
      <c r="P79" s="32"/>
      <c r="Q79" s="32"/>
      <c r="R79" s="32"/>
      <c r="S79" s="32" t="str">
        <f t="shared" si="3"/>
        <v/>
      </c>
      <c r="T79" s="32"/>
      <c r="U79" s="32"/>
    </row>
    <row r="80" ht="16.5" customHeight="1">
      <c r="A80" s="1"/>
      <c r="B80" s="23" t="str">
        <f t="shared" si="1"/>
        <v/>
      </c>
      <c r="C80" s="24"/>
      <c r="D80" s="25"/>
      <c r="E80" s="33" t="str">
        <f t="array" ref="E80">IFERROR(INDEX('03 Budget'!$C$7:$C$300,MATCH($D80,'03 Budget'!$B$7:$B$300,0)),IF($D80="","","** ID not found **"))</f>
        <v/>
      </c>
      <c r="F80" s="33" t="str">
        <f t="array" ref="F80">IFERROR(INDEX('03 Budget'!$D$7:$D$300,MATCH($D80,'03 Budget'!$B$7:$B$300,0)),IF($D80="","","** ID not found **"))</f>
        <v/>
      </c>
      <c r="G80" s="32"/>
      <c r="H80" s="32"/>
      <c r="I80" s="38"/>
      <c r="J80" s="24"/>
      <c r="K80" s="38"/>
      <c r="L80" s="24"/>
      <c r="M80" s="41" t="str">
        <f t="shared" si="2"/>
        <v/>
      </c>
      <c r="N80" s="32"/>
      <c r="O80" s="32"/>
      <c r="P80" s="32"/>
      <c r="Q80" s="32"/>
      <c r="R80" s="32"/>
      <c r="S80" s="32" t="str">
        <f t="shared" si="3"/>
        <v/>
      </c>
      <c r="T80" s="32"/>
      <c r="U80" s="32"/>
    </row>
    <row r="81" ht="16.5" customHeight="1">
      <c r="A81" s="1"/>
      <c r="B81" s="23" t="str">
        <f t="shared" si="1"/>
        <v/>
      </c>
      <c r="C81" s="24"/>
      <c r="D81" s="25"/>
      <c r="E81" s="33" t="str">
        <f t="array" ref="E81">IFERROR(INDEX('03 Budget'!$C$7:$C$300,MATCH($D81,'03 Budget'!$B$7:$B$300,0)),IF($D81="","","** ID not found **"))</f>
        <v/>
      </c>
      <c r="F81" s="33" t="str">
        <f t="array" ref="F81">IFERROR(INDEX('03 Budget'!$D$7:$D$300,MATCH($D81,'03 Budget'!$B$7:$B$300,0)),IF($D81="","","** ID not found **"))</f>
        <v/>
      </c>
      <c r="G81" s="32"/>
      <c r="H81" s="32"/>
      <c r="I81" s="38"/>
      <c r="J81" s="24"/>
      <c r="K81" s="38"/>
      <c r="L81" s="24"/>
      <c r="M81" s="41" t="str">
        <f t="shared" si="2"/>
        <v/>
      </c>
      <c r="N81" s="32"/>
      <c r="O81" s="32"/>
      <c r="P81" s="32"/>
      <c r="Q81" s="32"/>
      <c r="R81" s="32"/>
      <c r="S81" s="32" t="str">
        <f t="shared" si="3"/>
        <v/>
      </c>
      <c r="T81" s="32"/>
      <c r="U81" s="32"/>
    </row>
    <row r="82" ht="16.5" customHeight="1">
      <c r="A82" s="1"/>
      <c r="B82" s="23" t="str">
        <f t="shared" si="1"/>
        <v/>
      </c>
      <c r="C82" s="24"/>
      <c r="D82" s="25"/>
      <c r="E82" s="33" t="str">
        <f t="array" ref="E82">IFERROR(INDEX('03 Budget'!$C$7:$C$300,MATCH($D82,'03 Budget'!$B$7:$B$300,0)),IF($D82="","","** ID not found **"))</f>
        <v/>
      </c>
      <c r="F82" s="33" t="str">
        <f t="array" ref="F82">IFERROR(INDEX('03 Budget'!$D$7:$D$300,MATCH($D82,'03 Budget'!$B$7:$B$300,0)),IF($D82="","","** ID not found **"))</f>
        <v/>
      </c>
      <c r="G82" s="32"/>
      <c r="H82" s="32"/>
      <c r="I82" s="38"/>
      <c r="J82" s="24"/>
      <c r="K82" s="38"/>
      <c r="L82" s="24"/>
      <c r="M82" s="41" t="str">
        <f t="shared" si="2"/>
        <v/>
      </c>
      <c r="N82" s="32"/>
      <c r="O82" s="32"/>
      <c r="P82" s="32"/>
      <c r="Q82" s="32"/>
      <c r="R82" s="32"/>
      <c r="S82" s="32" t="str">
        <f t="shared" si="3"/>
        <v/>
      </c>
      <c r="T82" s="32"/>
      <c r="U82" s="32"/>
    </row>
    <row r="83" ht="16.5" customHeight="1">
      <c r="A83" s="1"/>
      <c r="B83" s="23" t="str">
        <f t="shared" si="1"/>
        <v/>
      </c>
      <c r="C83" s="24"/>
      <c r="D83" s="25"/>
      <c r="E83" s="33" t="str">
        <f t="array" ref="E83">IFERROR(INDEX('03 Budget'!$C$7:$C$300,MATCH($D83,'03 Budget'!$B$7:$B$300,0)),IF($D83="","","** ID not found **"))</f>
        <v/>
      </c>
      <c r="F83" s="33" t="str">
        <f t="array" ref="F83">IFERROR(INDEX('03 Budget'!$D$7:$D$300,MATCH($D83,'03 Budget'!$B$7:$B$300,0)),IF($D83="","","** ID not found **"))</f>
        <v/>
      </c>
      <c r="G83" s="32"/>
      <c r="H83" s="32"/>
      <c r="I83" s="38"/>
      <c r="J83" s="24"/>
      <c r="K83" s="38"/>
      <c r="L83" s="24"/>
      <c r="M83" s="41" t="str">
        <f t="shared" si="2"/>
        <v/>
      </c>
      <c r="N83" s="32"/>
      <c r="O83" s="32"/>
      <c r="P83" s="32"/>
      <c r="Q83" s="32"/>
      <c r="R83" s="32"/>
      <c r="S83" s="32" t="str">
        <f t="shared" si="3"/>
        <v/>
      </c>
      <c r="T83" s="32"/>
      <c r="U83" s="32"/>
    </row>
    <row r="84" ht="16.5" customHeight="1">
      <c r="A84" s="1"/>
      <c r="B84" s="23" t="str">
        <f t="shared" si="1"/>
        <v/>
      </c>
      <c r="C84" s="24"/>
      <c r="D84" s="25"/>
      <c r="E84" s="33" t="str">
        <f t="array" ref="E84">IFERROR(INDEX('03 Budget'!$C$7:$C$300,MATCH($D84,'03 Budget'!$B$7:$B$300,0)),IF($D84="","","** ID not found **"))</f>
        <v/>
      </c>
      <c r="F84" s="33" t="str">
        <f t="array" ref="F84">IFERROR(INDEX('03 Budget'!$D$7:$D$300,MATCH($D84,'03 Budget'!$B$7:$B$300,0)),IF($D84="","","** ID not found **"))</f>
        <v/>
      </c>
      <c r="G84" s="32"/>
      <c r="H84" s="32"/>
      <c r="I84" s="38"/>
      <c r="J84" s="24"/>
      <c r="K84" s="38"/>
      <c r="L84" s="24"/>
      <c r="M84" s="41" t="str">
        <f t="shared" si="2"/>
        <v/>
      </c>
      <c r="N84" s="32"/>
      <c r="O84" s="32"/>
      <c r="P84" s="32"/>
      <c r="Q84" s="32"/>
      <c r="R84" s="32"/>
      <c r="S84" s="32" t="str">
        <f t="shared" si="3"/>
        <v/>
      </c>
      <c r="T84" s="32"/>
      <c r="U84" s="32"/>
    </row>
    <row r="85" ht="16.5" customHeight="1">
      <c r="A85" s="1"/>
      <c r="B85" s="23" t="str">
        <f t="shared" si="1"/>
        <v/>
      </c>
      <c r="C85" s="24"/>
      <c r="D85" s="25"/>
      <c r="E85" s="33" t="str">
        <f t="array" ref="E85">IFERROR(INDEX('03 Budget'!$C$7:$C$300,MATCH($D85,'03 Budget'!$B$7:$B$300,0)),IF($D85="","","** ID not found **"))</f>
        <v/>
      </c>
      <c r="F85" s="33" t="str">
        <f t="array" ref="F85">IFERROR(INDEX('03 Budget'!$D$7:$D$300,MATCH($D85,'03 Budget'!$B$7:$B$300,0)),IF($D85="","","** ID not found **"))</f>
        <v/>
      </c>
      <c r="G85" s="32"/>
      <c r="H85" s="32"/>
      <c r="I85" s="38"/>
      <c r="J85" s="24"/>
      <c r="K85" s="38"/>
      <c r="L85" s="24"/>
      <c r="M85" s="41" t="str">
        <f t="shared" si="2"/>
        <v/>
      </c>
      <c r="N85" s="32"/>
      <c r="O85" s="32"/>
      <c r="P85" s="32"/>
      <c r="Q85" s="32"/>
      <c r="R85" s="32"/>
      <c r="S85" s="32" t="str">
        <f t="shared" si="3"/>
        <v/>
      </c>
      <c r="T85" s="32"/>
      <c r="U85" s="32"/>
    </row>
    <row r="86" ht="16.5" customHeight="1">
      <c r="A86" s="1"/>
      <c r="B86" s="23" t="str">
        <f t="shared" si="1"/>
        <v/>
      </c>
      <c r="C86" s="24"/>
      <c r="D86" s="25"/>
      <c r="E86" s="33" t="str">
        <f t="array" ref="E86">IFERROR(INDEX('03 Budget'!$C$7:$C$300,MATCH($D86,'03 Budget'!$B$7:$B$300,0)),IF($D86="","","** ID not found **"))</f>
        <v/>
      </c>
      <c r="F86" s="33" t="str">
        <f t="array" ref="F86">IFERROR(INDEX('03 Budget'!$D$7:$D$300,MATCH($D86,'03 Budget'!$B$7:$B$300,0)),IF($D86="","","** ID not found **"))</f>
        <v/>
      </c>
      <c r="G86" s="32"/>
      <c r="H86" s="32"/>
      <c r="I86" s="38"/>
      <c r="J86" s="24"/>
      <c r="K86" s="38"/>
      <c r="L86" s="24"/>
      <c r="M86" s="41" t="str">
        <f t="shared" si="2"/>
        <v/>
      </c>
      <c r="N86" s="32"/>
      <c r="O86" s="32"/>
      <c r="P86" s="32"/>
      <c r="Q86" s="32"/>
      <c r="R86" s="32"/>
      <c r="S86" s="32" t="str">
        <f t="shared" si="3"/>
        <v/>
      </c>
      <c r="T86" s="32"/>
      <c r="U86" s="32"/>
    </row>
    <row r="87" ht="16.5" customHeight="1">
      <c r="A87" s="1"/>
      <c r="B87" s="23" t="str">
        <f t="shared" si="1"/>
        <v/>
      </c>
      <c r="C87" s="24"/>
      <c r="D87" s="25"/>
      <c r="E87" s="33" t="str">
        <f t="array" ref="E87">IFERROR(INDEX('03 Budget'!$C$7:$C$300,MATCH($D87,'03 Budget'!$B$7:$B$300,0)),IF($D87="","","** ID not found **"))</f>
        <v/>
      </c>
      <c r="F87" s="33" t="str">
        <f t="array" ref="F87">IFERROR(INDEX('03 Budget'!$D$7:$D$300,MATCH($D87,'03 Budget'!$B$7:$B$300,0)),IF($D87="","","** ID not found **"))</f>
        <v/>
      </c>
      <c r="G87" s="32"/>
      <c r="H87" s="32"/>
      <c r="I87" s="38"/>
      <c r="J87" s="24"/>
      <c r="K87" s="38"/>
      <c r="L87" s="24"/>
      <c r="M87" s="41" t="str">
        <f t="shared" si="2"/>
        <v/>
      </c>
      <c r="N87" s="32"/>
      <c r="O87" s="32"/>
      <c r="P87" s="32"/>
      <c r="Q87" s="32"/>
      <c r="R87" s="32"/>
      <c r="S87" s="32" t="str">
        <f t="shared" si="3"/>
        <v/>
      </c>
      <c r="T87" s="32"/>
      <c r="U87" s="32"/>
    </row>
    <row r="88" ht="16.5" customHeight="1">
      <c r="A88" s="1"/>
      <c r="B88" s="23" t="str">
        <f t="shared" si="1"/>
        <v/>
      </c>
      <c r="C88" s="24"/>
      <c r="D88" s="25"/>
      <c r="E88" s="33" t="str">
        <f t="array" ref="E88">IFERROR(INDEX('03 Budget'!$C$7:$C$300,MATCH($D88,'03 Budget'!$B$7:$B$300,0)),IF($D88="","","** ID not found **"))</f>
        <v/>
      </c>
      <c r="F88" s="33" t="str">
        <f t="array" ref="F88">IFERROR(INDEX('03 Budget'!$D$7:$D$300,MATCH($D88,'03 Budget'!$B$7:$B$300,0)),IF($D88="","","** ID not found **"))</f>
        <v/>
      </c>
      <c r="G88" s="32"/>
      <c r="H88" s="32"/>
      <c r="I88" s="38"/>
      <c r="J88" s="24"/>
      <c r="K88" s="38"/>
      <c r="L88" s="24"/>
      <c r="M88" s="41" t="str">
        <f t="shared" si="2"/>
        <v/>
      </c>
      <c r="N88" s="32"/>
      <c r="O88" s="32"/>
      <c r="P88" s="32"/>
      <c r="Q88" s="32"/>
      <c r="R88" s="32"/>
      <c r="S88" s="32" t="str">
        <f t="shared" si="3"/>
        <v/>
      </c>
      <c r="T88" s="32"/>
      <c r="U88" s="32"/>
    </row>
    <row r="89" ht="16.5" customHeight="1">
      <c r="A89" s="1"/>
      <c r="B89" s="23" t="str">
        <f t="shared" si="1"/>
        <v/>
      </c>
      <c r="C89" s="24"/>
      <c r="D89" s="25"/>
      <c r="E89" s="33" t="str">
        <f t="array" ref="E89">IFERROR(INDEX('03 Budget'!$C$7:$C$300,MATCH($D89,'03 Budget'!$B$7:$B$300,0)),IF($D89="","","** ID not found **"))</f>
        <v/>
      </c>
      <c r="F89" s="33" t="str">
        <f t="array" ref="F89">IFERROR(INDEX('03 Budget'!$D$7:$D$300,MATCH($D89,'03 Budget'!$B$7:$B$300,0)),IF($D89="","","** ID not found **"))</f>
        <v/>
      </c>
      <c r="G89" s="32"/>
      <c r="H89" s="32"/>
      <c r="I89" s="38"/>
      <c r="J89" s="24"/>
      <c r="K89" s="38"/>
      <c r="L89" s="24"/>
      <c r="M89" s="41" t="str">
        <f t="shared" si="2"/>
        <v/>
      </c>
      <c r="N89" s="32"/>
      <c r="O89" s="32"/>
      <c r="P89" s="32"/>
      <c r="Q89" s="32"/>
      <c r="R89" s="32"/>
      <c r="S89" s="32" t="str">
        <f t="shared" si="3"/>
        <v/>
      </c>
      <c r="T89" s="32"/>
      <c r="U89" s="32"/>
    </row>
    <row r="90" ht="16.5" customHeight="1">
      <c r="A90" s="1"/>
      <c r="B90" s="23" t="str">
        <f t="shared" si="1"/>
        <v/>
      </c>
      <c r="C90" s="24"/>
      <c r="D90" s="25"/>
      <c r="E90" s="33" t="str">
        <f t="array" ref="E90">IFERROR(INDEX('03 Budget'!$C$7:$C$300,MATCH($D90,'03 Budget'!$B$7:$B$300,0)),IF($D90="","","** ID not found **"))</f>
        <v/>
      </c>
      <c r="F90" s="33" t="str">
        <f t="array" ref="F90">IFERROR(INDEX('03 Budget'!$D$7:$D$300,MATCH($D90,'03 Budget'!$B$7:$B$300,0)),IF($D90="","","** ID not found **"))</f>
        <v/>
      </c>
      <c r="G90" s="32"/>
      <c r="H90" s="32"/>
      <c r="I90" s="38"/>
      <c r="J90" s="24"/>
      <c r="K90" s="38"/>
      <c r="L90" s="24"/>
      <c r="M90" s="41" t="str">
        <f t="shared" si="2"/>
        <v/>
      </c>
      <c r="N90" s="32"/>
      <c r="O90" s="32"/>
      <c r="P90" s="32"/>
      <c r="Q90" s="32"/>
      <c r="R90" s="32"/>
      <c r="S90" s="32" t="str">
        <f t="shared" si="3"/>
        <v/>
      </c>
      <c r="T90" s="32"/>
      <c r="U90" s="32"/>
    </row>
    <row r="91" ht="16.5" customHeight="1">
      <c r="A91" s="1"/>
      <c r="B91" s="23" t="str">
        <f t="shared" si="1"/>
        <v/>
      </c>
      <c r="C91" s="24"/>
      <c r="D91" s="25"/>
      <c r="E91" s="33" t="str">
        <f t="array" ref="E91">IFERROR(INDEX('03 Budget'!$C$7:$C$300,MATCH($D91,'03 Budget'!$B$7:$B$300,0)),IF($D91="","","** ID not found **"))</f>
        <v/>
      </c>
      <c r="F91" s="33" t="str">
        <f t="array" ref="F91">IFERROR(INDEX('03 Budget'!$D$7:$D$300,MATCH($D91,'03 Budget'!$B$7:$B$300,0)),IF($D91="","","** ID not found **"))</f>
        <v/>
      </c>
      <c r="G91" s="32"/>
      <c r="H91" s="32"/>
      <c r="I91" s="38"/>
      <c r="J91" s="24"/>
      <c r="K91" s="38"/>
      <c r="L91" s="24"/>
      <c r="M91" s="41" t="str">
        <f t="shared" si="2"/>
        <v/>
      </c>
      <c r="N91" s="32"/>
      <c r="O91" s="32"/>
      <c r="P91" s="32"/>
      <c r="Q91" s="32"/>
      <c r="R91" s="32"/>
      <c r="S91" s="32" t="str">
        <f t="shared" si="3"/>
        <v/>
      </c>
      <c r="T91" s="32"/>
      <c r="U91" s="32"/>
    </row>
    <row r="92" ht="16.5" customHeight="1">
      <c r="A92" s="1"/>
      <c r="B92" s="23" t="str">
        <f t="shared" si="1"/>
        <v/>
      </c>
      <c r="C92" s="24"/>
      <c r="D92" s="25"/>
      <c r="E92" s="33" t="str">
        <f t="array" ref="E92">IFERROR(INDEX('03 Budget'!$C$7:$C$300,MATCH($D92,'03 Budget'!$B$7:$B$300,0)),IF($D92="","","** ID not found **"))</f>
        <v/>
      </c>
      <c r="F92" s="33" t="str">
        <f t="array" ref="F92">IFERROR(INDEX('03 Budget'!$D$7:$D$300,MATCH($D92,'03 Budget'!$B$7:$B$300,0)),IF($D92="","","** ID not found **"))</f>
        <v/>
      </c>
      <c r="G92" s="32"/>
      <c r="H92" s="32"/>
      <c r="I92" s="38"/>
      <c r="J92" s="24"/>
      <c r="K92" s="38"/>
      <c r="L92" s="24"/>
      <c r="M92" s="41" t="str">
        <f t="shared" si="2"/>
        <v/>
      </c>
      <c r="N92" s="32"/>
      <c r="O92" s="32"/>
      <c r="P92" s="32"/>
      <c r="Q92" s="32"/>
      <c r="R92" s="32"/>
      <c r="S92" s="32" t="str">
        <f t="shared" si="3"/>
        <v/>
      </c>
      <c r="T92" s="32"/>
      <c r="U92" s="32"/>
    </row>
    <row r="93" ht="16.5" customHeight="1">
      <c r="A93" s="1"/>
      <c r="B93" s="23" t="str">
        <f t="shared" si="1"/>
        <v/>
      </c>
      <c r="C93" s="24"/>
      <c r="D93" s="25"/>
      <c r="E93" s="33" t="str">
        <f t="array" ref="E93">IFERROR(INDEX('03 Budget'!$C$7:$C$300,MATCH($D93,'03 Budget'!$B$7:$B$300,0)),IF($D93="","","** ID not found **"))</f>
        <v/>
      </c>
      <c r="F93" s="33" t="str">
        <f t="array" ref="F93">IFERROR(INDEX('03 Budget'!$D$7:$D$300,MATCH($D93,'03 Budget'!$B$7:$B$300,0)),IF($D93="","","** ID not found **"))</f>
        <v/>
      </c>
      <c r="G93" s="32"/>
      <c r="H93" s="32"/>
      <c r="I93" s="38"/>
      <c r="J93" s="24"/>
      <c r="K93" s="38"/>
      <c r="L93" s="24"/>
      <c r="M93" s="41" t="str">
        <f t="shared" si="2"/>
        <v/>
      </c>
      <c r="N93" s="32"/>
      <c r="O93" s="32"/>
      <c r="P93" s="32"/>
      <c r="Q93" s="32"/>
      <c r="R93" s="32"/>
      <c r="S93" s="32" t="str">
        <f t="shared" si="3"/>
        <v/>
      </c>
      <c r="T93" s="32"/>
      <c r="U93" s="32"/>
    </row>
    <row r="94" ht="16.5" customHeight="1">
      <c r="A94" s="1"/>
      <c r="B94" s="23" t="str">
        <f t="shared" si="1"/>
        <v/>
      </c>
      <c r="C94" s="24"/>
      <c r="D94" s="25"/>
      <c r="E94" s="33" t="str">
        <f t="array" ref="E94">IFERROR(INDEX('03 Budget'!$C$7:$C$300,MATCH($D94,'03 Budget'!$B$7:$B$300,0)),IF($D94="","","** ID not found **"))</f>
        <v/>
      </c>
      <c r="F94" s="33" t="str">
        <f t="array" ref="F94">IFERROR(INDEX('03 Budget'!$D$7:$D$300,MATCH($D94,'03 Budget'!$B$7:$B$300,0)),IF($D94="","","** ID not found **"))</f>
        <v/>
      </c>
      <c r="G94" s="32"/>
      <c r="H94" s="32"/>
      <c r="I94" s="38"/>
      <c r="J94" s="24"/>
      <c r="K94" s="38"/>
      <c r="L94" s="24"/>
      <c r="M94" s="41" t="str">
        <f t="shared" si="2"/>
        <v/>
      </c>
      <c r="N94" s="32"/>
      <c r="O94" s="32"/>
      <c r="P94" s="32"/>
      <c r="Q94" s="32"/>
      <c r="R94" s="32"/>
      <c r="S94" s="32" t="str">
        <f t="shared" si="3"/>
        <v/>
      </c>
      <c r="T94" s="32"/>
      <c r="U94" s="32"/>
    </row>
    <row r="95" ht="16.5" customHeight="1">
      <c r="A95" s="1"/>
      <c r="B95" s="23" t="str">
        <f t="shared" si="1"/>
        <v/>
      </c>
      <c r="C95" s="24"/>
      <c r="D95" s="25"/>
      <c r="E95" s="33" t="str">
        <f t="array" ref="E95">IFERROR(INDEX('03 Budget'!$C$7:$C$300,MATCH($D95,'03 Budget'!$B$7:$B$300,0)),IF($D95="","","** ID not found **"))</f>
        <v/>
      </c>
      <c r="F95" s="33" t="str">
        <f t="array" ref="F95">IFERROR(INDEX('03 Budget'!$D$7:$D$300,MATCH($D95,'03 Budget'!$B$7:$B$300,0)),IF($D95="","","** ID not found **"))</f>
        <v/>
      </c>
      <c r="G95" s="32"/>
      <c r="H95" s="32"/>
      <c r="I95" s="38"/>
      <c r="J95" s="24"/>
      <c r="K95" s="38"/>
      <c r="L95" s="24"/>
      <c r="M95" s="41" t="str">
        <f t="shared" si="2"/>
        <v/>
      </c>
      <c r="N95" s="32"/>
      <c r="O95" s="32"/>
      <c r="P95" s="32"/>
      <c r="Q95" s="32"/>
      <c r="R95" s="32"/>
      <c r="S95" s="32" t="str">
        <f t="shared" si="3"/>
        <v/>
      </c>
      <c r="T95" s="32"/>
      <c r="U95" s="32"/>
    </row>
    <row r="96" ht="16.5" customHeight="1">
      <c r="A96" s="1"/>
      <c r="B96" s="23" t="str">
        <f t="shared" si="1"/>
        <v/>
      </c>
      <c r="C96" s="24"/>
      <c r="D96" s="25"/>
      <c r="E96" s="33" t="str">
        <f t="array" ref="E96">IFERROR(INDEX('03 Budget'!$C$7:$C$300,MATCH($D96,'03 Budget'!$B$7:$B$300,0)),IF($D96="","","** ID not found **"))</f>
        <v/>
      </c>
      <c r="F96" s="33" t="str">
        <f t="array" ref="F96">IFERROR(INDEX('03 Budget'!$D$7:$D$300,MATCH($D96,'03 Budget'!$B$7:$B$300,0)),IF($D96="","","** ID not found **"))</f>
        <v/>
      </c>
      <c r="G96" s="32"/>
      <c r="H96" s="32"/>
      <c r="I96" s="38"/>
      <c r="J96" s="24"/>
      <c r="K96" s="38"/>
      <c r="L96" s="24"/>
      <c r="M96" s="41" t="str">
        <f t="shared" si="2"/>
        <v/>
      </c>
      <c r="N96" s="32"/>
      <c r="O96" s="32"/>
      <c r="P96" s="32"/>
      <c r="Q96" s="32"/>
      <c r="R96" s="32"/>
      <c r="S96" s="32" t="str">
        <f t="shared" si="3"/>
        <v/>
      </c>
      <c r="T96" s="32"/>
      <c r="U96" s="32"/>
    </row>
    <row r="97" ht="16.5" customHeight="1">
      <c r="A97" s="1"/>
      <c r="B97" s="23" t="str">
        <f t="shared" si="1"/>
        <v/>
      </c>
      <c r="C97" s="24"/>
      <c r="D97" s="25"/>
      <c r="E97" s="33" t="str">
        <f t="array" ref="E97">IFERROR(INDEX('03 Budget'!$C$7:$C$300,MATCH($D97,'03 Budget'!$B$7:$B$300,0)),IF($D97="","","** ID not found **"))</f>
        <v/>
      </c>
      <c r="F97" s="33" t="str">
        <f t="array" ref="F97">IFERROR(INDEX('03 Budget'!$D$7:$D$300,MATCH($D97,'03 Budget'!$B$7:$B$300,0)),IF($D97="","","** ID not found **"))</f>
        <v/>
      </c>
      <c r="G97" s="32"/>
      <c r="H97" s="32"/>
      <c r="I97" s="38"/>
      <c r="J97" s="24"/>
      <c r="K97" s="38"/>
      <c r="L97" s="24"/>
      <c r="M97" s="41" t="str">
        <f t="shared" si="2"/>
        <v/>
      </c>
      <c r="N97" s="32"/>
      <c r="O97" s="32"/>
      <c r="P97" s="32"/>
      <c r="Q97" s="32"/>
      <c r="R97" s="32"/>
      <c r="S97" s="32" t="str">
        <f t="shared" si="3"/>
        <v/>
      </c>
      <c r="T97" s="32"/>
      <c r="U97" s="32"/>
    </row>
    <row r="98" ht="16.5" customHeight="1">
      <c r="A98" s="1"/>
      <c r="B98" s="23" t="str">
        <f t="shared" si="1"/>
        <v/>
      </c>
      <c r="C98" s="24"/>
      <c r="D98" s="25"/>
      <c r="E98" s="33" t="str">
        <f t="array" ref="E98">IFERROR(INDEX('03 Budget'!$C$7:$C$300,MATCH($D98,'03 Budget'!$B$7:$B$300,0)),IF($D98="","","** ID not found **"))</f>
        <v/>
      </c>
      <c r="F98" s="33" t="str">
        <f t="array" ref="F98">IFERROR(INDEX('03 Budget'!$D$7:$D$300,MATCH($D98,'03 Budget'!$B$7:$B$300,0)),IF($D98="","","** ID not found **"))</f>
        <v/>
      </c>
      <c r="G98" s="32"/>
      <c r="H98" s="32"/>
      <c r="I98" s="38"/>
      <c r="J98" s="24"/>
      <c r="K98" s="38"/>
      <c r="L98" s="24"/>
      <c r="M98" s="41" t="str">
        <f t="shared" si="2"/>
        <v/>
      </c>
      <c r="N98" s="32"/>
      <c r="O98" s="32"/>
      <c r="P98" s="32"/>
      <c r="Q98" s="32"/>
      <c r="R98" s="32"/>
      <c r="S98" s="32" t="str">
        <f t="shared" si="3"/>
        <v/>
      </c>
      <c r="T98" s="32"/>
      <c r="U98" s="32"/>
    </row>
    <row r="99" ht="16.5" customHeight="1">
      <c r="A99" s="1"/>
      <c r="B99" s="23" t="str">
        <f t="shared" si="1"/>
        <v/>
      </c>
      <c r="C99" s="24"/>
      <c r="D99" s="25"/>
      <c r="E99" s="33" t="str">
        <f t="array" ref="E99">IFERROR(INDEX('03 Budget'!$C$7:$C$300,MATCH($D99,'03 Budget'!$B$7:$B$300,0)),IF($D99="","","** ID not found **"))</f>
        <v/>
      </c>
      <c r="F99" s="33" t="str">
        <f t="array" ref="F99">IFERROR(INDEX('03 Budget'!$D$7:$D$300,MATCH($D99,'03 Budget'!$B$7:$B$300,0)),IF($D99="","","** ID not found **"))</f>
        <v/>
      </c>
      <c r="G99" s="32"/>
      <c r="H99" s="32"/>
      <c r="I99" s="38"/>
      <c r="J99" s="24"/>
      <c r="K99" s="38"/>
      <c r="L99" s="24"/>
      <c r="M99" s="41" t="str">
        <f t="shared" si="2"/>
        <v/>
      </c>
      <c r="N99" s="32"/>
      <c r="O99" s="32"/>
      <c r="P99" s="32"/>
      <c r="Q99" s="32"/>
      <c r="R99" s="32"/>
      <c r="S99" s="32" t="str">
        <f t="shared" si="3"/>
        <v/>
      </c>
      <c r="T99" s="32"/>
      <c r="U99" s="32"/>
    </row>
    <row r="100" ht="16.5" customHeight="1">
      <c r="A100" s="1"/>
      <c r="B100" s="23" t="str">
        <f t="shared" si="1"/>
        <v/>
      </c>
      <c r="C100" s="24"/>
      <c r="D100" s="25"/>
      <c r="E100" s="33" t="str">
        <f t="array" ref="E100">IFERROR(INDEX('03 Budget'!$C$7:$C$300,MATCH($D100,'03 Budget'!$B$7:$B$300,0)),IF($D100="","","** ID not found **"))</f>
        <v/>
      </c>
      <c r="F100" s="33" t="str">
        <f t="array" ref="F100">IFERROR(INDEX('03 Budget'!$D$7:$D$300,MATCH($D100,'03 Budget'!$B$7:$B$300,0)),IF($D100="","","** ID not found **"))</f>
        <v/>
      </c>
      <c r="G100" s="32"/>
      <c r="H100" s="32"/>
      <c r="I100" s="38"/>
      <c r="J100" s="24"/>
      <c r="K100" s="38"/>
      <c r="L100" s="24"/>
      <c r="M100" s="41" t="str">
        <f t="shared" si="2"/>
        <v/>
      </c>
      <c r="N100" s="32"/>
      <c r="O100" s="32"/>
      <c r="P100" s="32"/>
      <c r="Q100" s="32"/>
      <c r="R100" s="32"/>
      <c r="S100" s="32" t="str">
        <f t="shared" si="3"/>
        <v/>
      </c>
      <c r="T100" s="32"/>
      <c r="U100" s="32"/>
    </row>
    <row r="101" ht="16.5" customHeight="1">
      <c r="A101" s="1"/>
      <c r="B101" s="23" t="str">
        <f t="shared" si="1"/>
        <v/>
      </c>
      <c r="C101" s="24"/>
      <c r="D101" s="25"/>
      <c r="E101" s="33" t="str">
        <f t="array" ref="E101">IFERROR(INDEX('03 Budget'!$C$7:$C$300,MATCH($D101,'03 Budget'!$B$7:$B$300,0)),IF($D101="","","** ID not found **"))</f>
        <v/>
      </c>
      <c r="F101" s="33" t="str">
        <f t="array" ref="F101">IFERROR(INDEX('03 Budget'!$D$7:$D$300,MATCH($D101,'03 Budget'!$B$7:$B$300,0)),IF($D101="","","** ID not found **"))</f>
        <v/>
      </c>
      <c r="G101" s="32"/>
      <c r="H101" s="32"/>
      <c r="I101" s="38"/>
      <c r="J101" s="24"/>
      <c r="K101" s="38"/>
      <c r="L101" s="24"/>
      <c r="M101" s="41" t="str">
        <f t="shared" si="2"/>
        <v/>
      </c>
      <c r="N101" s="32"/>
      <c r="O101" s="32"/>
      <c r="P101" s="32"/>
      <c r="Q101" s="32"/>
      <c r="R101" s="32"/>
      <c r="S101" s="32" t="str">
        <f t="shared" si="3"/>
        <v/>
      </c>
      <c r="T101" s="32"/>
      <c r="U101" s="32"/>
    </row>
    <row r="102" ht="16.5" customHeight="1">
      <c r="A102" s="1"/>
      <c r="B102" s="23" t="str">
        <f t="shared" si="1"/>
        <v/>
      </c>
      <c r="C102" s="24"/>
      <c r="D102" s="25"/>
      <c r="E102" s="33" t="str">
        <f t="array" ref="E102">IFERROR(INDEX('03 Budget'!$C$7:$C$300,MATCH($D102,'03 Budget'!$B$7:$B$300,0)),IF($D102="","","** ID not found **"))</f>
        <v/>
      </c>
      <c r="F102" s="33" t="str">
        <f t="array" ref="F102">IFERROR(INDEX('03 Budget'!$D$7:$D$300,MATCH($D102,'03 Budget'!$B$7:$B$300,0)),IF($D102="","","** ID not found **"))</f>
        <v/>
      </c>
      <c r="G102" s="32"/>
      <c r="H102" s="32"/>
      <c r="I102" s="38"/>
      <c r="J102" s="24"/>
      <c r="K102" s="38"/>
      <c r="L102" s="24"/>
      <c r="M102" s="41" t="str">
        <f t="shared" si="2"/>
        <v/>
      </c>
      <c r="N102" s="32"/>
      <c r="O102" s="32"/>
      <c r="P102" s="32"/>
      <c r="Q102" s="32"/>
      <c r="R102" s="32"/>
      <c r="S102" s="32" t="str">
        <f t="shared" si="3"/>
        <v/>
      </c>
      <c r="T102" s="32"/>
      <c r="U102" s="32"/>
    </row>
    <row r="103" ht="16.5" customHeight="1">
      <c r="A103" s="1"/>
      <c r="B103" s="23" t="str">
        <f t="shared" si="1"/>
        <v/>
      </c>
      <c r="C103" s="24"/>
      <c r="D103" s="25"/>
      <c r="E103" s="33" t="str">
        <f t="array" ref="E103">IFERROR(INDEX('03 Budget'!$C$7:$C$300,MATCH($D103,'03 Budget'!$B$7:$B$300,0)),IF($D103="","","** ID not found **"))</f>
        <v/>
      </c>
      <c r="F103" s="33" t="str">
        <f t="array" ref="F103">IFERROR(INDEX('03 Budget'!$D$7:$D$300,MATCH($D103,'03 Budget'!$B$7:$B$300,0)),IF($D103="","","** ID not found **"))</f>
        <v/>
      </c>
      <c r="G103" s="32"/>
      <c r="H103" s="32"/>
      <c r="I103" s="38"/>
      <c r="J103" s="24"/>
      <c r="K103" s="38"/>
      <c r="L103" s="24"/>
      <c r="M103" s="41" t="str">
        <f t="shared" si="2"/>
        <v/>
      </c>
      <c r="N103" s="32"/>
      <c r="O103" s="32"/>
      <c r="P103" s="32"/>
      <c r="Q103" s="32"/>
      <c r="R103" s="32"/>
      <c r="S103" s="32" t="str">
        <f t="shared" si="3"/>
        <v/>
      </c>
      <c r="T103" s="32"/>
      <c r="U103" s="32"/>
    </row>
    <row r="104" ht="16.5" customHeight="1">
      <c r="A104" s="1"/>
      <c r="B104" s="23" t="str">
        <f t="shared" si="1"/>
        <v/>
      </c>
      <c r="C104" s="24"/>
      <c r="D104" s="25"/>
      <c r="E104" s="33" t="str">
        <f t="array" ref="E104">IFERROR(INDEX('03 Budget'!$C$7:$C$300,MATCH($D104,'03 Budget'!$B$7:$B$300,0)),IF($D104="","","** ID not found **"))</f>
        <v/>
      </c>
      <c r="F104" s="33" t="str">
        <f t="array" ref="F104">IFERROR(INDEX('03 Budget'!$D$7:$D$300,MATCH($D104,'03 Budget'!$B$7:$B$300,0)),IF($D104="","","** ID not found **"))</f>
        <v/>
      </c>
      <c r="G104" s="32"/>
      <c r="H104" s="32"/>
      <c r="I104" s="38"/>
      <c r="J104" s="24"/>
      <c r="K104" s="38"/>
      <c r="L104" s="24"/>
      <c r="M104" s="41" t="str">
        <f t="shared" si="2"/>
        <v/>
      </c>
      <c r="N104" s="32"/>
      <c r="O104" s="32"/>
      <c r="P104" s="32"/>
      <c r="Q104" s="32"/>
      <c r="R104" s="32"/>
      <c r="S104" s="32" t="str">
        <f t="shared" si="3"/>
        <v/>
      </c>
      <c r="T104" s="32"/>
      <c r="U104" s="32"/>
    </row>
    <row r="105" ht="16.5" customHeight="1">
      <c r="A105" s="1"/>
      <c r="B105" s="23" t="str">
        <f t="shared" si="1"/>
        <v/>
      </c>
      <c r="C105" s="24"/>
      <c r="D105" s="25"/>
      <c r="E105" s="33" t="str">
        <f t="array" ref="E105">IFERROR(INDEX('03 Budget'!$C$7:$C$300,MATCH($D105,'03 Budget'!$B$7:$B$300,0)),IF($D105="","","** ID not found **"))</f>
        <v/>
      </c>
      <c r="F105" s="33" t="str">
        <f t="array" ref="F105">IFERROR(INDEX('03 Budget'!$D$7:$D$300,MATCH($D105,'03 Budget'!$B$7:$B$300,0)),IF($D105="","","** ID not found **"))</f>
        <v/>
      </c>
      <c r="G105" s="32"/>
      <c r="H105" s="32"/>
      <c r="I105" s="38"/>
      <c r="J105" s="24"/>
      <c r="K105" s="38"/>
      <c r="L105" s="24"/>
      <c r="M105" s="41" t="str">
        <f t="shared" si="2"/>
        <v/>
      </c>
      <c r="N105" s="32"/>
      <c r="O105" s="32"/>
      <c r="P105" s="32"/>
      <c r="Q105" s="32"/>
      <c r="R105" s="32"/>
      <c r="S105" s="32" t="str">
        <f t="shared" si="3"/>
        <v/>
      </c>
      <c r="T105" s="32"/>
      <c r="U105" s="32"/>
    </row>
    <row r="106" ht="16.5" customHeight="1">
      <c r="A106" s="1"/>
      <c r="B106" s="23" t="str">
        <f t="shared" si="1"/>
        <v/>
      </c>
      <c r="C106" s="24"/>
      <c r="D106" s="25"/>
      <c r="E106" s="33" t="str">
        <f t="array" ref="E106">IFERROR(INDEX('03 Budget'!$C$7:$C$300,MATCH($D106,'03 Budget'!$B$7:$B$300,0)),IF($D106="","","** ID not found **"))</f>
        <v/>
      </c>
      <c r="F106" s="33" t="str">
        <f t="array" ref="F106">IFERROR(INDEX('03 Budget'!$D$7:$D$300,MATCH($D106,'03 Budget'!$B$7:$B$300,0)),IF($D106="","","** ID not found **"))</f>
        <v/>
      </c>
      <c r="G106" s="32"/>
      <c r="H106" s="32"/>
      <c r="I106" s="38"/>
      <c r="J106" s="24"/>
      <c r="K106" s="38"/>
      <c r="L106" s="24"/>
      <c r="M106" s="41" t="str">
        <f t="shared" si="2"/>
        <v/>
      </c>
      <c r="N106" s="32"/>
      <c r="O106" s="32"/>
      <c r="P106" s="32"/>
      <c r="Q106" s="32"/>
      <c r="R106" s="32"/>
      <c r="S106" s="32" t="str">
        <f t="shared" si="3"/>
        <v/>
      </c>
      <c r="T106" s="32"/>
      <c r="U106" s="32"/>
    </row>
    <row r="107" ht="16.5" customHeight="1">
      <c r="A107" s="1"/>
      <c r="B107" s="23" t="str">
        <f t="shared" si="1"/>
        <v/>
      </c>
      <c r="C107" s="24"/>
      <c r="D107" s="25"/>
      <c r="E107" s="33" t="str">
        <f t="array" ref="E107">IFERROR(INDEX('03 Budget'!$C$7:$C$300,MATCH($D107,'03 Budget'!$B$7:$B$300,0)),IF($D107="","","** ID not found **"))</f>
        <v/>
      </c>
      <c r="F107" s="33" t="str">
        <f t="array" ref="F107">IFERROR(INDEX('03 Budget'!$D$7:$D$300,MATCH($D107,'03 Budget'!$B$7:$B$300,0)),IF($D107="","","** ID not found **"))</f>
        <v/>
      </c>
      <c r="G107" s="32"/>
      <c r="H107" s="32"/>
      <c r="I107" s="38"/>
      <c r="J107" s="24"/>
      <c r="K107" s="38"/>
      <c r="L107" s="24"/>
      <c r="M107" s="41" t="str">
        <f t="shared" si="2"/>
        <v/>
      </c>
      <c r="N107" s="32"/>
      <c r="O107" s="32"/>
      <c r="P107" s="32"/>
      <c r="Q107" s="32"/>
      <c r="R107" s="32"/>
      <c r="S107" s="32" t="str">
        <f t="shared" si="3"/>
        <v/>
      </c>
      <c r="T107" s="32"/>
      <c r="U107" s="32"/>
    </row>
    <row r="108" ht="16.5" customHeight="1">
      <c r="A108" s="1"/>
      <c r="B108" s="23" t="str">
        <f t="shared" si="1"/>
        <v/>
      </c>
      <c r="C108" s="24"/>
      <c r="D108" s="25"/>
      <c r="E108" s="33" t="str">
        <f t="array" ref="E108">IFERROR(INDEX('03 Budget'!$C$7:$C$300,MATCH($D108,'03 Budget'!$B$7:$B$300,0)),IF($D108="","","** ID not found **"))</f>
        <v/>
      </c>
      <c r="F108" s="33" t="str">
        <f t="array" ref="F108">IFERROR(INDEX('03 Budget'!$D$7:$D$300,MATCH($D108,'03 Budget'!$B$7:$B$300,0)),IF($D108="","","** ID not found **"))</f>
        <v/>
      </c>
      <c r="G108" s="32"/>
      <c r="H108" s="32"/>
      <c r="I108" s="38"/>
      <c r="J108" s="24"/>
      <c r="K108" s="38"/>
      <c r="L108" s="24"/>
      <c r="M108" s="41" t="str">
        <f t="shared" si="2"/>
        <v/>
      </c>
      <c r="N108" s="32"/>
      <c r="O108" s="32"/>
      <c r="P108" s="32"/>
      <c r="Q108" s="32"/>
      <c r="R108" s="32"/>
      <c r="S108" s="32" t="str">
        <f t="shared" si="3"/>
        <v/>
      </c>
      <c r="T108" s="32"/>
      <c r="U108" s="32"/>
    </row>
    <row r="109" ht="16.5" customHeight="1">
      <c r="A109" s="1"/>
      <c r="B109" s="23" t="str">
        <f t="shared" si="1"/>
        <v/>
      </c>
      <c r="C109" s="24"/>
      <c r="D109" s="25"/>
      <c r="E109" s="33" t="str">
        <f t="array" ref="E109">IFERROR(INDEX('03 Budget'!$C$7:$C$300,MATCH($D109,'03 Budget'!$B$7:$B$300,0)),IF($D109="","","** ID not found **"))</f>
        <v/>
      </c>
      <c r="F109" s="33" t="str">
        <f t="array" ref="F109">IFERROR(INDEX('03 Budget'!$D$7:$D$300,MATCH($D109,'03 Budget'!$B$7:$B$300,0)),IF($D109="","","** ID not found **"))</f>
        <v/>
      </c>
      <c r="G109" s="32"/>
      <c r="H109" s="32"/>
      <c r="I109" s="38"/>
      <c r="J109" s="24"/>
      <c r="K109" s="38"/>
      <c r="L109" s="24"/>
      <c r="M109" s="41" t="str">
        <f t="shared" si="2"/>
        <v/>
      </c>
      <c r="N109" s="32"/>
      <c r="O109" s="32"/>
      <c r="P109" s="32"/>
      <c r="Q109" s="32"/>
      <c r="R109" s="32"/>
      <c r="S109" s="32" t="str">
        <f t="shared" si="3"/>
        <v/>
      </c>
      <c r="T109" s="32"/>
      <c r="U109" s="32"/>
    </row>
    <row r="110" ht="16.5" customHeight="1">
      <c r="A110" s="1"/>
      <c r="B110" s="23" t="str">
        <f t="shared" si="1"/>
        <v/>
      </c>
      <c r="C110" s="24"/>
      <c r="D110" s="25"/>
      <c r="E110" s="33" t="str">
        <f t="array" ref="E110">IFERROR(INDEX('03 Budget'!$C$7:$C$300,MATCH($D110,'03 Budget'!$B$7:$B$300,0)),IF($D110="","","** ID not found **"))</f>
        <v/>
      </c>
      <c r="F110" s="33" t="str">
        <f t="array" ref="F110">IFERROR(INDEX('03 Budget'!$D$7:$D$300,MATCH($D110,'03 Budget'!$B$7:$B$300,0)),IF($D110="","","** ID not found **"))</f>
        <v/>
      </c>
      <c r="G110" s="32"/>
      <c r="H110" s="32"/>
      <c r="I110" s="38"/>
      <c r="J110" s="24"/>
      <c r="K110" s="38"/>
      <c r="L110" s="24"/>
      <c r="M110" s="41" t="str">
        <f t="shared" si="2"/>
        <v/>
      </c>
      <c r="N110" s="32"/>
      <c r="O110" s="32"/>
      <c r="P110" s="32"/>
      <c r="Q110" s="32"/>
      <c r="R110" s="32"/>
      <c r="S110" s="32" t="str">
        <f t="shared" si="3"/>
        <v/>
      </c>
      <c r="T110" s="32"/>
      <c r="U110" s="32"/>
    </row>
    <row r="111" ht="16.5" customHeight="1">
      <c r="A111" s="1"/>
      <c r="B111" s="23" t="str">
        <f t="shared" si="1"/>
        <v/>
      </c>
      <c r="C111" s="24"/>
      <c r="D111" s="25"/>
      <c r="E111" s="33" t="str">
        <f t="array" ref="E111">IFERROR(INDEX('03 Budget'!$C$7:$C$300,MATCH($D111,'03 Budget'!$B$7:$B$300,0)),IF($D111="","","** ID not found **"))</f>
        <v/>
      </c>
      <c r="F111" s="33" t="str">
        <f t="array" ref="F111">IFERROR(INDEX('03 Budget'!$D$7:$D$300,MATCH($D111,'03 Budget'!$B$7:$B$300,0)),IF($D111="","","** ID not found **"))</f>
        <v/>
      </c>
      <c r="G111" s="32"/>
      <c r="H111" s="32"/>
      <c r="I111" s="38"/>
      <c r="J111" s="24"/>
      <c r="K111" s="38"/>
      <c r="L111" s="24"/>
      <c r="M111" s="41" t="str">
        <f t="shared" si="2"/>
        <v/>
      </c>
      <c r="N111" s="32"/>
      <c r="O111" s="32"/>
      <c r="P111" s="32"/>
      <c r="Q111" s="32"/>
      <c r="R111" s="32"/>
      <c r="S111" s="32" t="str">
        <f t="shared" si="3"/>
        <v/>
      </c>
      <c r="T111" s="32"/>
      <c r="U111" s="32"/>
    </row>
    <row r="112" ht="16.5" customHeight="1">
      <c r="A112" s="1"/>
      <c r="B112" s="23" t="str">
        <f t="shared" si="1"/>
        <v/>
      </c>
      <c r="C112" s="24"/>
      <c r="D112" s="25"/>
      <c r="E112" s="33" t="str">
        <f t="array" ref="E112">IFERROR(INDEX('03 Budget'!$C$7:$C$300,MATCH($D112,'03 Budget'!$B$7:$B$300,0)),IF($D112="","","** ID not found **"))</f>
        <v/>
      </c>
      <c r="F112" s="33" t="str">
        <f t="array" ref="F112">IFERROR(INDEX('03 Budget'!$D$7:$D$300,MATCH($D112,'03 Budget'!$B$7:$B$300,0)),IF($D112="","","** ID not found **"))</f>
        <v/>
      </c>
      <c r="G112" s="32"/>
      <c r="H112" s="32"/>
      <c r="I112" s="38"/>
      <c r="J112" s="24"/>
      <c r="K112" s="38"/>
      <c r="L112" s="24"/>
      <c r="M112" s="41" t="str">
        <f t="shared" si="2"/>
        <v/>
      </c>
      <c r="N112" s="32"/>
      <c r="O112" s="32"/>
      <c r="P112" s="32"/>
      <c r="Q112" s="32"/>
      <c r="R112" s="32"/>
      <c r="S112" s="32" t="str">
        <f t="shared" si="3"/>
        <v/>
      </c>
      <c r="T112" s="32"/>
      <c r="U112" s="32"/>
    </row>
    <row r="113" ht="16.5" customHeight="1">
      <c r="A113" s="1"/>
      <c r="B113" s="23" t="str">
        <f t="shared" si="1"/>
        <v/>
      </c>
      <c r="C113" s="24"/>
      <c r="D113" s="25"/>
      <c r="E113" s="33" t="str">
        <f t="array" ref="E113">IFERROR(INDEX('03 Budget'!$C$7:$C$300,MATCH($D113,'03 Budget'!$B$7:$B$300,0)),IF($D113="","","** ID not found **"))</f>
        <v/>
      </c>
      <c r="F113" s="33" t="str">
        <f t="array" ref="F113">IFERROR(INDEX('03 Budget'!$D$7:$D$300,MATCH($D113,'03 Budget'!$B$7:$B$300,0)),IF($D113="","","** ID not found **"))</f>
        <v/>
      </c>
      <c r="G113" s="32"/>
      <c r="H113" s="32"/>
      <c r="I113" s="38"/>
      <c r="J113" s="24"/>
      <c r="K113" s="38"/>
      <c r="L113" s="24"/>
      <c r="M113" s="41" t="str">
        <f t="shared" si="2"/>
        <v/>
      </c>
      <c r="N113" s="32"/>
      <c r="O113" s="32"/>
      <c r="P113" s="32"/>
      <c r="Q113" s="32"/>
      <c r="R113" s="32"/>
      <c r="S113" s="32" t="str">
        <f t="shared" si="3"/>
        <v/>
      </c>
      <c r="T113" s="32"/>
      <c r="U113" s="32"/>
    </row>
    <row r="114" ht="16.5" customHeight="1">
      <c r="A114" s="1"/>
      <c r="B114" s="23" t="str">
        <f t="shared" si="1"/>
        <v/>
      </c>
      <c r="C114" s="24"/>
      <c r="D114" s="25"/>
      <c r="E114" s="33" t="str">
        <f t="array" ref="E114">IFERROR(INDEX('03 Budget'!$C$7:$C$300,MATCH($D114,'03 Budget'!$B$7:$B$300,0)),IF($D114="","","** ID not found **"))</f>
        <v/>
      </c>
      <c r="F114" s="33" t="str">
        <f t="array" ref="F114">IFERROR(INDEX('03 Budget'!$D$7:$D$300,MATCH($D114,'03 Budget'!$B$7:$B$300,0)),IF($D114="","","** ID not found **"))</f>
        <v/>
      </c>
      <c r="G114" s="32"/>
      <c r="H114" s="32"/>
      <c r="I114" s="38"/>
      <c r="J114" s="24"/>
      <c r="K114" s="38"/>
      <c r="L114" s="24"/>
      <c r="M114" s="41" t="str">
        <f t="shared" si="2"/>
        <v/>
      </c>
      <c r="N114" s="32"/>
      <c r="O114" s="32"/>
      <c r="P114" s="32"/>
      <c r="Q114" s="32"/>
      <c r="R114" s="32"/>
      <c r="S114" s="32" t="str">
        <f t="shared" si="3"/>
        <v/>
      </c>
      <c r="T114" s="32"/>
      <c r="U114" s="32"/>
    </row>
    <row r="115" ht="16.5" customHeight="1">
      <c r="A115" s="1"/>
      <c r="B115" s="23" t="str">
        <f t="shared" si="1"/>
        <v/>
      </c>
      <c r="C115" s="24"/>
      <c r="D115" s="25"/>
      <c r="E115" s="33" t="str">
        <f t="array" ref="E115">IFERROR(INDEX('03 Budget'!$C$7:$C$300,MATCH($D115,'03 Budget'!$B$7:$B$300,0)),IF($D115="","","** ID not found **"))</f>
        <v/>
      </c>
      <c r="F115" s="33" t="str">
        <f t="array" ref="F115">IFERROR(INDEX('03 Budget'!$D$7:$D$300,MATCH($D115,'03 Budget'!$B$7:$B$300,0)),IF($D115="","","** ID not found **"))</f>
        <v/>
      </c>
      <c r="G115" s="32"/>
      <c r="H115" s="32"/>
      <c r="I115" s="38"/>
      <c r="J115" s="24"/>
      <c r="K115" s="38"/>
      <c r="L115" s="24"/>
      <c r="M115" s="41" t="str">
        <f t="shared" si="2"/>
        <v/>
      </c>
      <c r="N115" s="32"/>
      <c r="O115" s="32"/>
      <c r="P115" s="32"/>
      <c r="Q115" s="32"/>
      <c r="R115" s="32"/>
      <c r="S115" s="32" t="str">
        <f t="shared" si="3"/>
        <v/>
      </c>
      <c r="T115" s="32"/>
      <c r="U115" s="32"/>
    </row>
    <row r="116" ht="16.5" customHeight="1">
      <c r="A116" s="1"/>
      <c r="B116" s="23" t="str">
        <f t="shared" si="1"/>
        <v/>
      </c>
      <c r="C116" s="24"/>
      <c r="D116" s="25"/>
      <c r="E116" s="33" t="str">
        <f t="array" ref="E116">IFERROR(INDEX('03 Budget'!$C$7:$C$300,MATCH($D116,'03 Budget'!$B$7:$B$300,0)),IF($D116="","","** ID not found **"))</f>
        <v/>
      </c>
      <c r="F116" s="33" t="str">
        <f t="array" ref="F116">IFERROR(INDEX('03 Budget'!$D$7:$D$300,MATCH($D116,'03 Budget'!$B$7:$B$300,0)),IF($D116="","","** ID not found **"))</f>
        <v/>
      </c>
      <c r="G116" s="32"/>
      <c r="H116" s="32"/>
      <c r="I116" s="38"/>
      <c r="J116" s="24"/>
      <c r="K116" s="38"/>
      <c r="L116" s="24"/>
      <c r="M116" s="41" t="str">
        <f t="shared" si="2"/>
        <v/>
      </c>
      <c r="N116" s="32"/>
      <c r="O116" s="32"/>
      <c r="P116" s="32"/>
      <c r="Q116" s="32"/>
      <c r="R116" s="32"/>
      <c r="S116" s="32" t="str">
        <f t="shared" si="3"/>
        <v/>
      </c>
      <c r="T116" s="32"/>
      <c r="U116" s="32"/>
    </row>
    <row r="117" ht="16.5" customHeight="1">
      <c r="A117" s="1"/>
      <c r="B117" s="23" t="str">
        <f t="shared" si="1"/>
        <v/>
      </c>
      <c r="C117" s="24"/>
      <c r="D117" s="25"/>
      <c r="E117" s="33" t="str">
        <f t="array" ref="E117">IFERROR(INDEX('03 Budget'!$C$7:$C$300,MATCH($D117,'03 Budget'!$B$7:$B$300,0)),IF($D117="","","** ID not found **"))</f>
        <v/>
      </c>
      <c r="F117" s="33" t="str">
        <f t="array" ref="F117">IFERROR(INDEX('03 Budget'!$D$7:$D$300,MATCH($D117,'03 Budget'!$B$7:$B$300,0)),IF($D117="","","** ID not found **"))</f>
        <v/>
      </c>
      <c r="G117" s="32"/>
      <c r="H117" s="32"/>
      <c r="I117" s="38"/>
      <c r="J117" s="24"/>
      <c r="K117" s="38"/>
      <c r="L117" s="24"/>
      <c r="M117" s="41" t="str">
        <f t="shared" si="2"/>
        <v/>
      </c>
      <c r="N117" s="32"/>
      <c r="O117" s="32"/>
      <c r="P117" s="32"/>
      <c r="Q117" s="32"/>
      <c r="R117" s="32"/>
      <c r="S117" s="32" t="str">
        <f t="shared" si="3"/>
        <v/>
      </c>
      <c r="T117" s="32"/>
      <c r="U117" s="32"/>
    </row>
    <row r="118" ht="16.5" customHeight="1">
      <c r="A118" s="1"/>
      <c r="B118" s="23" t="str">
        <f t="shared" si="1"/>
        <v/>
      </c>
      <c r="C118" s="24"/>
      <c r="D118" s="25"/>
      <c r="E118" s="33" t="str">
        <f t="array" ref="E118">IFERROR(INDEX('03 Budget'!$C$7:$C$300,MATCH($D118,'03 Budget'!$B$7:$B$300,0)),IF($D118="","","** ID not found **"))</f>
        <v/>
      </c>
      <c r="F118" s="33" t="str">
        <f t="array" ref="F118">IFERROR(INDEX('03 Budget'!$D$7:$D$300,MATCH($D118,'03 Budget'!$B$7:$B$300,0)),IF($D118="","","** ID not found **"))</f>
        <v/>
      </c>
      <c r="G118" s="32"/>
      <c r="H118" s="32"/>
      <c r="I118" s="38"/>
      <c r="J118" s="24"/>
      <c r="K118" s="38"/>
      <c r="L118" s="24"/>
      <c r="M118" s="41" t="str">
        <f t="shared" si="2"/>
        <v/>
      </c>
      <c r="N118" s="32"/>
      <c r="O118" s="32"/>
      <c r="P118" s="32"/>
      <c r="Q118" s="32"/>
      <c r="R118" s="32"/>
      <c r="S118" s="32" t="str">
        <f t="shared" si="3"/>
        <v/>
      </c>
      <c r="T118" s="32"/>
      <c r="U118" s="32"/>
    </row>
    <row r="119" ht="16.5" customHeight="1">
      <c r="A119" s="1"/>
      <c r="B119" s="23" t="str">
        <f t="shared" si="1"/>
        <v/>
      </c>
      <c r="C119" s="24"/>
      <c r="D119" s="25"/>
      <c r="E119" s="33" t="str">
        <f t="array" ref="E119">IFERROR(INDEX('03 Budget'!$C$7:$C$300,MATCH($D119,'03 Budget'!$B$7:$B$300,0)),IF($D119="","","** ID not found **"))</f>
        <v/>
      </c>
      <c r="F119" s="33" t="str">
        <f t="array" ref="F119">IFERROR(INDEX('03 Budget'!$D$7:$D$300,MATCH($D119,'03 Budget'!$B$7:$B$300,0)),IF($D119="","","** ID not found **"))</f>
        <v/>
      </c>
      <c r="G119" s="32"/>
      <c r="H119" s="32"/>
      <c r="I119" s="38"/>
      <c r="J119" s="24"/>
      <c r="K119" s="38"/>
      <c r="L119" s="24"/>
      <c r="M119" s="41" t="str">
        <f t="shared" si="2"/>
        <v/>
      </c>
      <c r="N119" s="32"/>
      <c r="O119" s="32"/>
      <c r="P119" s="32"/>
      <c r="Q119" s="32"/>
      <c r="R119" s="32"/>
      <c r="S119" s="32" t="str">
        <f t="shared" si="3"/>
        <v/>
      </c>
      <c r="T119" s="32"/>
      <c r="U119" s="32"/>
    </row>
    <row r="120" ht="16.5" customHeight="1">
      <c r="A120" s="1"/>
      <c r="B120" s="23" t="str">
        <f t="shared" si="1"/>
        <v/>
      </c>
      <c r="C120" s="24"/>
      <c r="D120" s="25"/>
      <c r="E120" s="33" t="str">
        <f t="array" ref="E120">IFERROR(INDEX('03 Budget'!$C$7:$C$300,MATCH($D120,'03 Budget'!$B$7:$B$300,0)),IF($D120="","","** ID not found **"))</f>
        <v/>
      </c>
      <c r="F120" s="33" t="str">
        <f t="array" ref="F120">IFERROR(INDEX('03 Budget'!$D$7:$D$300,MATCH($D120,'03 Budget'!$B$7:$B$300,0)),IF($D120="","","** ID not found **"))</f>
        <v/>
      </c>
      <c r="G120" s="32"/>
      <c r="H120" s="32"/>
      <c r="I120" s="38"/>
      <c r="J120" s="24"/>
      <c r="K120" s="38"/>
      <c r="L120" s="24"/>
      <c r="M120" s="41" t="str">
        <f t="shared" si="2"/>
        <v/>
      </c>
      <c r="N120" s="32"/>
      <c r="O120" s="32"/>
      <c r="P120" s="32"/>
      <c r="Q120" s="32"/>
      <c r="R120" s="32"/>
      <c r="S120" s="32" t="str">
        <f t="shared" si="3"/>
        <v/>
      </c>
      <c r="T120" s="32"/>
      <c r="U120" s="32"/>
    </row>
    <row r="121" ht="16.5" customHeight="1">
      <c r="A121" s="1"/>
      <c r="B121" s="23" t="str">
        <f t="shared" si="1"/>
        <v/>
      </c>
      <c r="C121" s="24"/>
      <c r="D121" s="25"/>
      <c r="E121" s="33" t="str">
        <f t="array" ref="E121">IFERROR(INDEX('03 Budget'!$C$7:$C$300,MATCH($D121,'03 Budget'!$B$7:$B$300,0)),IF($D121="","","** ID not found **"))</f>
        <v/>
      </c>
      <c r="F121" s="33" t="str">
        <f t="array" ref="F121">IFERROR(INDEX('03 Budget'!$D$7:$D$300,MATCH($D121,'03 Budget'!$B$7:$B$300,0)),IF($D121="","","** ID not found **"))</f>
        <v/>
      </c>
      <c r="G121" s="32"/>
      <c r="H121" s="32"/>
      <c r="I121" s="38"/>
      <c r="J121" s="24"/>
      <c r="K121" s="38"/>
      <c r="L121" s="24"/>
      <c r="M121" s="41" t="str">
        <f t="shared" si="2"/>
        <v/>
      </c>
      <c r="N121" s="32"/>
      <c r="O121" s="32"/>
      <c r="P121" s="32"/>
      <c r="Q121" s="32"/>
      <c r="R121" s="32"/>
      <c r="S121" s="32" t="str">
        <f t="shared" si="3"/>
        <v/>
      </c>
      <c r="T121" s="32"/>
      <c r="U121" s="32"/>
    </row>
    <row r="122" ht="16.5" customHeight="1">
      <c r="A122" s="1"/>
      <c r="B122" s="23" t="str">
        <f t="shared" si="1"/>
        <v/>
      </c>
      <c r="C122" s="24"/>
      <c r="D122" s="25"/>
      <c r="E122" s="33" t="str">
        <f t="array" ref="E122">IFERROR(INDEX('03 Budget'!$C$7:$C$300,MATCH($D122,'03 Budget'!$B$7:$B$300,0)),IF($D122="","","** ID not found **"))</f>
        <v/>
      </c>
      <c r="F122" s="33" t="str">
        <f t="array" ref="F122">IFERROR(INDEX('03 Budget'!$D$7:$D$300,MATCH($D122,'03 Budget'!$B$7:$B$300,0)),IF($D122="","","** ID not found **"))</f>
        <v/>
      </c>
      <c r="G122" s="32"/>
      <c r="H122" s="32"/>
      <c r="I122" s="38"/>
      <c r="J122" s="24"/>
      <c r="K122" s="38"/>
      <c r="L122" s="24"/>
      <c r="M122" s="41" t="str">
        <f t="shared" si="2"/>
        <v/>
      </c>
      <c r="N122" s="32"/>
      <c r="O122" s="32"/>
      <c r="P122" s="32"/>
      <c r="Q122" s="32"/>
      <c r="R122" s="32"/>
      <c r="S122" s="32" t="str">
        <f t="shared" si="3"/>
        <v/>
      </c>
      <c r="T122" s="32"/>
      <c r="U122" s="32"/>
    </row>
    <row r="123" ht="16.5" customHeight="1">
      <c r="A123" s="1"/>
      <c r="B123" s="23" t="str">
        <f t="shared" si="1"/>
        <v/>
      </c>
      <c r="C123" s="24"/>
      <c r="D123" s="25"/>
      <c r="E123" s="33" t="str">
        <f t="array" ref="E123">IFERROR(INDEX('03 Budget'!$C$7:$C$300,MATCH($D123,'03 Budget'!$B$7:$B$300,0)),IF($D123="","","** ID not found **"))</f>
        <v/>
      </c>
      <c r="F123" s="33" t="str">
        <f t="array" ref="F123">IFERROR(INDEX('03 Budget'!$D$7:$D$300,MATCH($D123,'03 Budget'!$B$7:$B$300,0)),IF($D123="","","** ID not found **"))</f>
        <v/>
      </c>
      <c r="G123" s="32"/>
      <c r="H123" s="32"/>
      <c r="I123" s="38"/>
      <c r="J123" s="24"/>
      <c r="K123" s="38"/>
      <c r="L123" s="24"/>
      <c r="M123" s="41" t="str">
        <f t="shared" si="2"/>
        <v/>
      </c>
      <c r="N123" s="32"/>
      <c r="O123" s="32"/>
      <c r="P123" s="32"/>
      <c r="Q123" s="32"/>
      <c r="R123" s="32"/>
      <c r="S123" s="32" t="str">
        <f t="shared" si="3"/>
        <v/>
      </c>
      <c r="T123" s="32"/>
      <c r="U123" s="32"/>
    </row>
    <row r="124" ht="16.5" customHeight="1">
      <c r="A124" s="1"/>
      <c r="B124" s="23" t="str">
        <f t="shared" si="1"/>
        <v/>
      </c>
      <c r="C124" s="24"/>
      <c r="D124" s="25"/>
      <c r="E124" s="33" t="str">
        <f t="array" ref="E124">IFERROR(INDEX('03 Budget'!$C$7:$C$300,MATCH($D124,'03 Budget'!$B$7:$B$300,0)),IF($D124="","","** ID not found **"))</f>
        <v/>
      </c>
      <c r="F124" s="33" t="str">
        <f t="array" ref="F124">IFERROR(INDEX('03 Budget'!$D$7:$D$300,MATCH($D124,'03 Budget'!$B$7:$B$300,0)),IF($D124="","","** ID not found **"))</f>
        <v/>
      </c>
      <c r="G124" s="32"/>
      <c r="H124" s="32"/>
      <c r="I124" s="38"/>
      <c r="J124" s="24"/>
      <c r="K124" s="38"/>
      <c r="L124" s="24"/>
      <c r="M124" s="41" t="str">
        <f t="shared" si="2"/>
        <v/>
      </c>
      <c r="N124" s="32"/>
      <c r="O124" s="32"/>
      <c r="P124" s="32"/>
      <c r="Q124" s="32"/>
      <c r="R124" s="32"/>
      <c r="S124" s="32" t="str">
        <f t="shared" si="3"/>
        <v/>
      </c>
      <c r="T124" s="32"/>
      <c r="U124" s="32"/>
    </row>
    <row r="125" ht="16.5" customHeight="1">
      <c r="A125" s="1"/>
      <c r="B125" s="23" t="str">
        <f t="shared" si="1"/>
        <v/>
      </c>
      <c r="C125" s="24"/>
      <c r="D125" s="25"/>
      <c r="E125" s="33" t="str">
        <f t="array" ref="E125">IFERROR(INDEX('03 Budget'!$C$7:$C$300,MATCH($D125,'03 Budget'!$B$7:$B$300,0)),IF($D125="","","** ID not found **"))</f>
        <v/>
      </c>
      <c r="F125" s="33" t="str">
        <f t="array" ref="F125">IFERROR(INDEX('03 Budget'!$D$7:$D$300,MATCH($D125,'03 Budget'!$B$7:$B$300,0)),IF($D125="","","** ID not found **"))</f>
        <v/>
      </c>
      <c r="G125" s="32"/>
      <c r="H125" s="32"/>
      <c r="I125" s="38"/>
      <c r="J125" s="24"/>
      <c r="K125" s="38"/>
      <c r="L125" s="24"/>
      <c r="M125" s="41" t="str">
        <f t="shared" si="2"/>
        <v/>
      </c>
      <c r="N125" s="32"/>
      <c r="O125" s="32"/>
      <c r="P125" s="32"/>
      <c r="Q125" s="32"/>
      <c r="R125" s="32"/>
      <c r="S125" s="32" t="str">
        <f t="shared" si="3"/>
        <v/>
      </c>
      <c r="T125" s="32"/>
      <c r="U125" s="32"/>
    </row>
    <row r="126" ht="16.5" customHeight="1">
      <c r="A126" s="1"/>
      <c r="B126" s="23" t="str">
        <f t="shared" si="1"/>
        <v/>
      </c>
      <c r="C126" s="24"/>
      <c r="D126" s="25"/>
      <c r="E126" s="33" t="str">
        <f t="array" ref="E126">IFERROR(INDEX('03 Budget'!$C$7:$C$300,MATCH($D126,'03 Budget'!$B$7:$B$300,0)),IF($D126="","","** ID not found **"))</f>
        <v/>
      </c>
      <c r="F126" s="33" t="str">
        <f t="array" ref="F126">IFERROR(INDEX('03 Budget'!$D$7:$D$300,MATCH($D126,'03 Budget'!$B$7:$B$300,0)),IF($D126="","","** ID not found **"))</f>
        <v/>
      </c>
      <c r="G126" s="32"/>
      <c r="H126" s="32"/>
      <c r="I126" s="38"/>
      <c r="J126" s="24"/>
      <c r="K126" s="38"/>
      <c r="L126" s="24"/>
      <c r="M126" s="41" t="str">
        <f t="shared" si="2"/>
        <v/>
      </c>
      <c r="N126" s="32"/>
      <c r="O126" s="32"/>
      <c r="P126" s="32"/>
      <c r="Q126" s="32"/>
      <c r="R126" s="32"/>
      <c r="S126" s="32" t="str">
        <f t="shared" si="3"/>
        <v/>
      </c>
      <c r="T126" s="32"/>
      <c r="U126" s="32"/>
    </row>
    <row r="127" ht="16.5" customHeight="1">
      <c r="A127" s="1"/>
      <c r="B127" s="23" t="str">
        <f t="shared" si="1"/>
        <v/>
      </c>
      <c r="C127" s="24"/>
      <c r="D127" s="25"/>
      <c r="E127" s="33" t="str">
        <f t="array" ref="E127">IFERROR(INDEX('03 Budget'!$C$7:$C$300,MATCH($D127,'03 Budget'!$B$7:$B$300,0)),IF($D127="","","** ID not found **"))</f>
        <v/>
      </c>
      <c r="F127" s="33" t="str">
        <f t="array" ref="F127">IFERROR(INDEX('03 Budget'!$D$7:$D$300,MATCH($D127,'03 Budget'!$B$7:$B$300,0)),IF($D127="","","** ID not found **"))</f>
        <v/>
      </c>
      <c r="G127" s="32"/>
      <c r="H127" s="32"/>
      <c r="I127" s="38"/>
      <c r="J127" s="24"/>
      <c r="K127" s="38"/>
      <c r="L127" s="24"/>
      <c r="M127" s="41" t="str">
        <f t="shared" si="2"/>
        <v/>
      </c>
      <c r="N127" s="32"/>
      <c r="O127" s="32"/>
      <c r="P127" s="32"/>
      <c r="Q127" s="32"/>
      <c r="R127" s="32"/>
      <c r="S127" s="32" t="str">
        <f t="shared" si="3"/>
        <v/>
      </c>
      <c r="T127" s="32"/>
      <c r="U127" s="32"/>
    </row>
    <row r="128" ht="16.5" customHeight="1">
      <c r="A128" s="1"/>
      <c r="B128" s="23" t="str">
        <f t="shared" si="1"/>
        <v/>
      </c>
      <c r="C128" s="24"/>
      <c r="D128" s="25"/>
      <c r="E128" s="33" t="str">
        <f t="array" ref="E128">IFERROR(INDEX('03 Budget'!$C$7:$C$300,MATCH($D128,'03 Budget'!$B$7:$B$300,0)),IF($D128="","","** ID not found **"))</f>
        <v/>
      </c>
      <c r="F128" s="33" t="str">
        <f t="array" ref="F128">IFERROR(INDEX('03 Budget'!$D$7:$D$300,MATCH($D128,'03 Budget'!$B$7:$B$300,0)),IF($D128="","","** ID not found **"))</f>
        <v/>
      </c>
      <c r="G128" s="32"/>
      <c r="H128" s="32"/>
      <c r="I128" s="38"/>
      <c r="J128" s="24"/>
      <c r="K128" s="38"/>
      <c r="L128" s="24"/>
      <c r="M128" s="41" t="str">
        <f t="shared" si="2"/>
        <v/>
      </c>
      <c r="N128" s="32"/>
      <c r="O128" s="32"/>
      <c r="P128" s="32"/>
      <c r="Q128" s="32"/>
      <c r="R128" s="32"/>
      <c r="S128" s="32" t="str">
        <f t="shared" si="3"/>
        <v/>
      </c>
      <c r="T128" s="32"/>
      <c r="U128" s="32"/>
    </row>
    <row r="129" ht="16.5" customHeight="1">
      <c r="A129" s="1"/>
      <c r="B129" s="23" t="str">
        <f t="shared" si="1"/>
        <v/>
      </c>
      <c r="C129" s="24"/>
      <c r="D129" s="25"/>
      <c r="E129" s="33" t="str">
        <f t="array" ref="E129">IFERROR(INDEX('03 Budget'!$C$7:$C$300,MATCH($D129,'03 Budget'!$B$7:$B$300,0)),IF($D129="","","** ID not found **"))</f>
        <v/>
      </c>
      <c r="F129" s="33" t="str">
        <f t="array" ref="F129">IFERROR(INDEX('03 Budget'!$D$7:$D$300,MATCH($D129,'03 Budget'!$B$7:$B$300,0)),IF($D129="","","** ID not found **"))</f>
        <v/>
      </c>
      <c r="G129" s="32"/>
      <c r="H129" s="32"/>
      <c r="I129" s="38"/>
      <c r="J129" s="24"/>
      <c r="K129" s="38"/>
      <c r="L129" s="24"/>
      <c r="M129" s="41" t="str">
        <f t="shared" si="2"/>
        <v/>
      </c>
      <c r="N129" s="32"/>
      <c r="O129" s="32"/>
      <c r="P129" s="32"/>
      <c r="Q129" s="32"/>
      <c r="R129" s="32"/>
      <c r="S129" s="32" t="str">
        <f t="shared" si="3"/>
        <v/>
      </c>
      <c r="T129" s="32"/>
      <c r="U129" s="32"/>
    </row>
    <row r="130" ht="16.5" customHeight="1">
      <c r="A130" s="1"/>
      <c r="B130" s="23" t="str">
        <f t="shared" si="1"/>
        <v/>
      </c>
      <c r="C130" s="24"/>
      <c r="D130" s="25"/>
      <c r="E130" s="33" t="str">
        <f t="array" ref="E130">IFERROR(INDEX('03 Budget'!$C$7:$C$300,MATCH($D130,'03 Budget'!$B$7:$B$300,0)),IF($D130="","","** ID not found **"))</f>
        <v/>
      </c>
      <c r="F130" s="33" t="str">
        <f t="array" ref="F130">IFERROR(INDEX('03 Budget'!$D$7:$D$300,MATCH($D130,'03 Budget'!$B$7:$B$300,0)),IF($D130="","","** ID not found **"))</f>
        <v/>
      </c>
      <c r="G130" s="32"/>
      <c r="H130" s="32"/>
      <c r="I130" s="38"/>
      <c r="J130" s="24"/>
      <c r="K130" s="38"/>
      <c r="L130" s="24"/>
      <c r="M130" s="41" t="str">
        <f t="shared" si="2"/>
        <v/>
      </c>
      <c r="N130" s="32"/>
      <c r="O130" s="32"/>
      <c r="P130" s="32"/>
      <c r="Q130" s="32"/>
      <c r="R130" s="32"/>
      <c r="S130" s="32" t="str">
        <f t="shared" si="3"/>
        <v/>
      </c>
      <c r="T130" s="32"/>
      <c r="U130" s="32"/>
    </row>
    <row r="131" ht="16.5" customHeight="1">
      <c r="A131" s="1"/>
      <c r="B131" s="23" t="str">
        <f t="shared" si="1"/>
        <v/>
      </c>
      <c r="C131" s="24"/>
      <c r="D131" s="25"/>
      <c r="E131" s="33" t="str">
        <f t="array" ref="E131">IFERROR(INDEX('03 Budget'!$C$7:$C$300,MATCH($D131,'03 Budget'!$B$7:$B$300,0)),IF($D131="","","** ID not found **"))</f>
        <v/>
      </c>
      <c r="F131" s="33" t="str">
        <f t="array" ref="F131">IFERROR(INDEX('03 Budget'!$D$7:$D$300,MATCH($D131,'03 Budget'!$B$7:$B$300,0)),IF($D131="","","** ID not found **"))</f>
        <v/>
      </c>
      <c r="G131" s="32"/>
      <c r="H131" s="32"/>
      <c r="I131" s="38"/>
      <c r="J131" s="24"/>
      <c r="K131" s="38"/>
      <c r="L131" s="24"/>
      <c r="M131" s="41" t="str">
        <f t="shared" si="2"/>
        <v/>
      </c>
      <c r="N131" s="32"/>
      <c r="O131" s="32"/>
      <c r="P131" s="32"/>
      <c r="Q131" s="32"/>
      <c r="R131" s="32"/>
      <c r="S131" s="32" t="str">
        <f t="shared" si="3"/>
        <v/>
      </c>
      <c r="T131" s="32"/>
      <c r="U131" s="32"/>
    </row>
    <row r="132" ht="16.5" customHeight="1">
      <c r="A132" s="1"/>
      <c r="B132" s="23" t="str">
        <f t="shared" si="1"/>
        <v/>
      </c>
      <c r="C132" s="24"/>
      <c r="D132" s="25"/>
      <c r="E132" s="33" t="str">
        <f t="array" ref="E132">IFERROR(INDEX('03 Budget'!$C$7:$C$300,MATCH($D132,'03 Budget'!$B$7:$B$300,0)),IF($D132="","","** ID not found **"))</f>
        <v/>
      </c>
      <c r="F132" s="33" t="str">
        <f t="array" ref="F132">IFERROR(INDEX('03 Budget'!$D$7:$D$300,MATCH($D132,'03 Budget'!$B$7:$B$300,0)),IF($D132="","","** ID not found **"))</f>
        <v/>
      </c>
      <c r="G132" s="32"/>
      <c r="H132" s="32"/>
      <c r="I132" s="38"/>
      <c r="J132" s="24"/>
      <c r="K132" s="38"/>
      <c r="L132" s="24"/>
      <c r="M132" s="41" t="str">
        <f t="shared" si="2"/>
        <v/>
      </c>
      <c r="N132" s="32"/>
      <c r="O132" s="32"/>
      <c r="P132" s="32"/>
      <c r="Q132" s="32"/>
      <c r="R132" s="32"/>
      <c r="S132" s="32" t="str">
        <f t="shared" si="3"/>
        <v/>
      </c>
      <c r="T132" s="32"/>
      <c r="U132" s="32"/>
    </row>
    <row r="133" ht="16.5" customHeight="1">
      <c r="A133" s="1"/>
      <c r="B133" s="23" t="str">
        <f t="shared" si="1"/>
        <v/>
      </c>
      <c r="C133" s="24"/>
      <c r="D133" s="25"/>
      <c r="E133" s="33" t="str">
        <f t="array" ref="E133">IFERROR(INDEX('03 Budget'!$C$7:$C$300,MATCH($D133,'03 Budget'!$B$7:$B$300,0)),IF($D133="","","** ID not found **"))</f>
        <v/>
      </c>
      <c r="F133" s="33" t="str">
        <f t="array" ref="F133">IFERROR(INDEX('03 Budget'!$D$7:$D$300,MATCH($D133,'03 Budget'!$B$7:$B$300,0)),IF($D133="","","** ID not found **"))</f>
        <v/>
      </c>
      <c r="G133" s="32"/>
      <c r="H133" s="32"/>
      <c r="I133" s="38"/>
      <c r="J133" s="24"/>
      <c r="K133" s="38"/>
      <c r="L133" s="24"/>
      <c r="M133" s="41" t="str">
        <f t="shared" si="2"/>
        <v/>
      </c>
      <c r="N133" s="32"/>
      <c r="O133" s="32"/>
      <c r="P133" s="32"/>
      <c r="Q133" s="32"/>
      <c r="R133" s="32"/>
      <c r="S133" s="32" t="str">
        <f t="shared" si="3"/>
        <v/>
      </c>
      <c r="T133" s="32"/>
      <c r="U133" s="32"/>
    </row>
    <row r="134" ht="16.5" customHeight="1">
      <c r="A134" s="1"/>
      <c r="B134" s="23" t="str">
        <f t="shared" si="1"/>
        <v/>
      </c>
      <c r="C134" s="24"/>
      <c r="D134" s="25"/>
      <c r="E134" s="33" t="str">
        <f t="array" ref="E134">IFERROR(INDEX('03 Budget'!$C$7:$C$300,MATCH($D134,'03 Budget'!$B$7:$B$300,0)),IF($D134="","","** ID not found **"))</f>
        <v/>
      </c>
      <c r="F134" s="33" t="str">
        <f t="array" ref="F134">IFERROR(INDEX('03 Budget'!$D$7:$D$300,MATCH($D134,'03 Budget'!$B$7:$B$300,0)),IF($D134="","","** ID not found **"))</f>
        <v/>
      </c>
      <c r="G134" s="32"/>
      <c r="H134" s="32"/>
      <c r="I134" s="38"/>
      <c r="J134" s="24"/>
      <c r="K134" s="38"/>
      <c r="L134" s="24"/>
      <c r="M134" s="41" t="str">
        <f t="shared" si="2"/>
        <v/>
      </c>
      <c r="N134" s="32"/>
      <c r="O134" s="32"/>
      <c r="P134" s="32"/>
      <c r="Q134" s="32"/>
      <c r="R134" s="32"/>
      <c r="S134" s="32" t="str">
        <f t="shared" si="3"/>
        <v/>
      </c>
      <c r="T134" s="32"/>
      <c r="U134" s="32"/>
    </row>
    <row r="135" ht="16.5" customHeight="1">
      <c r="A135" s="1"/>
      <c r="B135" s="23" t="str">
        <f t="shared" si="1"/>
        <v/>
      </c>
      <c r="C135" s="24"/>
      <c r="D135" s="25"/>
      <c r="E135" s="33" t="str">
        <f t="array" ref="E135">IFERROR(INDEX('03 Budget'!$C$7:$C$300,MATCH($D135,'03 Budget'!$B$7:$B$300,0)),IF($D135="","","** ID not found **"))</f>
        <v/>
      </c>
      <c r="F135" s="33" t="str">
        <f t="array" ref="F135">IFERROR(INDEX('03 Budget'!$D$7:$D$300,MATCH($D135,'03 Budget'!$B$7:$B$300,0)),IF($D135="","","** ID not found **"))</f>
        <v/>
      </c>
      <c r="G135" s="32"/>
      <c r="H135" s="32"/>
      <c r="I135" s="38"/>
      <c r="J135" s="24"/>
      <c r="K135" s="38"/>
      <c r="L135" s="24"/>
      <c r="M135" s="41" t="str">
        <f t="shared" si="2"/>
        <v/>
      </c>
      <c r="N135" s="32"/>
      <c r="O135" s="32"/>
      <c r="P135" s="32"/>
      <c r="Q135" s="32"/>
      <c r="R135" s="32"/>
      <c r="S135" s="32" t="str">
        <f t="shared" si="3"/>
        <v/>
      </c>
      <c r="T135" s="32"/>
      <c r="U135" s="32"/>
    </row>
    <row r="136" ht="16.5" customHeight="1">
      <c r="A136" s="1"/>
      <c r="B136" s="23" t="str">
        <f t="shared" si="1"/>
        <v/>
      </c>
      <c r="C136" s="24"/>
      <c r="D136" s="25"/>
      <c r="E136" s="33" t="str">
        <f t="array" ref="E136">IFERROR(INDEX('03 Budget'!$C$7:$C$300,MATCH($D136,'03 Budget'!$B$7:$B$300,0)),IF($D136="","","** ID not found **"))</f>
        <v/>
      </c>
      <c r="F136" s="33" t="str">
        <f t="array" ref="F136">IFERROR(INDEX('03 Budget'!$D$7:$D$300,MATCH($D136,'03 Budget'!$B$7:$B$300,0)),IF($D136="","","** ID not found **"))</f>
        <v/>
      </c>
      <c r="G136" s="32"/>
      <c r="H136" s="32"/>
      <c r="I136" s="38"/>
      <c r="J136" s="24"/>
      <c r="K136" s="38"/>
      <c r="L136" s="24"/>
      <c r="M136" s="41" t="str">
        <f t="shared" si="2"/>
        <v/>
      </c>
      <c r="N136" s="32"/>
      <c r="O136" s="32"/>
      <c r="P136" s="32"/>
      <c r="Q136" s="32"/>
      <c r="R136" s="32"/>
      <c r="S136" s="32" t="str">
        <f t="shared" si="3"/>
        <v/>
      </c>
      <c r="T136" s="32"/>
      <c r="U136" s="32"/>
    </row>
    <row r="137" ht="16.5" customHeight="1">
      <c r="A137" s="1"/>
      <c r="B137" s="23" t="str">
        <f t="shared" si="1"/>
        <v/>
      </c>
      <c r="C137" s="24"/>
      <c r="D137" s="25"/>
      <c r="E137" s="33" t="str">
        <f t="array" ref="E137">IFERROR(INDEX('03 Budget'!$C$7:$C$300,MATCH($D137,'03 Budget'!$B$7:$B$300,0)),IF($D137="","","** ID not found **"))</f>
        <v/>
      </c>
      <c r="F137" s="33" t="str">
        <f t="array" ref="F137">IFERROR(INDEX('03 Budget'!$D$7:$D$300,MATCH($D137,'03 Budget'!$B$7:$B$300,0)),IF($D137="","","** ID not found **"))</f>
        <v/>
      </c>
      <c r="G137" s="32"/>
      <c r="H137" s="32"/>
      <c r="I137" s="38"/>
      <c r="J137" s="24"/>
      <c r="K137" s="38"/>
      <c r="L137" s="24"/>
      <c r="M137" s="41" t="str">
        <f t="shared" si="2"/>
        <v/>
      </c>
      <c r="N137" s="32"/>
      <c r="O137" s="32"/>
      <c r="P137" s="32"/>
      <c r="Q137" s="32"/>
      <c r="R137" s="32"/>
      <c r="S137" s="32" t="str">
        <f t="shared" si="3"/>
        <v/>
      </c>
      <c r="T137" s="32"/>
      <c r="U137" s="32"/>
    </row>
    <row r="138" ht="16.5" customHeight="1">
      <c r="A138" s="1"/>
      <c r="B138" s="23" t="str">
        <f t="shared" si="1"/>
        <v/>
      </c>
      <c r="C138" s="24"/>
      <c r="D138" s="25"/>
      <c r="E138" s="33" t="str">
        <f t="array" ref="E138">IFERROR(INDEX('03 Budget'!$C$7:$C$300,MATCH($D138,'03 Budget'!$B$7:$B$300,0)),IF($D138="","","** ID not found **"))</f>
        <v/>
      </c>
      <c r="F138" s="33" t="str">
        <f t="array" ref="F138">IFERROR(INDEX('03 Budget'!$D$7:$D$300,MATCH($D138,'03 Budget'!$B$7:$B$300,0)),IF($D138="","","** ID not found **"))</f>
        <v/>
      </c>
      <c r="G138" s="32"/>
      <c r="H138" s="32"/>
      <c r="I138" s="38"/>
      <c r="J138" s="24"/>
      <c r="K138" s="38"/>
      <c r="L138" s="24"/>
      <c r="M138" s="41" t="str">
        <f t="shared" si="2"/>
        <v/>
      </c>
      <c r="N138" s="32"/>
      <c r="O138" s="32"/>
      <c r="P138" s="32"/>
      <c r="Q138" s="32"/>
      <c r="R138" s="32"/>
      <c r="S138" s="32" t="str">
        <f t="shared" si="3"/>
        <v/>
      </c>
      <c r="T138" s="32"/>
      <c r="U138" s="32"/>
    </row>
    <row r="139" ht="16.5" customHeight="1">
      <c r="A139" s="1"/>
      <c r="B139" s="23" t="str">
        <f t="shared" si="1"/>
        <v/>
      </c>
      <c r="C139" s="24"/>
      <c r="D139" s="25"/>
      <c r="E139" s="33" t="str">
        <f t="array" ref="E139">IFERROR(INDEX('03 Budget'!$C$7:$C$300,MATCH($D139,'03 Budget'!$B$7:$B$300,0)),IF($D139="","","** ID not found **"))</f>
        <v/>
      </c>
      <c r="F139" s="33" t="str">
        <f t="array" ref="F139">IFERROR(INDEX('03 Budget'!$D$7:$D$300,MATCH($D139,'03 Budget'!$B$7:$B$300,0)),IF($D139="","","** ID not found **"))</f>
        <v/>
      </c>
      <c r="G139" s="32"/>
      <c r="H139" s="32"/>
      <c r="I139" s="38"/>
      <c r="J139" s="24"/>
      <c r="K139" s="38"/>
      <c r="L139" s="24"/>
      <c r="M139" s="41" t="str">
        <f t="shared" si="2"/>
        <v/>
      </c>
      <c r="N139" s="32"/>
      <c r="O139" s="32"/>
      <c r="P139" s="32"/>
      <c r="Q139" s="32"/>
      <c r="R139" s="32"/>
      <c r="S139" s="32" t="str">
        <f t="shared" si="3"/>
        <v/>
      </c>
      <c r="T139" s="32"/>
      <c r="U139" s="32"/>
    </row>
    <row r="140" ht="16.5" customHeight="1">
      <c r="A140" s="1"/>
      <c r="B140" s="23" t="str">
        <f t="shared" si="1"/>
        <v/>
      </c>
      <c r="C140" s="24"/>
      <c r="D140" s="25"/>
      <c r="E140" s="33" t="str">
        <f t="array" ref="E140">IFERROR(INDEX('03 Budget'!$C$7:$C$300,MATCH($D140,'03 Budget'!$B$7:$B$300,0)),IF($D140="","","** ID not found **"))</f>
        <v/>
      </c>
      <c r="F140" s="33" t="str">
        <f t="array" ref="F140">IFERROR(INDEX('03 Budget'!$D$7:$D$300,MATCH($D140,'03 Budget'!$B$7:$B$300,0)),IF($D140="","","** ID not found **"))</f>
        <v/>
      </c>
      <c r="G140" s="32"/>
      <c r="H140" s="32"/>
      <c r="I140" s="38"/>
      <c r="J140" s="24"/>
      <c r="K140" s="38"/>
      <c r="L140" s="24"/>
      <c r="M140" s="41" t="str">
        <f t="shared" si="2"/>
        <v/>
      </c>
      <c r="N140" s="32"/>
      <c r="O140" s="32"/>
      <c r="P140" s="32"/>
      <c r="Q140" s="32"/>
      <c r="R140" s="32"/>
      <c r="S140" s="32" t="str">
        <f t="shared" si="3"/>
        <v/>
      </c>
      <c r="T140" s="32"/>
      <c r="U140" s="32"/>
    </row>
    <row r="141" ht="16.5" customHeight="1">
      <c r="A141" s="1"/>
      <c r="B141" s="23" t="str">
        <f t="shared" si="1"/>
        <v/>
      </c>
      <c r="C141" s="24"/>
      <c r="D141" s="25"/>
      <c r="E141" s="33" t="str">
        <f t="array" ref="E141">IFERROR(INDEX('03 Budget'!$C$7:$C$300,MATCH($D141,'03 Budget'!$B$7:$B$300,0)),IF($D141="","","** ID not found **"))</f>
        <v/>
      </c>
      <c r="F141" s="33" t="str">
        <f t="array" ref="F141">IFERROR(INDEX('03 Budget'!$D$7:$D$300,MATCH($D141,'03 Budget'!$B$7:$B$300,0)),IF($D141="","","** ID not found **"))</f>
        <v/>
      </c>
      <c r="G141" s="32"/>
      <c r="H141" s="32"/>
      <c r="I141" s="38"/>
      <c r="J141" s="24"/>
      <c r="K141" s="38"/>
      <c r="L141" s="24"/>
      <c r="M141" s="41" t="str">
        <f t="shared" si="2"/>
        <v/>
      </c>
      <c r="N141" s="32"/>
      <c r="O141" s="32"/>
      <c r="P141" s="32"/>
      <c r="Q141" s="32"/>
      <c r="R141" s="32"/>
      <c r="S141" s="32" t="str">
        <f t="shared" si="3"/>
        <v/>
      </c>
      <c r="T141" s="32"/>
      <c r="U141" s="32"/>
    </row>
    <row r="142" ht="16.5" customHeight="1">
      <c r="A142" s="1"/>
      <c r="B142" s="23" t="str">
        <f t="shared" si="1"/>
        <v/>
      </c>
      <c r="C142" s="24"/>
      <c r="D142" s="25"/>
      <c r="E142" s="33" t="str">
        <f t="array" ref="E142">IFERROR(INDEX('03 Budget'!$C$7:$C$300,MATCH($D142,'03 Budget'!$B$7:$B$300,0)),IF($D142="","","** ID not found **"))</f>
        <v/>
      </c>
      <c r="F142" s="33" t="str">
        <f t="array" ref="F142">IFERROR(INDEX('03 Budget'!$D$7:$D$300,MATCH($D142,'03 Budget'!$B$7:$B$300,0)),IF($D142="","","** ID not found **"))</f>
        <v/>
      </c>
      <c r="G142" s="32"/>
      <c r="H142" s="32"/>
      <c r="I142" s="38"/>
      <c r="J142" s="24"/>
      <c r="K142" s="38"/>
      <c r="L142" s="24"/>
      <c r="M142" s="41" t="str">
        <f t="shared" si="2"/>
        <v/>
      </c>
      <c r="N142" s="32"/>
      <c r="O142" s="32"/>
      <c r="P142" s="32"/>
      <c r="Q142" s="32"/>
      <c r="R142" s="32"/>
      <c r="S142" s="32" t="str">
        <f t="shared" si="3"/>
        <v/>
      </c>
      <c r="T142" s="32"/>
      <c r="U142" s="32"/>
    </row>
    <row r="143" ht="16.5" customHeight="1">
      <c r="A143" s="1"/>
      <c r="B143" s="23" t="str">
        <f t="shared" si="1"/>
        <v/>
      </c>
      <c r="C143" s="24"/>
      <c r="D143" s="25"/>
      <c r="E143" s="33" t="str">
        <f t="array" ref="E143">IFERROR(INDEX('03 Budget'!$C$7:$C$300,MATCH($D143,'03 Budget'!$B$7:$B$300,0)),IF($D143="","","** ID not found **"))</f>
        <v/>
      </c>
      <c r="F143" s="33" t="str">
        <f t="array" ref="F143">IFERROR(INDEX('03 Budget'!$D$7:$D$300,MATCH($D143,'03 Budget'!$B$7:$B$300,0)),IF($D143="","","** ID not found **"))</f>
        <v/>
      </c>
      <c r="G143" s="32"/>
      <c r="H143" s="32"/>
      <c r="I143" s="38"/>
      <c r="J143" s="24"/>
      <c r="K143" s="38"/>
      <c r="L143" s="24"/>
      <c r="M143" s="41" t="str">
        <f t="shared" si="2"/>
        <v/>
      </c>
      <c r="N143" s="32"/>
      <c r="O143" s="32"/>
      <c r="P143" s="32"/>
      <c r="Q143" s="32"/>
      <c r="R143" s="32"/>
      <c r="S143" s="32" t="str">
        <f t="shared" si="3"/>
        <v/>
      </c>
      <c r="T143" s="32"/>
      <c r="U143" s="32"/>
    </row>
    <row r="144" ht="16.5" customHeight="1">
      <c r="A144" s="1"/>
      <c r="B144" s="23" t="str">
        <f t="shared" si="1"/>
        <v/>
      </c>
      <c r="C144" s="24"/>
      <c r="D144" s="25"/>
      <c r="E144" s="33" t="str">
        <f t="array" ref="E144">IFERROR(INDEX('03 Budget'!$C$7:$C$300,MATCH($D144,'03 Budget'!$B$7:$B$300,0)),IF($D144="","","** ID not found **"))</f>
        <v/>
      </c>
      <c r="F144" s="33" t="str">
        <f t="array" ref="F144">IFERROR(INDEX('03 Budget'!$D$7:$D$300,MATCH($D144,'03 Budget'!$B$7:$B$300,0)),IF($D144="","","** ID not found **"))</f>
        <v/>
      </c>
      <c r="G144" s="32"/>
      <c r="H144" s="32"/>
      <c r="I144" s="38"/>
      <c r="J144" s="24"/>
      <c r="K144" s="38"/>
      <c r="L144" s="24"/>
      <c r="M144" s="41" t="str">
        <f t="shared" si="2"/>
        <v/>
      </c>
      <c r="N144" s="32"/>
      <c r="O144" s="32"/>
      <c r="P144" s="32"/>
      <c r="Q144" s="32"/>
      <c r="R144" s="32"/>
      <c r="S144" s="32" t="str">
        <f t="shared" si="3"/>
        <v/>
      </c>
      <c r="T144" s="32"/>
      <c r="U144" s="32"/>
    </row>
    <row r="145" ht="16.5" customHeight="1">
      <c r="A145" s="1"/>
      <c r="B145" s="23" t="str">
        <f t="shared" si="1"/>
        <v/>
      </c>
      <c r="C145" s="24"/>
      <c r="D145" s="25"/>
      <c r="E145" s="33" t="str">
        <f t="array" ref="E145">IFERROR(INDEX('03 Budget'!$C$7:$C$300,MATCH($D145,'03 Budget'!$B$7:$B$300,0)),IF($D145="","","** ID not found **"))</f>
        <v/>
      </c>
      <c r="F145" s="33" t="str">
        <f t="array" ref="F145">IFERROR(INDEX('03 Budget'!$D$7:$D$300,MATCH($D145,'03 Budget'!$B$7:$B$300,0)),IF($D145="","","** ID not found **"))</f>
        <v/>
      </c>
      <c r="G145" s="32"/>
      <c r="H145" s="32"/>
      <c r="I145" s="38"/>
      <c r="J145" s="24"/>
      <c r="K145" s="38"/>
      <c r="L145" s="24"/>
      <c r="M145" s="41" t="str">
        <f t="shared" si="2"/>
        <v/>
      </c>
      <c r="N145" s="32"/>
      <c r="O145" s="32"/>
      <c r="P145" s="32"/>
      <c r="Q145" s="32"/>
      <c r="R145" s="32"/>
      <c r="S145" s="32" t="str">
        <f t="shared" si="3"/>
        <v/>
      </c>
      <c r="T145" s="32"/>
      <c r="U145" s="32"/>
    </row>
    <row r="146" ht="16.5" customHeight="1">
      <c r="A146" s="1"/>
      <c r="B146" s="23" t="str">
        <f t="shared" si="1"/>
        <v/>
      </c>
      <c r="C146" s="24"/>
      <c r="D146" s="25"/>
      <c r="E146" s="33" t="str">
        <f t="array" ref="E146">IFERROR(INDEX('03 Budget'!$C$7:$C$300,MATCH($D146,'03 Budget'!$B$7:$B$300,0)),IF($D146="","","** ID not found **"))</f>
        <v/>
      </c>
      <c r="F146" s="33" t="str">
        <f t="array" ref="F146">IFERROR(INDEX('03 Budget'!$D$7:$D$300,MATCH($D146,'03 Budget'!$B$7:$B$300,0)),IF($D146="","","** ID not found **"))</f>
        <v/>
      </c>
      <c r="G146" s="32"/>
      <c r="H146" s="32"/>
      <c r="I146" s="38"/>
      <c r="J146" s="24"/>
      <c r="K146" s="38"/>
      <c r="L146" s="24"/>
      <c r="M146" s="41" t="str">
        <f t="shared" si="2"/>
        <v/>
      </c>
      <c r="N146" s="32"/>
      <c r="O146" s="32"/>
      <c r="P146" s="32"/>
      <c r="Q146" s="32"/>
      <c r="R146" s="32"/>
      <c r="S146" s="32" t="str">
        <f t="shared" si="3"/>
        <v/>
      </c>
      <c r="T146" s="32"/>
      <c r="U146" s="32"/>
    </row>
    <row r="147" ht="16.5" customHeight="1">
      <c r="A147" s="1"/>
      <c r="B147" s="23" t="str">
        <f t="shared" si="1"/>
        <v/>
      </c>
      <c r="C147" s="24"/>
      <c r="D147" s="25"/>
      <c r="E147" s="33" t="str">
        <f t="array" ref="E147">IFERROR(INDEX('03 Budget'!$C$7:$C$300,MATCH($D147,'03 Budget'!$B$7:$B$300,0)),IF($D147="","","** ID not found **"))</f>
        <v/>
      </c>
      <c r="F147" s="33" t="str">
        <f t="array" ref="F147">IFERROR(INDEX('03 Budget'!$D$7:$D$300,MATCH($D147,'03 Budget'!$B$7:$B$300,0)),IF($D147="","","** ID not found **"))</f>
        <v/>
      </c>
      <c r="G147" s="32"/>
      <c r="H147" s="32"/>
      <c r="I147" s="38"/>
      <c r="J147" s="24"/>
      <c r="K147" s="38"/>
      <c r="L147" s="24"/>
      <c r="M147" s="41" t="str">
        <f t="shared" si="2"/>
        <v/>
      </c>
      <c r="N147" s="32"/>
      <c r="O147" s="32"/>
      <c r="P147" s="32"/>
      <c r="Q147" s="32"/>
      <c r="R147" s="32"/>
      <c r="S147" s="32" t="str">
        <f t="shared" si="3"/>
        <v/>
      </c>
      <c r="T147" s="32"/>
      <c r="U147" s="32"/>
    </row>
    <row r="148" ht="16.5" customHeight="1">
      <c r="A148" s="1"/>
      <c r="B148" s="23" t="str">
        <f t="shared" si="1"/>
        <v/>
      </c>
      <c r="C148" s="24"/>
      <c r="D148" s="25"/>
      <c r="E148" s="33" t="str">
        <f t="array" ref="E148">IFERROR(INDEX('03 Budget'!$C$7:$C$300,MATCH($D148,'03 Budget'!$B$7:$B$300,0)),IF($D148="","","** ID not found **"))</f>
        <v/>
      </c>
      <c r="F148" s="33" t="str">
        <f t="array" ref="F148">IFERROR(INDEX('03 Budget'!$D$7:$D$300,MATCH($D148,'03 Budget'!$B$7:$B$300,0)),IF($D148="","","** ID not found **"))</f>
        <v/>
      </c>
      <c r="G148" s="32"/>
      <c r="H148" s="32"/>
      <c r="I148" s="38"/>
      <c r="J148" s="24"/>
      <c r="K148" s="38"/>
      <c r="L148" s="24"/>
      <c r="M148" s="41" t="str">
        <f t="shared" si="2"/>
        <v/>
      </c>
      <c r="N148" s="32"/>
      <c r="O148" s="32"/>
      <c r="P148" s="32"/>
      <c r="Q148" s="32"/>
      <c r="R148" s="32"/>
      <c r="S148" s="32" t="str">
        <f t="shared" si="3"/>
        <v/>
      </c>
      <c r="T148" s="32"/>
      <c r="U148" s="32"/>
    </row>
    <row r="149" ht="16.5" customHeight="1">
      <c r="A149" s="1"/>
      <c r="B149" s="23" t="str">
        <f t="shared" si="1"/>
        <v/>
      </c>
      <c r="C149" s="24"/>
      <c r="D149" s="25"/>
      <c r="E149" s="33" t="str">
        <f t="array" ref="E149">IFERROR(INDEX('03 Budget'!$C$7:$C$300,MATCH($D149,'03 Budget'!$B$7:$B$300,0)),IF($D149="","","** ID not found **"))</f>
        <v/>
      </c>
      <c r="F149" s="33" t="str">
        <f t="array" ref="F149">IFERROR(INDEX('03 Budget'!$D$7:$D$300,MATCH($D149,'03 Budget'!$B$7:$B$300,0)),IF($D149="","","** ID not found **"))</f>
        <v/>
      </c>
      <c r="G149" s="32"/>
      <c r="H149" s="32"/>
      <c r="I149" s="38"/>
      <c r="J149" s="24"/>
      <c r="K149" s="38"/>
      <c r="L149" s="24"/>
      <c r="M149" s="41" t="str">
        <f t="shared" si="2"/>
        <v/>
      </c>
      <c r="N149" s="32"/>
      <c r="O149" s="32"/>
      <c r="P149" s="32"/>
      <c r="Q149" s="32"/>
      <c r="R149" s="32"/>
      <c r="S149" s="32" t="str">
        <f t="shared" si="3"/>
        <v/>
      </c>
      <c r="T149" s="32"/>
      <c r="U149" s="32"/>
    </row>
    <row r="150" ht="16.5" customHeight="1">
      <c r="A150" s="1"/>
      <c r="B150" s="23" t="str">
        <f t="shared" si="1"/>
        <v/>
      </c>
      <c r="C150" s="24"/>
      <c r="D150" s="25"/>
      <c r="E150" s="33" t="str">
        <f t="array" ref="E150">IFERROR(INDEX('03 Budget'!$C$7:$C$300,MATCH($D150,'03 Budget'!$B$7:$B$300,0)),IF($D150="","","** ID not found **"))</f>
        <v/>
      </c>
      <c r="F150" s="33" t="str">
        <f t="array" ref="F150">IFERROR(INDEX('03 Budget'!$D$7:$D$300,MATCH($D150,'03 Budget'!$B$7:$B$300,0)),IF($D150="","","** ID not found **"))</f>
        <v/>
      </c>
      <c r="G150" s="32"/>
      <c r="H150" s="32"/>
      <c r="I150" s="38"/>
      <c r="J150" s="24"/>
      <c r="K150" s="38"/>
      <c r="L150" s="24"/>
      <c r="M150" s="41" t="str">
        <f t="shared" si="2"/>
        <v/>
      </c>
      <c r="N150" s="32"/>
      <c r="O150" s="32"/>
      <c r="P150" s="32"/>
      <c r="Q150" s="32"/>
      <c r="R150" s="32"/>
      <c r="S150" s="32" t="str">
        <f t="shared" si="3"/>
        <v/>
      </c>
      <c r="T150" s="32"/>
      <c r="U150" s="32"/>
    </row>
    <row r="151" ht="16.5" customHeight="1">
      <c r="A151" s="1"/>
      <c r="B151" s="23" t="str">
        <f t="shared" si="1"/>
        <v/>
      </c>
      <c r="C151" s="24"/>
      <c r="D151" s="25"/>
      <c r="E151" s="33" t="str">
        <f t="array" ref="E151">IFERROR(INDEX('03 Budget'!$C$7:$C$300,MATCH($D151,'03 Budget'!$B$7:$B$300,0)),IF($D151="","","** ID not found **"))</f>
        <v/>
      </c>
      <c r="F151" s="33" t="str">
        <f t="array" ref="F151">IFERROR(INDEX('03 Budget'!$D$7:$D$300,MATCH($D151,'03 Budget'!$B$7:$B$300,0)),IF($D151="","","** ID not found **"))</f>
        <v/>
      </c>
      <c r="G151" s="32"/>
      <c r="H151" s="32"/>
      <c r="I151" s="38"/>
      <c r="J151" s="24"/>
      <c r="K151" s="38"/>
      <c r="L151" s="24"/>
      <c r="M151" s="41" t="str">
        <f t="shared" si="2"/>
        <v/>
      </c>
      <c r="N151" s="32"/>
      <c r="O151" s="32"/>
      <c r="P151" s="32"/>
      <c r="Q151" s="32"/>
      <c r="R151" s="32"/>
      <c r="S151" s="32" t="str">
        <f t="shared" si="3"/>
        <v/>
      </c>
      <c r="T151" s="32"/>
      <c r="U151" s="32"/>
    </row>
    <row r="152" ht="16.5" customHeight="1">
      <c r="A152" s="1"/>
      <c r="B152" s="23" t="str">
        <f t="shared" si="1"/>
        <v/>
      </c>
      <c r="C152" s="24"/>
      <c r="D152" s="25"/>
      <c r="E152" s="33" t="str">
        <f t="array" ref="E152">IFERROR(INDEX('03 Budget'!$C$7:$C$300,MATCH($D152,'03 Budget'!$B$7:$B$300,0)),IF($D152="","","** ID not found **"))</f>
        <v/>
      </c>
      <c r="F152" s="33" t="str">
        <f t="array" ref="F152">IFERROR(INDEX('03 Budget'!$D$7:$D$300,MATCH($D152,'03 Budget'!$B$7:$B$300,0)),IF($D152="","","** ID not found **"))</f>
        <v/>
      </c>
      <c r="G152" s="32"/>
      <c r="H152" s="32"/>
      <c r="I152" s="38"/>
      <c r="J152" s="24"/>
      <c r="K152" s="38"/>
      <c r="L152" s="24"/>
      <c r="M152" s="41" t="str">
        <f t="shared" si="2"/>
        <v/>
      </c>
      <c r="N152" s="32"/>
      <c r="O152" s="32"/>
      <c r="P152" s="32"/>
      <c r="Q152" s="32"/>
      <c r="R152" s="32"/>
      <c r="S152" s="32" t="str">
        <f t="shared" si="3"/>
        <v/>
      </c>
      <c r="T152" s="32"/>
      <c r="U152" s="32"/>
    </row>
    <row r="153" ht="16.5" customHeight="1">
      <c r="A153" s="1"/>
      <c r="B153" s="23" t="str">
        <f t="shared" si="1"/>
        <v/>
      </c>
      <c r="C153" s="24"/>
      <c r="D153" s="25"/>
      <c r="E153" s="33" t="str">
        <f t="array" ref="E153">IFERROR(INDEX('03 Budget'!$C$7:$C$300,MATCH($D153,'03 Budget'!$B$7:$B$300,0)),IF($D153="","","** ID not found **"))</f>
        <v/>
      </c>
      <c r="F153" s="33" t="str">
        <f t="array" ref="F153">IFERROR(INDEX('03 Budget'!$D$7:$D$300,MATCH($D153,'03 Budget'!$B$7:$B$300,0)),IF($D153="","","** ID not found **"))</f>
        <v/>
      </c>
      <c r="G153" s="32"/>
      <c r="H153" s="32"/>
      <c r="I153" s="38"/>
      <c r="J153" s="24"/>
      <c r="K153" s="38"/>
      <c r="L153" s="24"/>
      <c r="M153" s="41" t="str">
        <f t="shared" si="2"/>
        <v/>
      </c>
      <c r="N153" s="32"/>
      <c r="O153" s="32"/>
      <c r="P153" s="32"/>
      <c r="Q153" s="32"/>
      <c r="R153" s="32"/>
      <c r="S153" s="32" t="str">
        <f t="shared" si="3"/>
        <v/>
      </c>
      <c r="T153" s="32"/>
      <c r="U153" s="32"/>
    </row>
    <row r="154" ht="16.5" customHeight="1">
      <c r="A154" s="1"/>
      <c r="B154" s="23" t="str">
        <f t="shared" si="1"/>
        <v/>
      </c>
      <c r="C154" s="24"/>
      <c r="D154" s="25"/>
      <c r="E154" s="33" t="str">
        <f t="array" ref="E154">IFERROR(INDEX('03 Budget'!$C$7:$C$300,MATCH($D154,'03 Budget'!$B$7:$B$300,0)),IF($D154="","","** ID not found **"))</f>
        <v/>
      </c>
      <c r="F154" s="33" t="str">
        <f t="array" ref="F154">IFERROR(INDEX('03 Budget'!$D$7:$D$300,MATCH($D154,'03 Budget'!$B$7:$B$300,0)),IF($D154="","","** ID not found **"))</f>
        <v/>
      </c>
      <c r="G154" s="32"/>
      <c r="H154" s="32"/>
      <c r="I154" s="38"/>
      <c r="J154" s="24"/>
      <c r="K154" s="38"/>
      <c r="L154" s="24"/>
      <c r="M154" s="41" t="str">
        <f t="shared" si="2"/>
        <v/>
      </c>
      <c r="N154" s="32"/>
      <c r="O154" s="32"/>
      <c r="P154" s="32"/>
      <c r="Q154" s="32"/>
      <c r="R154" s="32"/>
      <c r="S154" s="32" t="str">
        <f t="shared" si="3"/>
        <v/>
      </c>
      <c r="T154" s="32"/>
      <c r="U154" s="32"/>
    </row>
    <row r="155" ht="16.5" customHeight="1">
      <c r="A155" s="1"/>
      <c r="B155" s="23" t="str">
        <f t="shared" si="1"/>
        <v/>
      </c>
      <c r="C155" s="24"/>
      <c r="D155" s="25"/>
      <c r="E155" s="33" t="str">
        <f t="array" ref="E155">IFERROR(INDEX('03 Budget'!$C$7:$C$300,MATCH($D155,'03 Budget'!$B$7:$B$300,0)),IF($D155="","","** ID not found **"))</f>
        <v/>
      </c>
      <c r="F155" s="33" t="str">
        <f t="array" ref="F155">IFERROR(INDEX('03 Budget'!$D$7:$D$300,MATCH($D155,'03 Budget'!$B$7:$B$300,0)),IF($D155="","","** ID not found **"))</f>
        <v/>
      </c>
      <c r="G155" s="32"/>
      <c r="H155" s="32"/>
      <c r="I155" s="38"/>
      <c r="J155" s="24"/>
      <c r="K155" s="38"/>
      <c r="L155" s="24"/>
      <c r="M155" s="41" t="str">
        <f t="shared" si="2"/>
        <v/>
      </c>
      <c r="N155" s="32"/>
      <c r="O155" s="32"/>
      <c r="P155" s="32"/>
      <c r="Q155" s="32"/>
      <c r="R155" s="32"/>
      <c r="S155" s="32" t="str">
        <f t="shared" si="3"/>
        <v/>
      </c>
      <c r="T155" s="32"/>
      <c r="U155" s="32"/>
    </row>
    <row r="156" ht="16.5" customHeight="1">
      <c r="A156" s="1"/>
      <c r="B156" s="23" t="str">
        <f t="shared" si="1"/>
        <v/>
      </c>
      <c r="C156" s="24"/>
      <c r="D156" s="25"/>
      <c r="E156" s="33" t="str">
        <f t="array" ref="E156">IFERROR(INDEX('03 Budget'!$C$7:$C$300,MATCH($D156,'03 Budget'!$B$7:$B$300,0)),IF($D156="","","** ID not found **"))</f>
        <v/>
      </c>
      <c r="F156" s="33" t="str">
        <f t="array" ref="F156">IFERROR(INDEX('03 Budget'!$D$7:$D$300,MATCH($D156,'03 Budget'!$B$7:$B$300,0)),IF($D156="","","** ID not found **"))</f>
        <v/>
      </c>
      <c r="G156" s="32"/>
      <c r="H156" s="32"/>
      <c r="I156" s="38"/>
      <c r="J156" s="24"/>
      <c r="K156" s="38"/>
      <c r="L156" s="24"/>
      <c r="M156" s="41" t="str">
        <f t="shared" si="2"/>
        <v/>
      </c>
      <c r="N156" s="32"/>
      <c r="O156" s="32"/>
      <c r="P156" s="32"/>
      <c r="Q156" s="32"/>
      <c r="R156" s="32"/>
      <c r="S156" s="32" t="str">
        <f t="shared" si="3"/>
        <v/>
      </c>
      <c r="T156" s="32"/>
      <c r="U156" s="32"/>
    </row>
    <row r="157" ht="16.5" customHeight="1">
      <c r="A157" s="1"/>
      <c r="B157" s="23" t="str">
        <f t="shared" si="1"/>
        <v/>
      </c>
      <c r="C157" s="24"/>
      <c r="D157" s="25"/>
      <c r="E157" s="33" t="str">
        <f t="array" ref="E157">IFERROR(INDEX('03 Budget'!$C$7:$C$300,MATCH($D157,'03 Budget'!$B$7:$B$300,0)),IF($D157="","","** ID not found **"))</f>
        <v/>
      </c>
      <c r="F157" s="33" t="str">
        <f t="array" ref="F157">IFERROR(INDEX('03 Budget'!$D$7:$D$300,MATCH($D157,'03 Budget'!$B$7:$B$300,0)),IF($D157="","","** ID not found **"))</f>
        <v/>
      </c>
      <c r="G157" s="32"/>
      <c r="H157" s="32"/>
      <c r="I157" s="38"/>
      <c r="J157" s="24"/>
      <c r="K157" s="38"/>
      <c r="L157" s="24"/>
      <c r="M157" s="41" t="str">
        <f t="shared" si="2"/>
        <v/>
      </c>
      <c r="N157" s="32"/>
      <c r="O157" s="32"/>
      <c r="P157" s="32"/>
      <c r="Q157" s="32"/>
      <c r="R157" s="32"/>
      <c r="S157" s="32" t="str">
        <f t="shared" si="3"/>
        <v/>
      </c>
      <c r="T157" s="32"/>
      <c r="U157" s="32"/>
    </row>
    <row r="158" ht="16.5" customHeight="1">
      <c r="A158" s="1"/>
      <c r="B158" s="23" t="str">
        <f t="shared" si="1"/>
        <v/>
      </c>
      <c r="C158" s="24"/>
      <c r="D158" s="25"/>
      <c r="E158" s="33" t="str">
        <f t="array" ref="E158">IFERROR(INDEX('03 Budget'!$C$7:$C$300,MATCH($D158,'03 Budget'!$B$7:$B$300,0)),IF($D158="","","** ID not found **"))</f>
        <v/>
      </c>
      <c r="F158" s="33" t="str">
        <f t="array" ref="F158">IFERROR(INDEX('03 Budget'!$D$7:$D$300,MATCH($D158,'03 Budget'!$B$7:$B$300,0)),IF($D158="","","** ID not found **"))</f>
        <v/>
      </c>
      <c r="G158" s="32"/>
      <c r="H158" s="32"/>
      <c r="I158" s="38"/>
      <c r="J158" s="24"/>
      <c r="K158" s="38"/>
      <c r="L158" s="24"/>
      <c r="M158" s="41" t="str">
        <f t="shared" si="2"/>
        <v/>
      </c>
      <c r="N158" s="32"/>
      <c r="O158" s="32"/>
      <c r="P158" s="32"/>
      <c r="Q158" s="32"/>
      <c r="R158" s="32"/>
      <c r="S158" s="32" t="str">
        <f t="shared" si="3"/>
        <v/>
      </c>
      <c r="T158" s="32"/>
      <c r="U158" s="32"/>
    </row>
    <row r="159" ht="16.5" customHeight="1">
      <c r="A159" s="1"/>
      <c r="B159" s="23" t="str">
        <f t="shared" si="1"/>
        <v/>
      </c>
      <c r="C159" s="24"/>
      <c r="D159" s="25"/>
      <c r="E159" s="33" t="str">
        <f t="array" ref="E159">IFERROR(INDEX('03 Budget'!$C$7:$C$300,MATCH($D159,'03 Budget'!$B$7:$B$300,0)),IF($D159="","","** ID not found **"))</f>
        <v/>
      </c>
      <c r="F159" s="33" t="str">
        <f t="array" ref="F159">IFERROR(INDEX('03 Budget'!$D$7:$D$300,MATCH($D159,'03 Budget'!$B$7:$B$300,0)),IF($D159="","","** ID not found **"))</f>
        <v/>
      </c>
      <c r="G159" s="32"/>
      <c r="H159" s="32"/>
      <c r="I159" s="38"/>
      <c r="J159" s="24"/>
      <c r="K159" s="38"/>
      <c r="L159" s="24"/>
      <c r="M159" s="41" t="str">
        <f t="shared" si="2"/>
        <v/>
      </c>
      <c r="N159" s="32"/>
      <c r="O159" s="32"/>
      <c r="P159" s="32"/>
      <c r="Q159" s="32"/>
      <c r="R159" s="32"/>
      <c r="S159" s="32" t="str">
        <f t="shared" si="3"/>
        <v/>
      </c>
      <c r="T159" s="32"/>
      <c r="U159" s="32"/>
    </row>
    <row r="160" ht="16.5" customHeight="1">
      <c r="A160" s="1"/>
      <c r="B160" s="23" t="str">
        <f t="shared" si="1"/>
        <v/>
      </c>
      <c r="C160" s="24"/>
      <c r="D160" s="25"/>
      <c r="E160" s="33" t="str">
        <f t="array" ref="E160">IFERROR(INDEX('03 Budget'!$C$7:$C$300,MATCH($D160,'03 Budget'!$B$7:$B$300,0)),IF($D160="","","** ID not found **"))</f>
        <v/>
      </c>
      <c r="F160" s="33" t="str">
        <f t="array" ref="F160">IFERROR(INDEX('03 Budget'!$D$7:$D$300,MATCH($D160,'03 Budget'!$B$7:$B$300,0)),IF($D160="","","** ID not found **"))</f>
        <v/>
      </c>
      <c r="G160" s="32"/>
      <c r="H160" s="32"/>
      <c r="I160" s="38"/>
      <c r="J160" s="24"/>
      <c r="K160" s="38"/>
      <c r="L160" s="24"/>
      <c r="M160" s="41" t="str">
        <f t="shared" si="2"/>
        <v/>
      </c>
      <c r="N160" s="32"/>
      <c r="O160" s="32"/>
      <c r="P160" s="32"/>
      <c r="Q160" s="32"/>
      <c r="R160" s="32"/>
      <c r="S160" s="32" t="str">
        <f t="shared" si="3"/>
        <v/>
      </c>
      <c r="T160" s="32"/>
      <c r="U160" s="32"/>
    </row>
    <row r="161" ht="16.5" customHeight="1">
      <c r="A161" s="1"/>
      <c r="B161" s="23" t="str">
        <f t="shared" si="1"/>
        <v/>
      </c>
      <c r="C161" s="24"/>
      <c r="D161" s="25"/>
      <c r="E161" s="33" t="str">
        <f t="array" ref="E161">IFERROR(INDEX('03 Budget'!$C$7:$C$300,MATCH($D161,'03 Budget'!$B$7:$B$300,0)),IF($D161="","","** ID not found **"))</f>
        <v/>
      </c>
      <c r="F161" s="33" t="str">
        <f t="array" ref="F161">IFERROR(INDEX('03 Budget'!$D$7:$D$300,MATCH($D161,'03 Budget'!$B$7:$B$300,0)),IF($D161="","","** ID not found **"))</f>
        <v/>
      </c>
      <c r="G161" s="32"/>
      <c r="H161" s="32"/>
      <c r="I161" s="38"/>
      <c r="J161" s="24"/>
      <c r="K161" s="38"/>
      <c r="L161" s="24"/>
      <c r="M161" s="41" t="str">
        <f t="shared" si="2"/>
        <v/>
      </c>
      <c r="N161" s="32"/>
      <c r="O161" s="32"/>
      <c r="P161" s="32"/>
      <c r="Q161" s="32"/>
      <c r="R161" s="32"/>
      <c r="S161" s="32" t="str">
        <f t="shared" si="3"/>
        <v/>
      </c>
      <c r="T161" s="32"/>
      <c r="U161" s="32"/>
    </row>
    <row r="162" ht="16.5" customHeight="1">
      <c r="A162" s="1"/>
      <c r="B162" s="23" t="str">
        <f t="shared" si="1"/>
        <v/>
      </c>
      <c r="C162" s="24"/>
      <c r="D162" s="25"/>
      <c r="E162" s="33" t="str">
        <f t="array" ref="E162">IFERROR(INDEX('03 Budget'!$C$7:$C$300,MATCH($D162,'03 Budget'!$B$7:$B$300,0)),IF($D162="","","** ID not found **"))</f>
        <v/>
      </c>
      <c r="F162" s="33" t="str">
        <f t="array" ref="F162">IFERROR(INDEX('03 Budget'!$D$7:$D$300,MATCH($D162,'03 Budget'!$B$7:$B$300,0)),IF($D162="","","** ID not found **"))</f>
        <v/>
      </c>
      <c r="G162" s="32"/>
      <c r="H162" s="32"/>
      <c r="I162" s="38"/>
      <c r="J162" s="24"/>
      <c r="K162" s="38"/>
      <c r="L162" s="24"/>
      <c r="M162" s="41" t="str">
        <f t="shared" si="2"/>
        <v/>
      </c>
      <c r="N162" s="32"/>
      <c r="O162" s="32"/>
      <c r="P162" s="32"/>
      <c r="Q162" s="32"/>
      <c r="R162" s="32"/>
      <c r="S162" s="32" t="str">
        <f t="shared" si="3"/>
        <v/>
      </c>
      <c r="T162" s="32"/>
      <c r="U162" s="32"/>
    </row>
    <row r="163" ht="16.5" customHeight="1">
      <c r="A163" s="1"/>
      <c r="B163" s="23" t="str">
        <f t="shared" si="1"/>
        <v/>
      </c>
      <c r="C163" s="24"/>
      <c r="D163" s="25"/>
      <c r="E163" s="33" t="str">
        <f t="array" ref="E163">IFERROR(INDEX('03 Budget'!$C$7:$C$300,MATCH($D163,'03 Budget'!$B$7:$B$300,0)),IF($D163="","","** ID not found **"))</f>
        <v/>
      </c>
      <c r="F163" s="33" t="str">
        <f t="array" ref="F163">IFERROR(INDEX('03 Budget'!$D$7:$D$300,MATCH($D163,'03 Budget'!$B$7:$B$300,0)),IF($D163="","","** ID not found **"))</f>
        <v/>
      </c>
      <c r="G163" s="32"/>
      <c r="H163" s="32"/>
      <c r="I163" s="38"/>
      <c r="J163" s="24"/>
      <c r="K163" s="38"/>
      <c r="L163" s="24"/>
      <c r="M163" s="41" t="str">
        <f t="shared" si="2"/>
        <v/>
      </c>
      <c r="N163" s="32"/>
      <c r="O163" s="32"/>
      <c r="P163" s="32"/>
      <c r="Q163" s="32"/>
      <c r="R163" s="32"/>
      <c r="S163" s="32" t="str">
        <f t="shared" si="3"/>
        <v/>
      </c>
      <c r="T163" s="32"/>
      <c r="U163" s="32"/>
    </row>
    <row r="164" ht="16.5" customHeight="1">
      <c r="A164" s="1"/>
      <c r="B164" s="23" t="str">
        <f t="shared" si="1"/>
        <v/>
      </c>
      <c r="C164" s="24"/>
      <c r="D164" s="25"/>
      <c r="E164" s="33" t="str">
        <f t="array" ref="E164">IFERROR(INDEX('03 Budget'!$C$7:$C$300,MATCH($D164,'03 Budget'!$B$7:$B$300,0)),IF($D164="","","** ID not found **"))</f>
        <v/>
      </c>
      <c r="F164" s="33" t="str">
        <f t="array" ref="F164">IFERROR(INDEX('03 Budget'!$D$7:$D$300,MATCH($D164,'03 Budget'!$B$7:$B$300,0)),IF($D164="","","** ID not found **"))</f>
        <v/>
      </c>
      <c r="G164" s="32"/>
      <c r="H164" s="32"/>
      <c r="I164" s="38"/>
      <c r="J164" s="24"/>
      <c r="K164" s="38"/>
      <c r="L164" s="24"/>
      <c r="M164" s="41" t="str">
        <f t="shared" si="2"/>
        <v/>
      </c>
      <c r="N164" s="32"/>
      <c r="O164" s="32"/>
      <c r="P164" s="32"/>
      <c r="Q164" s="32"/>
      <c r="R164" s="32"/>
      <c r="S164" s="32" t="str">
        <f t="shared" si="3"/>
        <v/>
      </c>
      <c r="T164" s="32"/>
      <c r="U164" s="32"/>
    </row>
    <row r="165" ht="16.5" customHeight="1">
      <c r="A165" s="1"/>
      <c r="B165" s="23" t="str">
        <f t="shared" si="1"/>
        <v/>
      </c>
      <c r="C165" s="24"/>
      <c r="D165" s="25"/>
      <c r="E165" s="33" t="str">
        <f t="array" ref="E165">IFERROR(INDEX('03 Budget'!$C$7:$C$300,MATCH($D165,'03 Budget'!$B$7:$B$300,0)),IF($D165="","","** ID not found **"))</f>
        <v/>
      </c>
      <c r="F165" s="33" t="str">
        <f t="array" ref="F165">IFERROR(INDEX('03 Budget'!$D$7:$D$300,MATCH($D165,'03 Budget'!$B$7:$B$300,0)),IF($D165="","","** ID not found **"))</f>
        <v/>
      </c>
      <c r="G165" s="32"/>
      <c r="H165" s="32"/>
      <c r="I165" s="38"/>
      <c r="J165" s="24"/>
      <c r="K165" s="38"/>
      <c r="L165" s="24"/>
      <c r="M165" s="41" t="str">
        <f t="shared" si="2"/>
        <v/>
      </c>
      <c r="N165" s="32"/>
      <c r="O165" s="32"/>
      <c r="P165" s="32"/>
      <c r="Q165" s="32"/>
      <c r="R165" s="32"/>
      <c r="S165" s="32" t="str">
        <f t="shared" si="3"/>
        <v/>
      </c>
      <c r="T165" s="32"/>
      <c r="U165" s="32"/>
    </row>
    <row r="166" ht="16.5" customHeight="1">
      <c r="A166" s="1"/>
      <c r="B166" s="23" t="str">
        <f t="shared" si="1"/>
        <v/>
      </c>
      <c r="C166" s="24"/>
      <c r="D166" s="25"/>
      <c r="E166" s="33" t="str">
        <f t="array" ref="E166">IFERROR(INDEX('03 Budget'!$C$7:$C$300,MATCH($D166,'03 Budget'!$B$7:$B$300,0)),IF($D166="","","** ID not found **"))</f>
        <v/>
      </c>
      <c r="F166" s="33" t="str">
        <f t="array" ref="F166">IFERROR(INDEX('03 Budget'!$D$7:$D$300,MATCH($D166,'03 Budget'!$B$7:$B$300,0)),IF($D166="","","** ID not found **"))</f>
        <v/>
      </c>
      <c r="G166" s="32"/>
      <c r="H166" s="32"/>
      <c r="I166" s="38"/>
      <c r="J166" s="24"/>
      <c r="K166" s="38"/>
      <c r="L166" s="24"/>
      <c r="M166" s="41" t="str">
        <f t="shared" si="2"/>
        <v/>
      </c>
      <c r="N166" s="32"/>
      <c r="O166" s="32"/>
      <c r="P166" s="32"/>
      <c r="Q166" s="32"/>
      <c r="R166" s="32"/>
      <c r="S166" s="32" t="str">
        <f t="shared" si="3"/>
        <v/>
      </c>
      <c r="T166" s="32"/>
      <c r="U166" s="32"/>
    </row>
    <row r="167" ht="16.5" customHeight="1">
      <c r="A167" s="1"/>
      <c r="B167" s="23" t="str">
        <f t="shared" si="1"/>
        <v/>
      </c>
      <c r="C167" s="24"/>
      <c r="D167" s="25"/>
      <c r="E167" s="33" t="str">
        <f t="array" ref="E167">IFERROR(INDEX('03 Budget'!$C$7:$C$300,MATCH($D167,'03 Budget'!$B$7:$B$300,0)),IF($D167="","","** ID not found **"))</f>
        <v/>
      </c>
      <c r="F167" s="33" t="str">
        <f t="array" ref="F167">IFERROR(INDEX('03 Budget'!$D$7:$D$300,MATCH($D167,'03 Budget'!$B$7:$B$300,0)),IF($D167="","","** ID not found **"))</f>
        <v/>
      </c>
      <c r="G167" s="32"/>
      <c r="H167" s="32"/>
      <c r="I167" s="38"/>
      <c r="J167" s="24"/>
      <c r="K167" s="38"/>
      <c r="L167" s="24"/>
      <c r="M167" s="41" t="str">
        <f t="shared" si="2"/>
        <v/>
      </c>
      <c r="N167" s="32"/>
      <c r="O167" s="32"/>
      <c r="P167" s="32"/>
      <c r="Q167" s="32"/>
      <c r="R167" s="32"/>
      <c r="S167" s="32" t="str">
        <f t="shared" si="3"/>
        <v/>
      </c>
      <c r="T167" s="32"/>
      <c r="U167" s="32"/>
    </row>
    <row r="168" ht="16.5" customHeight="1">
      <c r="A168" s="1"/>
      <c r="B168" s="23" t="str">
        <f t="shared" si="1"/>
        <v/>
      </c>
      <c r="C168" s="24"/>
      <c r="D168" s="25"/>
      <c r="E168" s="33" t="str">
        <f t="array" ref="E168">IFERROR(INDEX('03 Budget'!$C$7:$C$300,MATCH($D168,'03 Budget'!$B$7:$B$300,0)),IF($D168="","","** ID not found **"))</f>
        <v/>
      </c>
      <c r="F168" s="33" t="str">
        <f t="array" ref="F168">IFERROR(INDEX('03 Budget'!$D$7:$D$300,MATCH($D168,'03 Budget'!$B$7:$B$300,0)),IF($D168="","","** ID not found **"))</f>
        <v/>
      </c>
      <c r="G168" s="32"/>
      <c r="H168" s="32"/>
      <c r="I168" s="38"/>
      <c r="J168" s="24"/>
      <c r="K168" s="38"/>
      <c r="L168" s="24"/>
      <c r="M168" s="41" t="str">
        <f t="shared" si="2"/>
        <v/>
      </c>
      <c r="N168" s="32"/>
      <c r="O168" s="32"/>
      <c r="P168" s="32"/>
      <c r="Q168" s="32"/>
      <c r="R168" s="32"/>
      <c r="S168" s="32" t="str">
        <f t="shared" si="3"/>
        <v/>
      </c>
      <c r="T168" s="32"/>
      <c r="U168" s="32"/>
    </row>
    <row r="169" ht="16.5" customHeight="1">
      <c r="A169" s="1"/>
      <c r="B169" s="23" t="str">
        <f t="shared" si="1"/>
        <v/>
      </c>
      <c r="C169" s="24"/>
      <c r="D169" s="25"/>
      <c r="E169" s="33" t="str">
        <f t="array" ref="E169">IFERROR(INDEX('03 Budget'!$C$7:$C$300,MATCH($D169,'03 Budget'!$B$7:$B$300,0)),IF($D169="","","** ID not found **"))</f>
        <v/>
      </c>
      <c r="F169" s="33" t="str">
        <f t="array" ref="F169">IFERROR(INDEX('03 Budget'!$D$7:$D$300,MATCH($D169,'03 Budget'!$B$7:$B$300,0)),IF($D169="","","** ID not found **"))</f>
        <v/>
      </c>
      <c r="G169" s="32"/>
      <c r="H169" s="32"/>
      <c r="I169" s="38"/>
      <c r="J169" s="24"/>
      <c r="K169" s="38"/>
      <c r="L169" s="24"/>
      <c r="M169" s="41" t="str">
        <f t="shared" si="2"/>
        <v/>
      </c>
      <c r="N169" s="32"/>
      <c r="O169" s="32"/>
      <c r="P169" s="32"/>
      <c r="Q169" s="32"/>
      <c r="R169" s="32"/>
      <c r="S169" s="32" t="str">
        <f t="shared" si="3"/>
        <v/>
      </c>
      <c r="T169" s="32"/>
      <c r="U169" s="32"/>
    </row>
    <row r="170" ht="16.5" customHeight="1">
      <c r="A170" s="1"/>
      <c r="B170" s="23" t="str">
        <f t="shared" si="1"/>
        <v/>
      </c>
      <c r="C170" s="24"/>
      <c r="D170" s="25"/>
      <c r="E170" s="33" t="str">
        <f t="array" ref="E170">IFERROR(INDEX('03 Budget'!$C$7:$C$300,MATCH($D170,'03 Budget'!$B$7:$B$300,0)),IF($D170="","","** ID not found **"))</f>
        <v/>
      </c>
      <c r="F170" s="33" t="str">
        <f t="array" ref="F170">IFERROR(INDEX('03 Budget'!$D$7:$D$300,MATCH($D170,'03 Budget'!$B$7:$B$300,0)),IF($D170="","","** ID not found **"))</f>
        <v/>
      </c>
      <c r="G170" s="32"/>
      <c r="H170" s="32"/>
      <c r="I170" s="38"/>
      <c r="J170" s="24"/>
      <c r="K170" s="38"/>
      <c r="L170" s="24"/>
      <c r="M170" s="41" t="str">
        <f t="shared" si="2"/>
        <v/>
      </c>
      <c r="N170" s="32"/>
      <c r="O170" s="32"/>
      <c r="P170" s="32"/>
      <c r="Q170" s="32"/>
      <c r="R170" s="32"/>
      <c r="S170" s="32" t="str">
        <f t="shared" si="3"/>
        <v/>
      </c>
      <c r="T170" s="32"/>
      <c r="U170" s="32"/>
    </row>
    <row r="171" ht="16.5" customHeight="1">
      <c r="A171" s="1"/>
      <c r="B171" s="23" t="str">
        <f t="shared" si="1"/>
        <v/>
      </c>
      <c r="C171" s="24"/>
      <c r="D171" s="25"/>
      <c r="E171" s="33" t="str">
        <f t="array" ref="E171">IFERROR(INDEX('03 Budget'!$C$7:$C$300,MATCH($D171,'03 Budget'!$B$7:$B$300,0)),IF($D171="","","** ID not found **"))</f>
        <v/>
      </c>
      <c r="F171" s="33" t="str">
        <f t="array" ref="F171">IFERROR(INDEX('03 Budget'!$D$7:$D$300,MATCH($D171,'03 Budget'!$B$7:$B$300,0)),IF($D171="","","** ID not found **"))</f>
        <v/>
      </c>
      <c r="G171" s="32"/>
      <c r="H171" s="32"/>
      <c r="I171" s="38"/>
      <c r="J171" s="24"/>
      <c r="K171" s="38"/>
      <c r="L171" s="24"/>
      <c r="M171" s="41" t="str">
        <f t="shared" si="2"/>
        <v/>
      </c>
      <c r="N171" s="32"/>
      <c r="O171" s="32"/>
      <c r="P171" s="32"/>
      <c r="Q171" s="32"/>
      <c r="R171" s="32"/>
      <c r="S171" s="32" t="str">
        <f t="shared" si="3"/>
        <v/>
      </c>
      <c r="T171" s="32"/>
      <c r="U171" s="32"/>
    </row>
    <row r="172" ht="16.5" customHeight="1">
      <c r="A172" s="1"/>
      <c r="B172" s="23" t="str">
        <f t="shared" si="1"/>
        <v/>
      </c>
      <c r="C172" s="24"/>
      <c r="D172" s="25"/>
      <c r="E172" s="33" t="str">
        <f t="array" ref="E172">IFERROR(INDEX('03 Budget'!$C$7:$C$300,MATCH($D172,'03 Budget'!$B$7:$B$300,0)),IF($D172="","","** ID not found **"))</f>
        <v/>
      </c>
      <c r="F172" s="33" t="str">
        <f t="array" ref="F172">IFERROR(INDEX('03 Budget'!$D$7:$D$300,MATCH($D172,'03 Budget'!$B$7:$B$300,0)),IF($D172="","","** ID not found **"))</f>
        <v/>
      </c>
      <c r="G172" s="32"/>
      <c r="H172" s="32"/>
      <c r="I172" s="38"/>
      <c r="J172" s="24"/>
      <c r="K172" s="38"/>
      <c r="L172" s="24"/>
      <c r="M172" s="41" t="str">
        <f t="shared" si="2"/>
        <v/>
      </c>
      <c r="N172" s="32"/>
      <c r="O172" s="32"/>
      <c r="P172" s="32"/>
      <c r="Q172" s="32"/>
      <c r="R172" s="32"/>
      <c r="S172" s="32" t="str">
        <f t="shared" si="3"/>
        <v/>
      </c>
      <c r="T172" s="32"/>
      <c r="U172" s="32"/>
    </row>
    <row r="173" ht="16.5" customHeight="1">
      <c r="A173" s="1"/>
      <c r="B173" s="23" t="str">
        <f t="shared" si="1"/>
        <v/>
      </c>
      <c r="C173" s="24"/>
      <c r="D173" s="25"/>
      <c r="E173" s="33" t="str">
        <f t="array" ref="E173">IFERROR(INDEX('03 Budget'!$C$7:$C$300,MATCH($D173,'03 Budget'!$B$7:$B$300,0)),IF($D173="","","** ID not found **"))</f>
        <v/>
      </c>
      <c r="F173" s="33" t="str">
        <f t="array" ref="F173">IFERROR(INDEX('03 Budget'!$D$7:$D$300,MATCH($D173,'03 Budget'!$B$7:$B$300,0)),IF($D173="","","** ID not found **"))</f>
        <v/>
      </c>
      <c r="G173" s="32"/>
      <c r="H173" s="32"/>
      <c r="I173" s="38"/>
      <c r="J173" s="24"/>
      <c r="K173" s="38"/>
      <c r="L173" s="24"/>
      <c r="M173" s="41" t="str">
        <f t="shared" si="2"/>
        <v/>
      </c>
      <c r="N173" s="32"/>
      <c r="O173" s="32"/>
      <c r="P173" s="32"/>
      <c r="Q173" s="32"/>
      <c r="R173" s="32"/>
      <c r="S173" s="32" t="str">
        <f t="shared" si="3"/>
        <v/>
      </c>
      <c r="T173" s="32"/>
      <c r="U173" s="32"/>
    </row>
    <row r="174" ht="16.5" customHeight="1">
      <c r="A174" s="1"/>
      <c r="B174" s="23" t="str">
        <f t="shared" si="1"/>
        <v/>
      </c>
      <c r="C174" s="24"/>
      <c r="D174" s="25"/>
      <c r="E174" s="33" t="str">
        <f t="array" ref="E174">IFERROR(INDEX('03 Budget'!$C$7:$C$300,MATCH($D174,'03 Budget'!$B$7:$B$300,0)),IF($D174="","","** ID not found **"))</f>
        <v/>
      </c>
      <c r="F174" s="33" t="str">
        <f t="array" ref="F174">IFERROR(INDEX('03 Budget'!$D$7:$D$300,MATCH($D174,'03 Budget'!$B$7:$B$300,0)),IF($D174="","","** ID not found **"))</f>
        <v/>
      </c>
      <c r="G174" s="32"/>
      <c r="H174" s="32"/>
      <c r="I174" s="38"/>
      <c r="J174" s="24"/>
      <c r="K174" s="38"/>
      <c r="L174" s="24"/>
      <c r="M174" s="41" t="str">
        <f t="shared" si="2"/>
        <v/>
      </c>
      <c r="N174" s="32"/>
      <c r="O174" s="32"/>
      <c r="P174" s="32"/>
      <c r="Q174" s="32"/>
      <c r="R174" s="32"/>
      <c r="S174" s="32" t="str">
        <f t="shared" si="3"/>
        <v/>
      </c>
      <c r="T174" s="32"/>
      <c r="U174" s="32"/>
    </row>
    <row r="175" ht="16.5" customHeight="1">
      <c r="A175" s="1"/>
      <c r="B175" s="23" t="str">
        <f t="shared" si="1"/>
        <v/>
      </c>
      <c r="C175" s="24"/>
      <c r="D175" s="25"/>
      <c r="E175" s="33" t="str">
        <f t="array" ref="E175">IFERROR(INDEX('03 Budget'!$C$7:$C$300,MATCH($D175,'03 Budget'!$B$7:$B$300,0)),IF($D175="","","** ID not found **"))</f>
        <v/>
      </c>
      <c r="F175" s="33" t="str">
        <f t="array" ref="F175">IFERROR(INDEX('03 Budget'!$D$7:$D$300,MATCH($D175,'03 Budget'!$B$7:$B$300,0)),IF($D175="","","** ID not found **"))</f>
        <v/>
      </c>
      <c r="G175" s="32"/>
      <c r="H175" s="32"/>
      <c r="I175" s="38"/>
      <c r="J175" s="24"/>
      <c r="K175" s="38"/>
      <c r="L175" s="24"/>
      <c r="M175" s="41" t="str">
        <f t="shared" si="2"/>
        <v/>
      </c>
      <c r="N175" s="32"/>
      <c r="O175" s="32"/>
      <c r="P175" s="32"/>
      <c r="Q175" s="32"/>
      <c r="R175" s="32"/>
      <c r="S175" s="32" t="str">
        <f t="shared" si="3"/>
        <v/>
      </c>
      <c r="T175" s="32"/>
      <c r="U175" s="32"/>
    </row>
    <row r="176" ht="16.5" customHeight="1">
      <c r="A176" s="1"/>
      <c r="B176" s="23" t="str">
        <f t="shared" si="1"/>
        <v/>
      </c>
      <c r="C176" s="24"/>
      <c r="D176" s="25"/>
      <c r="E176" s="33" t="str">
        <f t="array" ref="E176">IFERROR(INDEX('03 Budget'!$C$7:$C$300,MATCH($D176,'03 Budget'!$B$7:$B$300,0)),IF($D176="","","** ID not found **"))</f>
        <v/>
      </c>
      <c r="F176" s="33" t="str">
        <f t="array" ref="F176">IFERROR(INDEX('03 Budget'!$D$7:$D$300,MATCH($D176,'03 Budget'!$B$7:$B$300,0)),IF($D176="","","** ID not found **"))</f>
        <v/>
      </c>
      <c r="G176" s="32"/>
      <c r="H176" s="32"/>
      <c r="I176" s="38"/>
      <c r="J176" s="24"/>
      <c r="K176" s="38"/>
      <c r="L176" s="24"/>
      <c r="M176" s="41" t="str">
        <f t="shared" si="2"/>
        <v/>
      </c>
      <c r="N176" s="32"/>
      <c r="O176" s="32"/>
      <c r="P176" s="32"/>
      <c r="Q176" s="32"/>
      <c r="R176" s="32"/>
      <c r="S176" s="32" t="str">
        <f t="shared" si="3"/>
        <v/>
      </c>
      <c r="T176" s="32"/>
      <c r="U176" s="32"/>
    </row>
    <row r="177" ht="16.5" customHeight="1">
      <c r="A177" s="1"/>
      <c r="B177" s="23" t="str">
        <f t="shared" si="1"/>
        <v/>
      </c>
      <c r="C177" s="24"/>
      <c r="D177" s="25"/>
      <c r="E177" s="33" t="str">
        <f t="array" ref="E177">IFERROR(INDEX('03 Budget'!$C$7:$C$300,MATCH($D177,'03 Budget'!$B$7:$B$300,0)),IF($D177="","","** ID not found **"))</f>
        <v/>
      </c>
      <c r="F177" s="33" t="str">
        <f t="array" ref="F177">IFERROR(INDEX('03 Budget'!$D$7:$D$300,MATCH($D177,'03 Budget'!$B$7:$B$300,0)),IF($D177="","","** ID not found **"))</f>
        <v/>
      </c>
      <c r="G177" s="32"/>
      <c r="H177" s="32"/>
      <c r="I177" s="38"/>
      <c r="J177" s="24"/>
      <c r="K177" s="38"/>
      <c r="L177" s="24"/>
      <c r="M177" s="41" t="str">
        <f t="shared" si="2"/>
        <v/>
      </c>
      <c r="N177" s="32"/>
      <c r="O177" s="32"/>
      <c r="P177" s="32"/>
      <c r="Q177" s="32"/>
      <c r="R177" s="32"/>
      <c r="S177" s="32" t="str">
        <f t="shared" si="3"/>
        <v/>
      </c>
      <c r="T177" s="32"/>
      <c r="U177" s="32"/>
    </row>
    <row r="178" ht="16.5" customHeight="1">
      <c r="A178" s="1"/>
      <c r="B178" s="23" t="str">
        <f t="shared" si="1"/>
        <v/>
      </c>
      <c r="C178" s="24"/>
      <c r="D178" s="25"/>
      <c r="E178" s="33" t="str">
        <f t="array" ref="E178">IFERROR(INDEX('03 Budget'!$C$7:$C$300,MATCH($D178,'03 Budget'!$B$7:$B$300,0)),IF($D178="","","** ID not found **"))</f>
        <v/>
      </c>
      <c r="F178" s="33" t="str">
        <f t="array" ref="F178">IFERROR(INDEX('03 Budget'!$D$7:$D$300,MATCH($D178,'03 Budget'!$B$7:$B$300,0)),IF($D178="","","** ID not found **"))</f>
        <v/>
      </c>
      <c r="G178" s="32"/>
      <c r="H178" s="32"/>
      <c r="I178" s="38"/>
      <c r="J178" s="24"/>
      <c r="K178" s="38"/>
      <c r="L178" s="24"/>
      <c r="M178" s="41" t="str">
        <f t="shared" si="2"/>
        <v/>
      </c>
      <c r="N178" s="32"/>
      <c r="O178" s="32"/>
      <c r="P178" s="32"/>
      <c r="Q178" s="32"/>
      <c r="R178" s="32"/>
      <c r="S178" s="32" t="str">
        <f t="shared" si="3"/>
        <v/>
      </c>
      <c r="T178" s="32"/>
      <c r="U178" s="32"/>
    </row>
    <row r="179" ht="16.5" customHeight="1">
      <c r="A179" s="1"/>
      <c r="B179" s="23" t="str">
        <f t="shared" si="1"/>
        <v/>
      </c>
      <c r="C179" s="24"/>
      <c r="D179" s="25"/>
      <c r="E179" s="33" t="str">
        <f t="array" ref="E179">IFERROR(INDEX('03 Budget'!$C$7:$C$300,MATCH($D179,'03 Budget'!$B$7:$B$300,0)),IF($D179="","","** ID not found **"))</f>
        <v/>
      </c>
      <c r="F179" s="33" t="str">
        <f t="array" ref="F179">IFERROR(INDEX('03 Budget'!$D$7:$D$300,MATCH($D179,'03 Budget'!$B$7:$B$300,0)),IF($D179="","","** ID not found **"))</f>
        <v/>
      </c>
      <c r="G179" s="32"/>
      <c r="H179" s="32"/>
      <c r="I179" s="38"/>
      <c r="J179" s="24"/>
      <c r="K179" s="38"/>
      <c r="L179" s="24"/>
      <c r="M179" s="41" t="str">
        <f t="shared" si="2"/>
        <v/>
      </c>
      <c r="N179" s="32"/>
      <c r="O179" s="32"/>
      <c r="P179" s="32"/>
      <c r="Q179" s="32"/>
      <c r="R179" s="32"/>
      <c r="S179" s="32" t="str">
        <f t="shared" si="3"/>
        <v/>
      </c>
      <c r="T179" s="32"/>
      <c r="U179" s="32"/>
    </row>
    <row r="180" ht="16.5" customHeight="1">
      <c r="A180" s="1"/>
      <c r="B180" s="23" t="str">
        <f t="shared" si="1"/>
        <v/>
      </c>
      <c r="C180" s="24"/>
      <c r="D180" s="25"/>
      <c r="E180" s="33" t="str">
        <f t="array" ref="E180">IFERROR(INDEX('03 Budget'!$C$7:$C$300,MATCH($D180,'03 Budget'!$B$7:$B$300,0)),IF($D180="","","** ID not found **"))</f>
        <v/>
      </c>
      <c r="F180" s="33" t="str">
        <f t="array" ref="F180">IFERROR(INDEX('03 Budget'!$D$7:$D$300,MATCH($D180,'03 Budget'!$B$7:$B$300,0)),IF($D180="","","** ID not found **"))</f>
        <v/>
      </c>
      <c r="G180" s="32"/>
      <c r="H180" s="32"/>
      <c r="I180" s="38"/>
      <c r="J180" s="24"/>
      <c r="K180" s="38"/>
      <c r="L180" s="24"/>
      <c r="M180" s="41" t="str">
        <f t="shared" si="2"/>
        <v/>
      </c>
      <c r="N180" s="32"/>
      <c r="O180" s="32"/>
      <c r="P180" s="32"/>
      <c r="Q180" s="32"/>
      <c r="R180" s="32"/>
      <c r="S180" s="32" t="str">
        <f t="shared" si="3"/>
        <v/>
      </c>
      <c r="T180" s="32"/>
      <c r="U180" s="32"/>
    </row>
    <row r="181" ht="16.5" customHeight="1">
      <c r="A181" s="1"/>
      <c r="B181" s="23" t="str">
        <f t="shared" si="1"/>
        <v/>
      </c>
      <c r="C181" s="24"/>
      <c r="D181" s="25"/>
      <c r="E181" s="33" t="str">
        <f t="array" ref="E181">IFERROR(INDEX('03 Budget'!$C$7:$C$300,MATCH($D181,'03 Budget'!$B$7:$B$300,0)),IF($D181="","","** ID not found **"))</f>
        <v/>
      </c>
      <c r="F181" s="33" t="str">
        <f t="array" ref="F181">IFERROR(INDEX('03 Budget'!$D$7:$D$300,MATCH($D181,'03 Budget'!$B$7:$B$300,0)),IF($D181="","","** ID not found **"))</f>
        <v/>
      </c>
      <c r="G181" s="32"/>
      <c r="H181" s="32"/>
      <c r="I181" s="38"/>
      <c r="J181" s="24"/>
      <c r="K181" s="38"/>
      <c r="L181" s="24"/>
      <c r="M181" s="41" t="str">
        <f t="shared" si="2"/>
        <v/>
      </c>
      <c r="N181" s="32"/>
      <c r="O181" s="32"/>
      <c r="P181" s="32"/>
      <c r="Q181" s="32"/>
      <c r="R181" s="32"/>
      <c r="S181" s="32" t="str">
        <f t="shared" si="3"/>
        <v/>
      </c>
      <c r="T181" s="32"/>
      <c r="U181" s="32"/>
    </row>
    <row r="182" ht="16.5" customHeight="1">
      <c r="A182" s="1"/>
      <c r="B182" s="23" t="str">
        <f t="shared" si="1"/>
        <v/>
      </c>
      <c r="C182" s="24"/>
      <c r="D182" s="25"/>
      <c r="E182" s="33" t="str">
        <f t="array" ref="E182">IFERROR(INDEX('03 Budget'!$C$7:$C$300,MATCH($D182,'03 Budget'!$B$7:$B$300,0)),IF($D182="","","** ID not found **"))</f>
        <v/>
      </c>
      <c r="F182" s="33" t="str">
        <f t="array" ref="F182">IFERROR(INDEX('03 Budget'!$D$7:$D$300,MATCH($D182,'03 Budget'!$B$7:$B$300,0)),IF($D182="","","** ID not found **"))</f>
        <v/>
      </c>
      <c r="G182" s="32"/>
      <c r="H182" s="32"/>
      <c r="I182" s="38"/>
      <c r="J182" s="24"/>
      <c r="K182" s="38"/>
      <c r="L182" s="24"/>
      <c r="M182" s="41" t="str">
        <f t="shared" si="2"/>
        <v/>
      </c>
      <c r="N182" s="32"/>
      <c r="O182" s="32"/>
      <c r="P182" s="32"/>
      <c r="Q182" s="32"/>
      <c r="R182" s="32"/>
      <c r="S182" s="32" t="str">
        <f t="shared" si="3"/>
        <v/>
      </c>
      <c r="T182" s="32"/>
      <c r="U182" s="32"/>
    </row>
    <row r="183" ht="16.5" customHeight="1">
      <c r="A183" s="1"/>
      <c r="B183" s="23" t="str">
        <f t="shared" si="1"/>
        <v/>
      </c>
      <c r="C183" s="24"/>
      <c r="D183" s="25"/>
      <c r="E183" s="33" t="str">
        <f t="array" ref="E183">IFERROR(INDEX('03 Budget'!$C$7:$C$300,MATCH($D183,'03 Budget'!$B$7:$B$300,0)),IF($D183="","","** ID not found **"))</f>
        <v/>
      </c>
      <c r="F183" s="33" t="str">
        <f t="array" ref="F183">IFERROR(INDEX('03 Budget'!$D$7:$D$300,MATCH($D183,'03 Budget'!$B$7:$B$300,0)),IF($D183="","","** ID not found **"))</f>
        <v/>
      </c>
      <c r="G183" s="32"/>
      <c r="H183" s="32"/>
      <c r="I183" s="38"/>
      <c r="J183" s="24"/>
      <c r="K183" s="38"/>
      <c r="L183" s="24"/>
      <c r="M183" s="41" t="str">
        <f t="shared" si="2"/>
        <v/>
      </c>
      <c r="N183" s="32"/>
      <c r="O183" s="32"/>
      <c r="P183" s="32"/>
      <c r="Q183" s="32"/>
      <c r="R183" s="32"/>
      <c r="S183" s="32" t="str">
        <f t="shared" si="3"/>
        <v/>
      </c>
      <c r="T183" s="32"/>
      <c r="U183" s="32"/>
    </row>
    <row r="184" ht="16.5" customHeight="1">
      <c r="A184" s="1"/>
      <c r="B184" s="23" t="str">
        <f t="shared" si="1"/>
        <v/>
      </c>
      <c r="C184" s="24"/>
      <c r="D184" s="25"/>
      <c r="E184" s="33" t="str">
        <f t="array" ref="E184">IFERROR(INDEX('03 Budget'!$C$7:$C$300,MATCH($D184,'03 Budget'!$B$7:$B$300,0)),IF($D184="","","** ID not found **"))</f>
        <v/>
      </c>
      <c r="F184" s="33" t="str">
        <f t="array" ref="F184">IFERROR(INDEX('03 Budget'!$D$7:$D$300,MATCH($D184,'03 Budget'!$B$7:$B$300,0)),IF($D184="","","** ID not found **"))</f>
        <v/>
      </c>
      <c r="G184" s="32"/>
      <c r="H184" s="32"/>
      <c r="I184" s="38"/>
      <c r="J184" s="24"/>
      <c r="K184" s="38"/>
      <c r="L184" s="24"/>
      <c r="M184" s="41" t="str">
        <f t="shared" si="2"/>
        <v/>
      </c>
      <c r="N184" s="32"/>
      <c r="O184" s="32"/>
      <c r="P184" s="32"/>
      <c r="Q184" s="32"/>
      <c r="R184" s="32"/>
      <c r="S184" s="32" t="str">
        <f t="shared" si="3"/>
        <v/>
      </c>
      <c r="T184" s="32"/>
      <c r="U184" s="32"/>
    </row>
    <row r="185" ht="16.5" customHeight="1">
      <c r="A185" s="1"/>
      <c r="B185" s="23" t="str">
        <f t="shared" si="1"/>
        <v/>
      </c>
      <c r="C185" s="24"/>
      <c r="D185" s="25"/>
      <c r="E185" s="33" t="str">
        <f t="array" ref="E185">IFERROR(INDEX('03 Budget'!$C$7:$C$300,MATCH($D185,'03 Budget'!$B$7:$B$300,0)),IF($D185="","","** ID not found **"))</f>
        <v/>
      </c>
      <c r="F185" s="33" t="str">
        <f t="array" ref="F185">IFERROR(INDEX('03 Budget'!$D$7:$D$300,MATCH($D185,'03 Budget'!$B$7:$B$300,0)),IF($D185="","","** ID not found **"))</f>
        <v/>
      </c>
      <c r="G185" s="32"/>
      <c r="H185" s="32"/>
      <c r="I185" s="38"/>
      <c r="J185" s="24"/>
      <c r="K185" s="38"/>
      <c r="L185" s="24"/>
      <c r="M185" s="41" t="str">
        <f t="shared" si="2"/>
        <v/>
      </c>
      <c r="N185" s="32"/>
      <c r="O185" s="32"/>
      <c r="P185" s="32"/>
      <c r="Q185" s="32"/>
      <c r="R185" s="32"/>
      <c r="S185" s="32" t="str">
        <f t="shared" si="3"/>
        <v/>
      </c>
      <c r="T185" s="32"/>
      <c r="U185" s="32"/>
    </row>
    <row r="186" ht="16.5" customHeight="1">
      <c r="A186" s="1"/>
      <c r="B186" s="23" t="str">
        <f t="shared" si="1"/>
        <v/>
      </c>
      <c r="C186" s="24"/>
      <c r="D186" s="25"/>
      <c r="E186" s="33" t="str">
        <f t="array" ref="E186">IFERROR(INDEX('03 Budget'!$C$7:$C$300,MATCH($D186,'03 Budget'!$B$7:$B$300,0)),IF($D186="","","** ID not found **"))</f>
        <v/>
      </c>
      <c r="F186" s="33" t="str">
        <f t="array" ref="F186">IFERROR(INDEX('03 Budget'!$D$7:$D$300,MATCH($D186,'03 Budget'!$B$7:$B$300,0)),IF($D186="","","** ID not found **"))</f>
        <v/>
      </c>
      <c r="G186" s="32"/>
      <c r="H186" s="32"/>
      <c r="I186" s="38"/>
      <c r="J186" s="24"/>
      <c r="K186" s="38"/>
      <c r="L186" s="24"/>
      <c r="M186" s="41" t="str">
        <f t="shared" si="2"/>
        <v/>
      </c>
      <c r="N186" s="32"/>
      <c r="O186" s="32"/>
      <c r="P186" s="32"/>
      <c r="Q186" s="32"/>
      <c r="R186" s="32"/>
      <c r="S186" s="32" t="str">
        <f t="shared" si="3"/>
        <v/>
      </c>
      <c r="T186" s="32"/>
      <c r="U186" s="32"/>
    </row>
    <row r="187" ht="16.5" customHeight="1">
      <c r="A187" s="1"/>
      <c r="B187" s="23" t="str">
        <f t="shared" si="1"/>
        <v/>
      </c>
      <c r="C187" s="24"/>
      <c r="D187" s="25"/>
      <c r="E187" s="33" t="str">
        <f t="array" ref="E187">IFERROR(INDEX('03 Budget'!$C$7:$C$300,MATCH($D187,'03 Budget'!$B$7:$B$300,0)),IF($D187="","","** ID not found **"))</f>
        <v/>
      </c>
      <c r="F187" s="33" t="str">
        <f t="array" ref="F187">IFERROR(INDEX('03 Budget'!$D$7:$D$300,MATCH($D187,'03 Budget'!$B$7:$B$300,0)),IF($D187="","","** ID not found **"))</f>
        <v/>
      </c>
      <c r="G187" s="32"/>
      <c r="H187" s="32"/>
      <c r="I187" s="38"/>
      <c r="J187" s="24"/>
      <c r="K187" s="38"/>
      <c r="L187" s="24"/>
      <c r="M187" s="41" t="str">
        <f t="shared" si="2"/>
        <v/>
      </c>
      <c r="N187" s="32"/>
      <c r="O187" s="32"/>
      <c r="P187" s="32"/>
      <c r="Q187" s="32"/>
      <c r="R187" s="32"/>
      <c r="S187" s="32" t="str">
        <f t="shared" si="3"/>
        <v/>
      </c>
      <c r="T187" s="32"/>
      <c r="U187" s="32"/>
    </row>
    <row r="188" ht="16.5" customHeight="1">
      <c r="A188" s="1"/>
      <c r="B188" s="23" t="str">
        <f t="shared" si="1"/>
        <v/>
      </c>
      <c r="C188" s="24"/>
      <c r="D188" s="25"/>
      <c r="E188" s="33" t="str">
        <f t="array" ref="E188">IFERROR(INDEX('03 Budget'!$C$7:$C$300,MATCH($D188,'03 Budget'!$B$7:$B$300,0)),IF($D188="","","** ID not found **"))</f>
        <v/>
      </c>
      <c r="F188" s="33" t="str">
        <f t="array" ref="F188">IFERROR(INDEX('03 Budget'!$D$7:$D$300,MATCH($D188,'03 Budget'!$B$7:$B$300,0)),IF($D188="","","** ID not found **"))</f>
        <v/>
      </c>
      <c r="G188" s="32"/>
      <c r="H188" s="32"/>
      <c r="I188" s="38"/>
      <c r="J188" s="24"/>
      <c r="K188" s="38"/>
      <c r="L188" s="24"/>
      <c r="M188" s="41" t="str">
        <f t="shared" si="2"/>
        <v/>
      </c>
      <c r="N188" s="32"/>
      <c r="O188" s="32"/>
      <c r="P188" s="32"/>
      <c r="Q188" s="32"/>
      <c r="R188" s="32"/>
      <c r="S188" s="32" t="str">
        <f t="shared" si="3"/>
        <v/>
      </c>
      <c r="T188" s="32"/>
      <c r="U188" s="32"/>
    </row>
    <row r="189" ht="16.5" customHeight="1">
      <c r="A189" s="1"/>
      <c r="B189" s="23" t="str">
        <f t="shared" si="1"/>
        <v/>
      </c>
      <c r="C189" s="24"/>
      <c r="D189" s="25"/>
      <c r="E189" s="33" t="str">
        <f t="array" ref="E189">IFERROR(INDEX('03 Budget'!$C$7:$C$300,MATCH($D189,'03 Budget'!$B$7:$B$300,0)),IF($D189="","","** ID not found **"))</f>
        <v/>
      </c>
      <c r="F189" s="33" t="str">
        <f t="array" ref="F189">IFERROR(INDEX('03 Budget'!$D$7:$D$300,MATCH($D189,'03 Budget'!$B$7:$B$300,0)),IF($D189="","","** ID not found **"))</f>
        <v/>
      </c>
      <c r="G189" s="32"/>
      <c r="H189" s="32"/>
      <c r="I189" s="38"/>
      <c r="J189" s="24"/>
      <c r="K189" s="38"/>
      <c r="L189" s="24"/>
      <c r="M189" s="41" t="str">
        <f t="shared" si="2"/>
        <v/>
      </c>
      <c r="N189" s="32"/>
      <c r="O189" s="32"/>
      <c r="P189" s="32"/>
      <c r="Q189" s="32"/>
      <c r="R189" s="32"/>
      <c r="S189" s="32" t="str">
        <f t="shared" si="3"/>
        <v/>
      </c>
      <c r="T189" s="32"/>
      <c r="U189" s="32"/>
    </row>
    <row r="190" ht="16.5" customHeight="1">
      <c r="A190" s="1"/>
      <c r="B190" s="23" t="str">
        <f t="shared" si="1"/>
        <v/>
      </c>
      <c r="C190" s="24"/>
      <c r="D190" s="25"/>
      <c r="E190" s="33" t="str">
        <f t="array" ref="E190">IFERROR(INDEX('03 Budget'!$C$7:$C$300,MATCH($D190,'03 Budget'!$B$7:$B$300,0)),IF($D190="","","** ID not found **"))</f>
        <v/>
      </c>
      <c r="F190" s="33" t="str">
        <f t="array" ref="F190">IFERROR(INDEX('03 Budget'!$D$7:$D$300,MATCH($D190,'03 Budget'!$B$7:$B$300,0)),IF($D190="","","** ID not found **"))</f>
        <v/>
      </c>
      <c r="G190" s="32"/>
      <c r="H190" s="32"/>
      <c r="I190" s="38"/>
      <c r="J190" s="24"/>
      <c r="K190" s="38"/>
      <c r="L190" s="24"/>
      <c r="M190" s="41" t="str">
        <f t="shared" si="2"/>
        <v/>
      </c>
      <c r="N190" s="32"/>
      <c r="O190" s="32"/>
      <c r="P190" s="32"/>
      <c r="Q190" s="32"/>
      <c r="R190" s="32"/>
      <c r="S190" s="32" t="str">
        <f t="shared" si="3"/>
        <v/>
      </c>
      <c r="T190" s="32"/>
      <c r="U190" s="32"/>
    </row>
    <row r="191" ht="16.5" customHeight="1">
      <c r="A191" s="1"/>
      <c r="B191" s="23" t="str">
        <f t="shared" si="1"/>
        <v/>
      </c>
      <c r="C191" s="24"/>
      <c r="D191" s="25"/>
      <c r="E191" s="33" t="str">
        <f t="array" ref="E191">IFERROR(INDEX('03 Budget'!$C$7:$C$300,MATCH($D191,'03 Budget'!$B$7:$B$300,0)),IF($D191="","","** ID not found **"))</f>
        <v/>
      </c>
      <c r="F191" s="33" t="str">
        <f t="array" ref="F191">IFERROR(INDEX('03 Budget'!$D$7:$D$300,MATCH($D191,'03 Budget'!$B$7:$B$300,0)),IF($D191="","","** ID not found **"))</f>
        <v/>
      </c>
      <c r="G191" s="32"/>
      <c r="H191" s="32"/>
      <c r="I191" s="38"/>
      <c r="J191" s="24"/>
      <c r="K191" s="38"/>
      <c r="L191" s="24"/>
      <c r="M191" s="41" t="str">
        <f t="shared" si="2"/>
        <v/>
      </c>
      <c r="N191" s="32"/>
      <c r="O191" s="32"/>
      <c r="P191" s="32"/>
      <c r="Q191" s="32"/>
      <c r="R191" s="32"/>
      <c r="S191" s="32" t="str">
        <f t="shared" si="3"/>
        <v/>
      </c>
      <c r="T191" s="32"/>
      <c r="U191" s="32"/>
    </row>
    <row r="192" ht="16.5" customHeight="1">
      <c r="A192" s="1"/>
      <c r="B192" s="23" t="str">
        <f t="shared" si="1"/>
        <v/>
      </c>
      <c r="C192" s="24"/>
      <c r="D192" s="25"/>
      <c r="E192" s="33" t="str">
        <f t="array" ref="E192">IFERROR(INDEX('03 Budget'!$C$7:$C$300,MATCH($D192,'03 Budget'!$B$7:$B$300,0)),IF($D192="","","** ID not found **"))</f>
        <v/>
      </c>
      <c r="F192" s="33" t="str">
        <f t="array" ref="F192">IFERROR(INDEX('03 Budget'!$D$7:$D$300,MATCH($D192,'03 Budget'!$B$7:$B$300,0)),IF($D192="","","** ID not found **"))</f>
        <v/>
      </c>
      <c r="G192" s="32"/>
      <c r="H192" s="32"/>
      <c r="I192" s="38"/>
      <c r="J192" s="24"/>
      <c r="K192" s="38"/>
      <c r="L192" s="24"/>
      <c r="M192" s="41" t="str">
        <f t="shared" si="2"/>
        <v/>
      </c>
      <c r="N192" s="32"/>
      <c r="O192" s="32"/>
      <c r="P192" s="32"/>
      <c r="Q192" s="32"/>
      <c r="R192" s="32"/>
      <c r="S192" s="32" t="str">
        <f t="shared" si="3"/>
        <v/>
      </c>
      <c r="T192" s="32"/>
      <c r="U192" s="32"/>
    </row>
    <row r="193" ht="16.5" customHeight="1">
      <c r="A193" s="1"/>
      <c r="B193" s="23" t="str">
        <f t="shared" si="1"/>
        <v/>
      </c>
      <c r="C193" s="24"/>
      <c r="D193" s="25"/>
      <c r="E193" s="33" t="str">
        <f t="array" ref="E193">IFERROR(INDEX('03 Budget'!$C$7:$C$300,MATCH($D193,'03 Budget'!$B$7:$B$300,0)),IF($D193="","","** ID not found **"))</f>
        <v/>
      </c>
      <c r="F193" s="33" t="str">
        <f t="array" ref="F193">IFERROR(INDEX('03 Budget'!$D$7:$D$300,MATCH($D193,'03 Budget'!$B$7:$B$300,0)),IF($D193="","","** ID not found **"))</f>
        <v/>
      </c>
      <c r="G193" s="32"/>
      <c r="H193" s="32"/>
      <c r="I193" s="38"/>
      <c r="J193" s="24"/>
      <c r="K193" s="38"/>
      <c r="L193" s="24"/>
      <c r="M193" s="41" t="str">
        <f t="shared" si="2"/>
        <v/>
      </c>
      <c r="N193" s="32"/>
      <c r="O193" s="32"/>
      <c r="P193" s="32"/>
      <c r="Q193" s="32"/>
      <c r="R193" s="32"/>
      <c r="S193" s="32" t="str">
        <f t="shared" si="3"/>
        <v/>
      </c>
      <c r="T193" s="32"/>
      <c r="U193" s="32"/>
    </row>
    <row r="194" ht="16.5" customHeight="1">
      <c r="A194" s="1"/>
      <c r="B194" s="23" t="str">
        <f t="shared" si="1"/>
        <v/>
      </c>
      <c r="C194" s="24"/>
      <c r="D194" s="25"/>
      <c r="E194" s="33" t="str">
        <f t="array" ref="E194">IFERROR(INDEX('03 Budget'!$C$7:$C$300,MATCH($D194,'03 Budget'!$B$7:$B$300,0)),IF($D194="","","** ID not found **"))</f>
        <v/>
      </c>
      <c r="F194" s="33" t="str">
        <f t="array" ref="F194">IFERROR(INDEX('03 Budget'!$D$7:$D$300,MATCH($D194,'03 Budget'!$B$7:$B$300,0)),IF($D194="","","** ID not found **"))</f>
        <v/>
      </c>
      <c r="G194" s="32"/>
      <c r="H194" s="32"/>
      <c r="I194" s="38"/>
      <c r="J194" s="24"/>
      <c r="K194" s="38"/>
      <c r="L194" s="24"/>
      <c r="M194" s="41" t="str">
        <f t="shared" si="2"/>
        <v/>
      </c>
      <c r="N194" s="32"/>
      <c r="O194" s="32"/>
      <c r="P194" s="32"/>
      <c r="Q194" s="32"/>
      <c r="R194" s="32"/>
      <c r="S194" s="32" t="str">
        <f t="shared" si="3"/>
        <v/>
      </c>
      <c r="T194" s="32"/>
      <c r="U194" s="32"/>
    </row>
    <row r="195" ht="16.5" customHeight="1">
      <c r="A195" s="1"/>
      <c r="B195" s="23" t="str">
        <f t="shared" si="1"/>
        <v/>
      </c>
      <c r="C195" s="24"/>
      <c r="D195" s="25"/>
      <c r="E195" s="33" t="str">
        <f t="array" ref="E195">IFERROR(INDEX('03 Budget'!$C$7:$C$300,MATCH($D195,'03 Budget'!$B$7:$B$300,0)),IF($D195="","","** ID not found **"))</f>
        <v/>
      </c>
      <c r="F195" s="33" t="str">
        <f t="array" ref="F195">IFERROR(INDEX('03 Budget'!$D$7:$D$300,MATCH($D195,'03 Budget'!$B$7:$B$300,0)),IF($D195="","","** ID not found **"))</f>
        <v/>
      </c>
      <c r="G195" s="32"/>
      <c r="H195" s="32"/>
      <c r="I195" s="38"/>
      <c r="J195" s="24"/>
      <c r="K195" s="38"/>
      <c r="L195" s="24"/>
      <c r="M195" s="41" t="str">
        <f t="shared" si="2"/>
        <v/>
      </c>
      <c r="N195" s="32"/>
      <c r="O195" s="32"/>
      <c r="P195" s="32"/>
      <c r="Q195" s="32"/>
      <c r="R195" s="32"/>
      <c r="S195" s="32" t="str">
        <f t="shared" si="3"/>
        <v/>
      </c>
      <c r="T195" s="32"/>
      <c r="U195" s="32"/>
    </row>
    <row r="196" ht="16.5" customHeight="1">
      <c r="A196" s="1"/>
      <c r="B196" s="23" t="str">
        <f t="shared" si="1"/>
        <v/>
      </c>
      <c r="C196" s="24"/>
      <c r="D196" s="25"/>
      <c r="E196" s="33" t="str">
        <f t="array" ref="E196">IFERROR(INDEX('03 Budget'!$C$7:$C$300,MATCH($D196,'03 Budget'!$B$7:$B$300,0)),IF($D196="","","** ID not found **"))</f>
        <v/>
      </c>
      <c r="F196" s="33" t="str">
        <f t="array" ref="F196">IFERROR(INDEX('03 Budget'!$D$7:$D$300,MATCH($D196,'03 Budget'!$B$7:$B$300,0)),IF($D196="","","** ID not found **"))</f>
        <v/>
      </c>
      <c r="G196" s="32"/>
      <c r="H196" s="32"/>
      <c r="I196" s="38"/>
      <c r="J196" s="24"/>
      <c r="K196" s="38"/>
      <c r="L196" s="24"/>
      <c r="M196" s="41" t="str">
        <f t="shared" si="2"/>
        <v/>
      </c>
      <c r="N196" s="32"/>
      <c r="O196" s="32"/>
      <c r="P196" s="32"/>
      <c r="Q196" s="32"/>
      <c r="R196" s="32"/>
      <c r="S196" s="32" t="str">
        <f t="shared" si="3"/>
        <v/>
      </c>
      <c r="T196" s="32"/>
      <c r="U196" s="32"/>
    </row>
    <row r="197" ht="16.5" customHeight="1">
      <c r="A197" s="1"/>
      <c r="B197" s="23" t="str">
        <f t="shared" si="1"/>
        <v/>
      </c>
      <c r="C197" s="24"/>
      <c r="D197" s="25"/>
      <c r="E197" s="33" t="str">
        <f t="array" ref="E197">IFERROR(INDEX('03 Budget'!$C$7:$C$300,MATCH($D197,'03 Budget'!$B$7:$B$300,0)),IF($D197="","","** ID not found **"))</f>
        <v/>
      </c>
      <c r="F197" s="33" t="str">
        <f t="array" ref="F197">IFERROR(INDEX('03 Budget'!$D$7:$D$300,MATCH($D197,'03 Budget'!$B$7:$B$300,0)),IF($D197="","","** ID not found **"))</f>
        <v/>
      </c>
      <c r="G197" s="32"/>
      <c r="H197" s="32"/>
      <c r="I197" s="38"/>
      <c r="J197" s="24"/>
      <c r="K197" s="38"/>
      <c r="L197" s="24"/>
      <c r="M197" s="41" t="str">
        <f t="shared" si="2"/>
        <v/>
      </c>
      <c r="N197" s="32"/>
      <c r="O197" s="32"/>
      <c r="P197" s="32"/>
      <c r="Q197" s="32"/>
      <c r="R197" s="32"/>
      <c r="S197" s="32" t="str">
        <f t="shared" si="3"/>
        <v/>
      </c>
      <c r="T197" s="32"/>
      <c r="U197" s="32"/>
    </row>
    <row r="198" ht="16.5" customHeight="1">
      <c r="A198" s="1"/>
      <c r="B198" s="23" t="str">
        <f t="shared" si="1"/>
        <v/>
      </c>
      <c r="C198" s="24"/>
      <c r="D198" s="25"/>
      <c r="E198" s="33" t="str">
        <f t="array" ref="E198">IFERROR(INDEX('03 Budget'!$C$7:$C$300,MATCH($D198,'03 Budget'!$B$7:$B$300,0)),IF($D198="","","** ID not found **"))</f>
        <v/>
      </c>
      <c r="F198" s="33" t="str">
        <f t="array" ref="F198">IFERROR(INDEX('03 Budget'!$D$7:$D$300,MATCH($D198,'03 Budget'!$B$7:$B$300,0)),IF($D198="","","** ID not found **"))</f>
        <v/>
      </c>
      <c r="G198" s="32"/>
      <c r="H198" s="32"/>
      <c r="I198" s="38"/>
      <c r="J198" s="24"/>
      <c r="K198" s="38"/>
      <c r="L198" s="24"/>
      <c r="M198" s="41" t="str">
        <f t="shared" si="2"/>
        <v/>
      </c>
      <c r="N198" s="32"/>
      <c r="O198" s="32"/>
      <c r="P198" s="32"/>
      <c r="Q198" s="32"/>
      <c r="R198" s="32"/>
      <c r="S198" s="32" t="str">
        <f t="shared" si="3"/>
        <v/>
      </c>
      <c r="T198" s="32"/>
      <c r="U198" s="32"/>
    </row>
    <row r="199" ht="16.5" customHeight="1">
      <c r="A199" s="1"/>
      <c r="B199" s="23" t="str">
        <f t="shared" si="1"/>
        <v/>
      </c>
      <c r="C199" s="24"/>
      <c r="D199" s="25"/>
      <c r="E199" s="33" t="str">
        <f t="array" ref="E199">IFERROR(INDEX('03 Budget'!$C$7:$C$300,MATCH($D199,'03 Budget'!$B$7:$B$300,0)),IF($D199="","","** ID not found **"))</f>
        <v/>
      </c>
      <c r="F199" s="33" t="str">
        <f t="array" ref="F199">IFERROR(INDEX('03 Budget'!$D$7:$D$300,MATCH($D199,'03 Budget'!$B$7:$B$300,0)),IF($D199="","","** ID not found **"))</f>
        <v/>
      </c>
      <c r="G199" s="32"/>
      <c r="H199" s="32"/>
      <c r="I199" s="38"/>
      <c r="J199" s="24"/>
      <c r="K199" s="38"/>
      <c r="L199" s="24"/>
      <c r="M199" s="41" t="str">
        <f t="shared" si="2"/>
        <v/>
      </c>
      <c r="N199" s="32"/>
      <c r="O199" s="32"/>
      <c r="P199" s="32"/>
      <c r="Q199" s="32"/>
      <c r="R199" s="32"/>
      <c r="S199" s="32" t="str">
        <f t="shared" si="3"/>
        <v/>
      </c>
      <c r="T199" s="32"/>
      <c r="U199" s="32"/>
    </row>
    <row r="200" ht="16.5" customHeight="1">
      <c r="A200" s="1"/>
      <c r="B200" s="23" t="str">
        <f t="shared" si="1"/>
        <v/>
      </c>
      <c r="C200" s="24"/>
      <c r="D200" s="25"/>
      <c r="E200" s="33" t="str">
        <f t="array" ref="E200">IFERROR(INDEX('03 Budget'!$C$7:$C$300,MATCH($D200,'03 Budget'!$B$7:$B$300,0)),IF($D200="","","** ID not found **"))</f>
        <v/>
      </c>
      <c r="F200" s="33" t="str">
        <f t="array" ref="F200">IFERROR(INDEX('03 Budget'!$D$7:$D$300,MATCH($D200,'03 Budget'!$B$7:$B$300,0)),IF($D200="","","** ID not found **"))</f>
        <v/>
      </c>
      <c r="G200" s="32"/>
      <c r="H200" s="32"/>
      <c r="I200" s="38"/>
      <c r="J200" s="24"/>
      <c r="K200" s="38"/>
      <c r="L200" s="24"/>
      <c r="M200" s="41" t="str">
        <f t="shared" si="2"/>
        <v/>
      </c>
      <c r="N200" s="32"/>
      <c r="O200" s="32"/>
      <c r="P200" s="32"/>
      <c r="Q200" s="32"/>
      <c r="R200" s="32"/>
      <c r="S200" s="32" t="str">
        <f t="shared" si="3"/>
        <v/>
      </c>
      <c r="T200" s="32"/>
      <c r="U200" s="32"/>
    </row>
    <row r="201" ht="16.5" customHeight="1">
      <c r="A201" s="1"/>
      <c r="B201" s="23" t="str">
        <f t="shared" si="1"/>
        <v/>
      </c>
      <c r="C201" s="24"/>
      <c r="D201" s="25"/>
      <c r="E201" s="33" t="str">
        <f t="array" ref="E201">IFERROR(INDEX('03 Budget'!$C$7:$C$300,MATCH($D201,'03 Budget'!$B$7:$B$300,0)),IF($D201="","","** ID not found **"))</f>
        <v/>
      </c>
      <c r="F201" s="33" t="str">
        <f t="array" ref="F201">IFERROR(INDEX('03 Budget'!$D$7:$D$300,MATCH($D201,'03 Budget'!$B$7:$B$300,0)),IF($D201="","","** ID not found **"))</f>
        <v/>
      </c>
      <c r="G201" s="32"/>
      <c r="H201" s="32"/>
      <c r="I201" s="38"/>
      <c r="J201" s="24"/>
      <c r="K201" s="38"/>
      <c r="L201" s="24"/>
      <c r="M201" s="41" t="str">
        <f t="shared" si="2"/>
        <v/>
      </c>
      <c r="N201" s="32"/>
      <c r="O201" s="32"/>
      <c r="P201" s="32"/>
      <c r="Q201" s="32"/>
      <c r="R201" s="32"/>
      <c r="S201" s="32" t="str">
        <f t="shared" si="3"/>
        <v/>
      </c>
      <c r="T201" s="32"/>
      <c r="U201" s="32"/>
    </row>
    <row r="202" ht="16.5" customHeight="1">
      <c r="A202" s="1"/>
      <c r="B202" s="23" t="str">
        <f t="shared" si="1"/>
        <v/>
      </c>
      <c r="C202" s="24"/>
      <c r="D202" s="25"/>
      <c r="E202" s="33" t="str">
        <f t="array" ref="E202">IFERROR(INDEX('03 Budget'!$C$7:$C$300,MATCH($D202,'03 Budget'!$B$7:$B$300,0)),IF($D202="","","** ID not found **"))</f>
        <v/>
      </c>
      <c r="F202" s="33" t="str">
        <f t="array" ref="F202">IFERROR(INDEX('03 Budget'!$D$7:$D$300,MATCH($D202,'03 Budget'!$B$7:$B$300,0)),IF($D202="","","** ID not found **"))</f>
        <v/>
      </c>
      <c r="G202" s="32"/>
      <c r="H202" s="32"/>
      <c r="I202" s="38"/>
      <c r="J202" s="24"/>
      <c r="K202" s="38"/>
      <c r="L202" s="24"/>
      <c r="M202" s="41" t="str">
        <f t="shared" si="2"/>
        <v/>
      </c>
      <c r="N202" s="32"/>
      <c r="O202" s="32"/>
      <c r="P202" s="32"/>
      <c r="Q202" s="32"/>
      <c r="R202" s="32"/>
      <c r="S202" s="32" t="str">
        <f t="shared" si="3"/>
        <v/>
      </c>
      <c r="T202" s="32"/>
      <c r="U202" s="32"/>
    </row>
    <row r="203" ht="16.5" customHeight="1">
      <c r="A203" s="1"/>
      <c r="B203" s="23" t="str">
        <f t="shared" si="1"/>
        <v/>
      </c>
      <c r="C203" s="24"/>
      <c r="D203" s="25"/>
      <c r="E203" s="33" t="str">
        <f t="array" ref="E203">IFERROR(INDEX('03 Budget'!$C$7:$C$300,MATCH($D203,'03 Budget'!$B$7:$B$300,0)),IF($D203="","","** ID not found **"))</f>
        <v/>
      </c>
      <c r="F203" s="33" t="str">
        <f t="array" ref="F203">IFERROR(INDEX('03 Budget'!$D$7:$D$300,MATCH($D203,'03 Budget'!$B$7:$B$300,0)),IF($D203="","","** ID not found **"))</f>
        <v/>
      </c>
      <c r="G203" s="32"/>
      <c r="H203" s="32"/>
      <c r="I203" s="38"/>
      <c r="J203" s="24"/>
      <c r="K203" s="38"/>
      <c r="L203" s="24"/>
      <c r="M203" s="41" t="str">
        <f t="shared" si="2"/>
        <v/>
      </c>
      <c r="N203" s="32"/>
      <c r="O203" s="32"/>
      <c r="P203" s="32"/>
      <c r="Q203" s="32"/>
      <c r="R203" s="32"/>
      <c r="S203" s="32" t="str">
        <f t="shared" si="3"/>
        <v/>
      </c>
      <c r="T203" s="32"/>
      <c r="U203" s="32"/>
    </row>
    <row r="204" ht="16.5" customHeight="1">
      <c r="A204" s="1"/>
      <c r="B204" s="23" t="str">
        <f t="shared" si="1"/>
        <v/>
      </c>
      <c r="C204" s="24"/>
      <c r="D204" s="25"/>
      <c r="E204" s="33" t="str">
        <f t="array" ref="E204">IFERROR(INDEX('03 Budget'!$C$7:$C$300,MATCH($D204,'03 Budget'!$B$7:$B$300,0)),IF($D204="","","** ID not found **"))</f>
        <v/>
      </c>
      <c r="F204" s="33" t="str">
        <f t="array" ref="F204">IFERROR(INDEX('03 Budget'!$D$7:$D$300,MATCH($D204,'03 Budget'!$B$7:$B$300,0)),IF($D204="","","** ID not found **"))</f>
        <v/>
      </c>
      <c r="G204" s="32"/>
      <c r="H204" s="32"/>
      <c r="I204" s="38"/>
      <c r="J204" s="24"/>
      <c r="K204" s="38"/>
      <c r="L204" s="24"/>
      <c r="M204" s="41" t="str">
        <f t="shared" si="2"/>
        <v/>
      </c>
      <c r="N204" s="32"/>
      <c r="O204" s="32"/>
      <c r="P204" s="32"/>
      <c r="Q204" s="32"/>
      <c r="R204" s="32"/>
      <c r="S204" s="32" t="str">
        <f t="shared" si="3"/>
        <v/>
      </c>
      <c r="T204" s="32"/>
      <c r="U204" s="32"/>
    </row>
    <row r="205" ht="16.5" customHeight="1">
      <c r="A205" s="1"/>
      <c r="B205" s="23" t="str">
        <f t="shared" si="1"/>
        <v/>
      </c>
      <c r="C205" s="24"/>
      <c r="D205" s="25"/>
      <c r="E205" s="33" t="str">
        <f t="array" ref="E205">IFERROR(INDEX('03 Budget'!$C$7:$C$300,MATCH($D205,'03 Budget'!$B$7:$B$300,0)),IF($D205="","","** ID not found **"))</f>
        <v/>
      </c>
      <c r="F205" s="33" t="str">
        <f t="array" ref="F205">IFERROR(INDEX('03 Budget'!$D$7:$D$300,MATCH($D205,'03 Budget'!$B$7:$B$300,0)),IF($D205="","","** ID not found **"))</f>
        <v/>
      </c>
      <c r="G205" s="32"/>
      <c r="H205" s="32"/>
      <c r="I205" s="38"/>
      <c r="J205" s="24"/>
      <c r="K205" s="38"/>
      <c r="L205" s="24"/>
      <c r="M205" s="41" t="str">
        <f t="shared" si="2"/>
        <v/>
      </c>
      <c r="N205" s="32"/>
      <c r="O205" s="32"/>
      <c r="P205" s="32"/>
      <c r="Q205" s="32"/>
      <c r="R205" s="32"/>
      <c r="S205" s="32" t="str">
        <f t="shared" si="3"/>
        <v/>
      </c>
      <c r="T205" s="32"/>
      <c r="U205" s="32"/>
    </row>
    <row r="206" ht="16.5" customHeight="1">
      <c r="A206" s="1"/>
      <c r="B206" s="23" t="str">
        <f t="shared" si="1"/>
        <v/>
      </c>
      <c r="C206" s="24"/>
      <c r="D206" s="25"/>
      <c r="E206" s="33" t="str">
        <f t="array" ref="E206">IFERROR(INDEX('03 Budget'!$C$7:$C$300,MATCH($D206,'03 Budget'!$B$7:$B$300,0)),IF($D206="","","** ID not found **"))</f>
        <v/>
      </c>
      <c r="F206" s="33" t="str">
        <f t="array" ref="F206">IFERROR(INDEX('03 Budget'!$D$7:$D$300,MATCH($D206,'03 Budget'!$B$7:$B$300,0)),IF($D206="","","** ID not found **"))</f>
        <v/>
      </c>
      <c r="G206" s="32"/>
      <c r="H206" s="32"/>
      <c r="I206" s="38"/>
      <c r="J206" s="24"/>
      <c r="K206" s="38"/>
      <c r="L206" s="24"/>
      <c r="M206" s="41" t="str">
        <f t="shared" si="2"/>
        <v/>
      </c>
      <c r="N206" s="32"/>
      <c r="O206" s="32"/>
      <c r="P206" s="32"/>
      <c r="Q206" s="32"/>
      <c r="R206" s="32"/>
      <c r="S206" s="32" t="str">
        <f t="shared" si="3"/>
        <v/>
      </c>
      <c r="T206" s="32"/>
      <c r="U206" s="32"/>
    </row>
    <row r="207" ht="16.5" customHeight="1">
      <c r="A207" s="1"/>
      <c r="B207" s="23" t="str">
        <f t="shared" si="1"/>
        <v/>
      </c>
      <c r="C207" s="24"/>
      <c r="D207" s="25"/>
      <c r="E207" s="33" t="str">
        <f t="array" ref="E207">IFERROR(INDEX('03 Budget'!$C$7:$C$300,MATCH($D207,'03 Budget'!$B$7:$B$300,0)),IF($D207="","","** ID not found **"))</f>
        <v/>
      </c>
      <c r="F207" s="33" t="str">
        <f t="array" ref="F207">IFERROR(INDEX('03 Budget'!$D$7:$D$300,MATCH($D207,'03 Budget'!$B$7:$B$300,0)),IF($D207="","","** ID not found **"))</f>
        <v/>
      </c>
      <c r="G207" s="32"/>
      <c r="H207" s="32"/>
      <c r="I207" s="38"/>
      <c r="J207" s="24"/>
      <c r="K207" s="38"/>
      <c r="L207" s="24"/>
      <c r="M207" s="41" t="str">
        <f t="shared" si="2"/>
        <v/>
      </c>
      <c r="N207" s="32"/>
      <c r="O207" s="32"/>
      <c r="P207" s="32"/>
      <c r="Q207" s="32"/>
      <c r="R207" s="32"/>
      <c r="S207" s="32" t="str">
        <f t="shared" si="3"/>
        <v/>
      </c>
      <c r="T207" s="32"/>
      <c r="U207" s="32"/>
    </row>
    <row r="208" ht="16.5" customHeight="1">
      <c r="A208" s="1"/>
      <c r="B208" s="23" t="str">
        <f t="shared" si="1"/>
        <v/>
      </c>
      <c r="C208" s="24"/>
      <c r="D208" s="25"/>
      <c r="E208" s="33" t="str">
        <f t="array" ref="E208">IFERROR(INDEX('03 Budget'!$C$7:$C$300,MATCH($D208,'03 Budget'!$B$7:$B$300,0)),IF($D208="","","** ID not found **"))</f>
        <v/>
      </c>
      <c r="F208" s="33" t="str">
        <f t="array" ref="F208">IFERROR(INDEX('03 Budget'!$D$7:$D$300,MATCH($D208,'03 Budget'!$B$7:$B$300,0)),IF($D208="","","** ID not found **"))</f>
        <v/>
      </c>
      <c r="G208" s="32"/>
      <c r="H208" s="32"/>
      <c r="I208" s="38"/>
      <c r="J208" s="24"/>
      <c r="K208" s="38"/>
      <c r="L208" s="24"/>
      <c r="M208" s="41" t="str">
        <f t="shared" si="2"/>
        <v/>
      </c>
      <c r="N208" s="32"/>
      <c r="O208" s="32"/>
      <c r="P208" s="32"/>
      <c r="Q208" s="32"/>
      <c r="R208" s="32"/>
      <c r="S208" s="32" t="str">
        <f t="shared" si="3"/>
        <v/>
      </c>
      <c r="T208" s="32"/>
      <c r="U208" s="32"/>
    </row>
    <row r="209" ht="16.5" customHeight="1">
      <c r="A209" s="1"/>
      <c r="B209" s="23" t="str">
        <f t="shared" si="1"/>
        <v/>
      </c>
      <c r="C209" s="24"/>
      <c r="D209" s="25"/>
      <c r="E209" s="33" t="str">
        <f t="array" ref="E209">IFERROR(INDEX('03 Budget'!$C$7:$C$300,MATCH($D209,'03 Budget'!$B$7:$B$300,0)),IF($D209="","","** ID not found **"))</f>
        <v/>
      </c>
      <c r="F209" s="33" t="str">
        <f t="array" ref="F209">IFERROR(INDEX('03 Budget'!$D$7:$D$300,MATCH($D209,'03 Budget'!$B$7:$B$300,0)),IF($D209="","","** ID not found **"))</f>
        <v/>
      </c>
      <c r="G209" s="32"/>
      <c r="H209" s="32"/>
      <c r="I209" s="38"/>
      <c r="J209" s="24"/>
      <c r="K209" s="38"/>
      <c r="L209" s="24"/>
      <c r="M209" s="41" t="str">
        <f t="shared" si="2"/>
        <v/>
      </c>
      <c r="N209" s="32"/>
      <c r="O209" s="32"/>
      <c r="P209" s="32"/>
      <c r="Q209" s="32"/>
      <c r="R209" s="32"/>
      <c r="S209" s="32" t="str">
        <f t="shared" si="3"/>
        <v/>
      </c>
      <c r="T209" s="32"/>
      <c r="U209" s="32"/>
    </row>
    <row r="210" ht="16.5" customHeight="1">
      <c r="A210" s="1"/>
      <c r="B210" s="23" t="str">
        <f t="shared" si="1"/>
        <v/>
      </c>
      <c r="C210" s="24"/>
      <c r="D210" s="25"/>
      <c r="E210" s="33" t="str">
        <f t="array" ref="E210">IFERROR(INDEX('03 Budget'!$C$7:$C$300,MATCH($D210,'03 Budget'!$B$7:$B$300,0)),IF($D210="","","** ID not found **"))</f>
        <v/>
      </c>
      <c r="F210" s="33" t="str">
        <f t="array" ref="F210">IFERROR(INDEX('03 Budget'!$D$7:$D$300,MATCH($D210,'03 Budget'!$B$7:$B$300,0)),IF($D210="","","** ID not found **"))</f>
        <v/>
      </c>
      <c r="G210" s="32"/>
      <c r="H210" s="32"/>
      <c r="I210" s="38"/>
      <c r="J210" s="24"/>
      <c r="K210" s="38"/>
      <c r="L210" s="24"/>
      <c r="M210" s="41" t="str">
        <f t="shared" si="2"/>
        <v/>
      </c>
      <c r="N210" s="32"/>
      <c r="O210" s="32"/>
      <c r="P210" s="32"/>
      <c r="Q210" s="32"/>
      <c r="R210" s="32"/>
      <c r="S210" s="32" t="str">
        <f t="shared" si="3"/>
        <v/>
      </c>
      <c r="T210" s="32"/>
      <c r="U210" s="32"/>
    </row>
    <row r="211" ht="16.5" customHeight="1">
      <c r="A211" s="1"/>
      <c r="B211" s="23" t="str">
        <f t="shared" si="1"/>
        <v/>
      </c>
      <c r="C211" s="24"/>
      <c r="D211" s="25"/>
      <c r="E211" s="33" t="str">
        <f t="array" ref="E211">IFERROR(INDEX('03 Budget'!$C$7:$C$300,MATCH($D211,'03 Budget'!$B$7:$B$300,0)),IF($D211="","","** ID not found **"))</f>
        <v/>
      </c>
      <c r="F211" s="33" t="str">
        <f t="array" ref="F211">IFERROR(INDEX('03 Budget'!$D$7:$D$300,MATCH($D211,'03 Budget'!$B$7:$B$300,0)),IF($D211="","","** ID not found **"))</f>
        <v/>
      </c>
      <c r="G211" s="32"/>
      <c r="H211" s="32"/>
      <c r="I211" s="38"/>
      <c r="J211" s="24"/>
      <c r="K211" s="38"/>
      <c r="L211" s="24"/>
      <c r="M211" s="41" t="str">
        <f t="shared" si="2"/>
        <v/>
      </c>
      <c r="N211" s="32"/>
      <c r="O211" s="32"/>
      <c r="P211" s="32"/>
      <c r="Q211" s="32"/>
      <c r="R211" s="32"/>
      <c r="S211" s="32" t="str">
        <f t="shared" si="3"/>
        <v/>
      </c>
      <c r="T211" s="32"/>
      <c r="U211" s="32"/>
    </row>
    <row r="212" ht="16.5" customHeight="1">
      <c r="A212" s="1"/>
      <c r="B212" s="23" t="str">
        <f t="shared" si="1"/>
        <v/>
      </c>
      <c r="C212" s="24"/>
      <c r="D212" s="25"/>
      <c r="E212" s="33" t="str">
        <f t="array" ref="E212">IFERROR(INDEX('03 Budget'!$C$7:$C$300,MATCH($D212,'03 Budget'!$B$7:$B$300,0)),IF($D212="","","** ID not found **"))</f>
        <v/>
      </c>
      <c r="F212" s="33" t="str">
        <f t="array" ref="F212">IFERROR(INDEX('03 Budget'!$D$7:$D$300,MATCH($D212,'03 Budget'!$B$7:$B$300,0)),IF($D212="","","** ID not found **"))</f>
        <v/>
      </c>
      <c r="G212" s="32"/>
      <c r="H212" s="32"/>
      <c r="I212" s="38"/>
      <c r="J212" s="24"/>
      <c r="K212" s="38"/>
      <c r="L212" s="24"/>
      <c r="M212" s="41" t="str">
        <f t="shared" si="2"/>
        <v/>
      </c>
      <c r="N212" s="32"/>
      <c r="O212" s="32"/>
      <c r="P212" s="32"/>
      <c r="Q212" s="32"/>
      <c r="R212" s="32"/>
      <c r="S212" s="32" t="str">
        <f t="shared" si="3"/>
        <v/>
      </c>
      <c r="T212" s="32"/>
      <c r="U212" s="32"/>
    </row>
    <row r="213" ht="16.5" customHeight="1">
      <c r="A213" s="1"/>
      <c r="B213" s="23" t="str">
        <f t="shared" si="1"/>
        <v/>
      </c>
      <c r="C213" s="24"/>
      <c r="D213" s="25"/>
      <c r="E213" s="33" t="str">
        <f t="array" ref="E213">IFERROR(INDEX('03 Budget'!$C$7:$C$300,MATCH($D213,'03 Budget'!$B$7:$B$300,0)),IF($D213="","","** ID not found **"))</f>
        <v/>
      </c>
      <c r="F213" s="33" t="str">
        <f t="array" ref="F213">IFERROR(INDEX('03 Budget'!$D$7:$D$300,MATCH($D213,'03 Budget'!$B$7:$B$300,0)),IF($D213="","","** ID not found **"))</f>
        <v/>
      </c>
      <c r="G213" s="32"/>
      <c r="H213" s="32"/>
      <c r="I213" s="38"/>
      <c r="J213" s="24"/>
      <c r="K213" s="38"/>
      <c r="L213" s="24"/>
      <c r="M213" s="41" t="str">
        <f t="shared" si="2"/>
        <v/>
      </c>
      <c r="N213" s="32"/>
      <c r="O213" s="32"/>
      <c r="P213" s="32"/>
      <c r="Q213" s="32"/>
      <c r="R213" s="32"/>
      <c r="S213" s="32" t="str">
        <f t="shared" si="3"/>
        <v/>
      </c>
      <c r="T213" s="32"/>
      <c r="U213" s="32"/>
    </row>
    <row r="214" ht="16.5" customHeight="1">
      <c r="A214" s="1"/>
      <c r="B214" s="23" t="str">
        <f t="shared" si="1"/>
        <v/>
      </c>
      <c r="C214" s="24"/>
      <c r="D214" s="25"/>
      <c r="E214" s="33" t="str">
        <f t="array" ref="E214">IFERROR(INDEX('03 Budget'!$C$7:$C$300,MATCH($D214,'03 Budget'!$B$7:$B$300,0)),IF($D214="","","** ID not found **"))</f>
        <v/>
      </c>
      <c r="F214" s="33" t="str">
        <f t="array" ref="F214">IFERROR(INDEX('03 Budget'!$D$7:$D$300,MATCH($D214,'03 Budget'!$B$7:$B$300,0)),IF($D214="","","** ID not found **"))</f>
        <v/>
      </c>
      <c r="G214" s="32"/>
      <c r="H214" s="32"/>
      <c r="I214" s="38"/>
      <c r="J214" s="24"/>
      <c r="K214" s="38"/>
      <c r="L214" s="24"/>
      <c r="M214" s="41" t="str">
        <f t="shared" si="2"/>
        <v/>
      </c>
      <c r="N214" s="32"/>
      <c r="O214" s="32"/>
      <c r="P214" s="32"/>
      <c r="Q214" s="32"/>
      <c r="R214" s="32"/>
      <c r="S214" s="32" t="str">
        <f t="shared" si="3"/>
        <v/>
      </c>
      <c r="T214" s="32"/>
      <c r="U214" s="32"/>
    </row>
    <row r="215" ht="16.5" customHeight="1">
      <c r="A215" s="1"/>
      <c r="B215" s="23" t="str">
        <f t="shared" si="1"/>
        <v/>
      </c>
      <c r="C215" s="24"/>
      <c r="D215" s="25"/>
      <c r="E215" s="33" t="str">
        <f t="array" ref="E215">IFERROR(INDEX('03 Budget'!$C$7:$C$300,MATCH($D215,'03 Budget'!$B$7:$B$300,0)),IF($D215="","","** ID not found **"))</f>
        <v/>
      </c>
      <c r="F215" s="33" t="str">
        <f t="array" ref="F215">IFERROR(INDEX('03 Budget'!$D$7:$D$300,MATCH($D215,'03 Budget'!$B$7:$B$300,0)),IF($D215="","","** ID not found **"))</f>
        <v/>
      </c>
      <c r="G215" s="32"/>
      <c r="H215" s="32"/>
      <c r="I215" s="38"/>
      <c r="J215" s="24"/>
      <c r="K215" s="38"/>
      <c r="L215" s="24"/>
      <c r="M215" s="41" t="str">
        <f t="shared" si="2"/>
        <v/>
      </c>
      <c r="N215" s="32"/>
      <c r="O215" s="32"/>
      <c r="P215" s="32"/>
      <c r="Q215" s="32"/>
      <c r="R215" s="32"/>
      <c r="S215" s="32" t="str">
        <f t="shared" si="3"/>
        <v/>
      </c>
      <c r="T215" s="32"/>
      <c r="U215" s="32"/>
    </row>
    <row r="216" ht="16.5" customHeight="1">
      <c r="A216" s="1"/>
      <c r="B216" s="23" t="str">
        <f t="shared" si="1"/>
        <v/>
      </c>
      <c r="C216" s="24"/>
      <c r="D216" s="25"/>
      <c r="E216" s="33" t="str">
        <f t="array" ref="E216">IFERROR(INDEX('03 Budget'!$C$7:$C$300,MATCH($D216,'03 Budget'!$B$7:$B$300,0)),IF($D216="","","** ID not found **"))</f>
        <v/>
      </c>
      <c r="F216" s="33" t="str">
        <f t="array" ref="F216">IFERROR(INDEX('03 Budget'!$D$7:$D$300,MATCH($D216,'03 Budget'!$B$7:$B$300,0)),IF($D216="","","** ID not found **"))</f>
        <v/>
      </c>
      <c r="G216" s="32"/>
      <c r="H216" s="32"/>
      <c r="I216" s="38"/>
      <c r="J216" s="24"/>
      <c r="K216" s="38"/>
      <c r="L216" s="24"/>
      <c r="M216" s="41" t="str">
        <f t="shared" si="2"/>
        <v/>
      </c>
      <c r="N216" s="32"/>
      <c r="O216" s="32"/>
      <c r="P216" s="32"/>
      <c r="Q216" s="32"/>
      <c r="R216" s="32"/>
      <c r="S216" s="32" t="str">
        <f t="shared" si="3"/>
        <v/>
      </c>
      <c r="T216" s="32"/>
      <c r="U216" s="32"/>
    </row>
    <row r="217" ht="16.5" customHeight="1">
      <c r="A217" s="1"/>
      <c r="B217" s="23" t="str">
        <f t="shared" si="1"/>
        <v/>
      </c>
      <c r="C217" s="24"/>
      <c r="D217" s="25"/>
      <c r="E217" s="33" t="str">
        <f t="array" ref="E217">IFERROR(INDEX('03 Budget'!$C$7:$C$300,MATCH($D217,'03 Budget'!$B$7:$B$300,0)),IF($D217="","","** ID not found **"))</f>
        <v/>
      </c>
      <c r="F217" s="33" t="str">
        <f t="array" ref="F217">IFERROR(INDEX('03 Budget'!$D$7:$D$300,MATCH($D217,'03 Budget'!$B$7:$B$300,0)),IF($D217="","","** ID not found **"))</f>
        <v/>
      </c>
      <c r="G217" s="32"/>
      <c r="H217" s="32"/>
      <c r="I217" s="38"/>
      <c r="J217" s="24"/>
      <c r="K217" s="38"/>
      <c r="L217" s="24"/>
      <c r="M217" s="41" t="str">
        <f t="shared" si="2"/>
        <v/>
      </c>
      <c r="N217" s="32"/>
      <c r="O217" s="32"/>
      <c r="P217" s="32"/>
      <c r="Q217" s="32"/>
      <c r="R217" s="32"/>
      <c r="S217" s="32" t="str">
        <f t="shared" si="3"/>
        <v/>
      </c>
      <c r="T217" s="32"/>
      <c r="U217" s="32"/>
    </row>
    <row r="218" ht="16.5" customHeight="1">
      <c r="A218" s="1"/>
      <c r="B218" s="23" t="str">
        <f t="shared" si="1"/>
        <v/>
      </c>
      <c r="C218" s="24"/>
      <c r="D218" s="25"/>
      <c r="E218" s="33" t="str">
        <f t="array" ref="E218">IFERROR(INDEX('03 Budget'!$C$7:$C$300,MATCH($D218,'03 Budget'!$B$7:$B$300,0)),IF($D218="","","** ID not found **"))</f>
        <v/>
      </c>
      <c r="F218" s="33" t="str">
        <f t="array" ref="F218">IFERROR(INDEX('03 Budget'!$D$7:$D$300,MATCH($D218,'03 Budget'!$B$7:$B$300,0)),IF($D218="","","** ID not found **"))</f>
        <v/>
      </c>
      <c r="G218" s="32"/>
      <c r="H218" s="32"/>
      <c r="I218" s="38"/>
      <c r="J218" s="24"/>
      <c r="K218" s="38"/>
      <c r="L218" s="24"/>
      <c r="M218" s="41" t="str">
        <f t="shared" si="2"/>
        <v/>
      </c>
      <c r="N218" s="32"/>
      <c r="O218" s="32"/>
      <c r="P218" s="32"/>
      <c r="Q218" s="32"/>
      <c r="R218" s="32"/>
      <c r="S218" s="32" t="str">
        <f t="shared" si="3"/>
        <v/>
      </c>
      <c r="T218" s="32"/>
      <c r="U218" s="32"/>
    </row>
    <row r="219" ht="16.5" customHeight="1">
      <c r="A219" s="1"/>
      <c r="B219" s="23" t="str">
        <f t="shared" si="1"/>
        <v/>
      </c>
      <c r="C219" s="24"/>
      <c r="D219" s="25"/>
      <c r="E219" s="33" t="str">
        <f t="array" ref="E219">IFERROR(INDEX('03 Budget'!$C$7:$C$300,MATCH($D219,'03 Budget'!$B$7:$B$300,0)),IF($D219="","","** ID not found **"))</f>
        <v/>
      </c>
      <c r="F219" s="33" t="str">
        <f t="array" ref="F219">IFERROR(INDEX('03 Budget'!$D$7:$D$300,MATCH($D219,'03 Budget'!$B$7:$B$300,0)),IF($D219="","","** ID not found **"))</f>
        <v/>
      </c>
      <c r="G219" s="32"/>
      <c r="H219" s="32"/>
      <c r="I219" s="38"/>
      <c r="J219" s="24"/>
      <c r="K219" s="38"/>
      <c r="L219" s="24"/>
      <c r="M219" s="41" t="str">
        <f t="shared" si="2"/>
        <v/>
      </c>
      <c r="N219" s="32"/>
      <c r="O219" s="32"/>
      <c r="P219" s="32"/>
      <c r="Q219" s="32"/>
      <c r="R219" s="32"/>
      <c r="S219" s="32" t="str">
        <f t="shared" si="3"/>
        <v/>
      </c>
      <c r="T219" s="32"/>
      <c r="U219" s="32"/>
    </row>
    <row r="220" ht="16.5" customHeight="1">
      <c r="A220" s="1"/>
      <c r="B220" s="23" t="str">
        <f t="shared" si="1"/>
        <v/>
      </c>
      <c r="C220" s="24"/>
      <c r="D220" s="25"/>
      <c r="E220" s="33" t="str">
        <f t="array" ref="E220">IFERROR(INDEX('03 Budget'!$C$7:$C$300,MATCH($D220,'03 Budget'!$B$7:$B$300,0)),IF($D220="","","** ID not found **"))</f>
        <v/>
      </c>
      <c r="F220" s="33" t="str">
        <f t="array" ref="F220">IFERROR(INDEX('03 Budget'!$D$7:$D$300,MATCH($D220,'03 Budget'!$B$7:$B$300,0)),IF($D220="","","** ID not found **"))</f>
        <v/>
      </c>
      <c r="G220" s="32"/>
      <c r="H220" s="32"/>
      <c r="I220" s="38"/>
      <c r="J220" s="24"/>
      <c r="K220" s="38"/>
      <c r="L220" s="24"/>
      <c r="M220" s="41" t="str">
        <f t="shared" si="2"/>
        <v/>
      </c>
      <c r="N220" s="32"/>
      <c r="O220" s="32"/>
      <c r="P220" s="32"/>
      <c r="Q220" s="32"/>
      <c r="R220" s="32"/>
      <c r="S220" s="32" t="str">
        <f t="shared" si="3"/>
        <v/>
      </c>
      <c r="T220" s="32"/>
      <c r="U220" s="32"/>
    </row>
    <row r="221" ht="16.5" customHeight="1">
      <c r="A221" s="1"/>
      <c r="B221" s="23" t="str">
        <f t="shared" si="1"/>
        <v/>
      </c>
      <c r="C221" s="24"/>
      <c r="D221" s="25"/>
      <c r="E221" s="33" t="str">
        <f t="array" ref="E221">IFERROR(INDEX('03 Budget'!$C$7:$C$300,MATCH($D221,'03 Budget'!$B$7:$B$300,0)),IF($D221="","","** ID not found **"))</f>
        <v/>
      </c>
      <c r="F221" s="33" t="str">
        <f t="array" ref="F221">IFERROR(INDEX('03 Budget'!$D$7:$D$300,MATCH($D221,'03 Budget'!$B$7:$B$300,0)),IF($D221="","","** ID not found **"))</f>
        <v/>
      </c>
      <c r="G221" s="32"/>
      <c r="H221" s="32"/>
      <c r="I221" s="38"/>
      <c r="J221" s="24"/>
      <c r="K221" s="38"/>
      <c r="L221" s="24"/>
      <c r="M221" s="41" t="str">
        <f t="shared" si="2"/>
        <v/>
      </c>
      <c r="N221" s="32"/>
      <c r="O221" s="32"/>
      <c r="P221" s="32"/>
      <c r="Q221" s="32"/>
      <c r="R221" s="32"/>
      <c r="S221" s="32" t="str">
        <f t="shared" si="3"/>
        <v/>
      </c>
      <c r="T221" s="32"/>
      <c r="U221" s="32"/>
    </row>
    <row r="222" ht="16.5" customHeight="1">
      <c r="A222" s="1"/>
      <c r="B222" s="23" t="str">
        <f t="shared" si="1"/>
        <v/>
      </c>
      <c r="C222" s="24"/>
      <c r="D222" s="25"/>
      <c r="E222" s="33" t="str">
        <f t="array" ref="E222">IFERROR(INDEX('03 Budget'!$C$7:$C$300,MATCH($D222,'03 Budget'!$B$7:$B$300,0)),IF($D222="","","** ID not found **"))</f>
        <v/>
      </c>
      <c r="F222" s="33" t="str">
        <f t="array" ref="F222">IFERROR(INDEX('03 Budget'!$D$7:$D$300,MATCH($D222,'03 Budget'!$B$7:$B$300,0)),IF($D222="","","** ID not found **"))</f>
        <v/>
      </c>
      <c r="G222" s="32"/>
      <c r="H222" s="32"/>
      <c r="I222" s="38"/>
      <c r="J222" s="24"/>
      <c r="K222" s="38"/>
      <c r="L222" s="24"/>
      <c r="M222" s="41" t="str">
        <f t="shared" si="2"/>
        <v/>
      </c>
      <c r="N222" s="32"/>
      <c r="O222" s="32"/>
      <c r="P222" s="32"/>
      <c r="Q222" s="32"/>
      <c r="R222" s="32"/>
      <c r="S222" s="32" t="str">
        <f t="shared" si="3"/>
        <v/>
      </c>
      <c r="T222" s="32"/>
      <c r="U222" s="32"/>
    </row>
    <row r="223" ht="16.5" customHeight="1">
      <c r="A223" s="1"/>
      <c r="B223" s="23" t="str">
        <f t="shared" si="1"/>
        <v/>
      </c>
      <c r="C223" s="24"/>
      <c r="D223" s="25"/>
      <c r="E223" s="33" t="str">
        <f t="array" ref="E223">IFERROR(INDEX('03 Budget'!$C$7:$C$300,MATCH($D223,'03 Budget'!$B$7:$B$300,0)),IF($D223="","","** ID not found **"))</f>
        <v/>
      </c>
      <c r="F223" s="33" t="str">
        <f t="array" ref="F223">IFERROR(INDEX('03 Budget'!$D$7:$D$300,MATCH($D223,'03 Budget'!$B$7:$B$300,0)),IF($D223="","","** ID not found **"))</f>
        <v/>
      </c>
      <c r="G223" s="32"/>
      <c r="H223" s="32"/>
      <c r="I223" s="38"/>
      <c r="J223" s="24"/>
      <c r="K223" s="38"/>
      <c r="L223" s="24"/>
      <c r="M223" s="41" t="str">
        <f t="shared" si="2"/>
        <v/>
      </c>
      <c r="N223" s="32"/>
      <c r="O223" s="32"/>
      <c r="P223" s="32"/>
      <c r="Q223" s="32"/>
      <c r="R223" s="32"/>
      <c r="S223" s="32" t="str">
        <f t="shared" si="3"/>
        <v/>
      </c>
      <c r="T223" s="32"/>
      <c r="U223" s="32"/>
    </row>
    <row r="224" ht="16.5" customHeight="1">
      <c r="A224" s="1"/>
      <c r="B224" s="23" t="str">
        <f t="shared" si="1"/>
        <v/>
      </c>
      <c r="C224" s="24"/>
      <c r="D224" s="25"/>
      <c r="E224" s="33" t="str">
        <f t="array" ref="E224">IFERROR(INDEX('03 Budget'!$C$7:$C$300,MATCH($D224,'03 Budget'!$B$7:$B$300,0)),IF($D224="","","** ID not found **"))</f>
        <v/>
      </c>
      <c r="F224" s="33" t="str">
        <f t="array" ref="F224">IFERROR(INDEX('03 Budget'!$D$7:$D$300,MATCH($D224,'03 Budget'!$B$7:$B$300,0)),IF($D224="","","** ID not found **"))</f>
        <v/>
      </c>
      <c r="G224" s="32"/>
      <c r="H224" s="32"/>
      <c r="I224" s="38"/>
      <c r="J224" s="24"/>
      <c r="K224" s="38"/>
      <c r="L224" s="24"/>
      <c r="M224" s="41" t="str">
        <f t="shared" si="2"/>
        <v/>
      </c>
      <c r="N224" s="32"/>
      <c r="O224" s="32"/>
      <c r="P224" s="32"/>
      <c r="Q224" s="32"/>
      <c r="R224" s="32"/>
      <c r="S224" s="32" t="str">
        <f t="shared" si="3"/>
        <v/>
      </c>
      <c r="T224" s="32"/>
      <c r="U224" s="32"/>
    </row>
    <row r="225" ht="16.5" customHeight="1">
      <c r="A225" s="1"/>
      <c r="B225" s="23" t="str">
        <f t="shared" si="1"/>
        <v/>
      </c>
      <c r="C225" s="24"/>
      <c r="D225" s="25"/>
      <c r="E225" s="33" t="str">
        <f t="array" ref="E225">IFERROR(INDEX('03 Budget'!$C$7:$C$300,MATCH($D225,'03 Budget'!$B$7:$B$300,0)),IF($D225="","","** ID not found **"))</f>
        <v/>
      </c>
      <c r="F225" s="33" t="str">
        <f t="array" ref="F225">IFERROR(INDEX('03 Budget'!$D$7:$D$300,MATCH($D225,'03 Budget'!$B$7:$B$300,0)),IF($D225="","","** ID not found **"))</f>
        <v/>
      </c>
      <c r="G225" s="32"/>
      <c r="H225" s="32"/>
      <c r="I225" s="38"/>
      <c r="J225" s="24"/>
      <c r="K225" s="38"/>
      <c r="L225" s="24"/>
      <c r="M225" s="41" t="str">
        <f t="shared" si="2"/>
        <v/>
      </c>
      <c r="N225" s="32"/>
      <c r="O225" s="32"/>
      <c r="P225" s="32"/>
      <c r="Q225" s="32"/>
      <c r="R225" s="32"/>
      <c r="S225" s="32" t="str">
        <f t="shared" si="3"/>
        <v/>
      </c>
      <c r="T225" s="32"/>
      <c r="U225" s="32"/>
    </row>
    <row r="226" ht="16.5" customHeight="1">
      <c r="A226" s="1"/>
      <c r="B226" s="23" t="str">
        <f t="shared" si="1"/>
        <v/>
      </c>
      <c r="C226" s="24"/>
      <c r="D226" s="25"/>
      <c r="E226" s="33" t="str">
        <f t="array" ref="E226">IFERROR(INDEX('03 Budget'!$C$7:$C$300,MATCH($D226,'03 Budget'!$B$7:$B$300,0)),IF($D226="","","** ID not found **"))</f>
        <v/>
      </c>
      <c r="F226" s="33" t="str">
        <f t="array" ref="F226">IFERROR(INDEX('03 Budget'!$D$7:$D$300,MATCH($D226,'03 Budget'!$B$7:$B$300,0)),IF($D226="","","** ID not found **"))</f>
        <v/>
      </c>
      <c r="G226" s="32"/>
      <c r="H226" s="32"/>
      <c r="I226" s="38"/>
      <c r="J226" s="24"/>
      <c r="K226" s="38"/>
      <c r="L226" s="24"/>
      <c r="M226" s="41" t="str">
        <f t="shared" si="2"/>
        <v/>
      </c>
      <c r="N226" s="32"/>
      <c r="O226" s="32"/>
      <c r="P226" s="32"/>
      <c r="Q226" s="32"/>
      <c r="R226" s="32"/>
      <c r="S226" s="32" t="str">
        <f t="shared" si="3"/>
        <v/>
      </c>
      <c r="T226" s="32"/>
      <c r="U226" s="32"/>
    </row>
    <row r="227" ht="16.5" customHeight="1">
      <c r="A227" s="1"/>
      <c r="B227" s="23" t="str">
        <f t="shared" si="1"/>
        <v/>
      </c>
      <c r="C227" s="24"/>
      <c r="D227" s="25"/>
      <c r="E227" s="33" t="str">
        <f t="array" ref="E227">IFERROR(INDEX('03 Budget'!$C$7:$C$300,MATCH($D227,'03 Budget'!$B$7:$B$300,0)),IF($D227="","","** ID not found **"))</f>
        <v/>
      </c>
      <c r="F227" s="33" t="str">
        <f t="array" ref="F227">IFERROR(INDEX('03 Budget'!$D$7:$D$300,MATCH($D227,'03 Budget'!$B$7:$B$300,0)),IF($D227="","","** ID not found **"))</f>
        <v/>
      </c>
      <c r="G227" s="32"/>
      <c r="H227" s="32"/>
      <c r="I227" s="38"/>
      <c r="J227" s="24"/>
      <c r="K227" s="38"/>
      <c r="L227" s="24"/>
      <c r="M227" s="41" t="str">
        <f t="shared" si="2"/>
        <v/>
      </c>
      <c r="N227" s="32"/>
      <c r="O227" s="32"/>
      <c r="P227" s="32"/>
      <c r="Q227" s="32"/>
      <c r="R227" s="32"/>
      <c r="S227" s="32" t="str">
        <f t="shared" si="3"/>
        <v/>
      </c>
      <c r="T227" s="32"/>
      <c r="U227" s="32"/>
    </row>
    <row r="228" ht="16.5" customHeight="1">
      <c r="A228" s="1"/>
      <c r="B228" s="23" t="str">
        <f t="shared" si="1"/>
        <v/>
      </c>
      <c r="C228" s="24"/>
      <c r="D228" s="25"/>
      <c r="E228" s="33" t="str">
        <f t="array" ref="E228">IFERROR(INDEX('03 Budget'!$C$7:$C$300,MATCH($D228,'03 Budget'!$B$7:$B$300,0)),IF($D228="","","** ID not found **"))</f>
        <v/>
      </c>
      <c r="F228" s="33" t="str">
        <f t="array" ref="F228">IFERROR(INDEX('03 Budget'!$D$7:$D$300,MATCH($D228,'03 Budget'!$B$7:$B$300,0)),IF($D228="","","** ID not found **"))</f>
        <v/>
      </c>
      <c r="G228" s="32"/>
      <c r="H228" s="32"/>
      <c r="I228" s="38"/>
      <c r="J228" s="24"/>
      <c r="K228" s="38"/>
      <c r="L228" s="24"/>
      <c r="M228" s="41" t="str">
        <f t="shared" si="2"/>
        <v/>
      </c>
      <c r="N228" s="32"/>
      <c r="O228" s="32"/>
      <c r="P228" s="32"/>
      <c r="Q228" s="32"/>
      <c r="R228" s="32"/>
      <c r="S228" s="32" t="str">
        <f t="shared" si="3"/>
        <v/>
      </c>
      <c r="T228" s="32"/>
      <c r="U228" s="32"/>
    </row>
    <row r="229" ht="16.5" customHeight="1">
      <c r="A229" s="1"/>
      <c r="B229" s="23" t="str">
        <f t="shared" si="1"/>
        <v/>
      </c>
      <c r="C229" s="24"/>
      <c r="D229" s="25"/>
      <c r="E229" s="33" t="str">
        <f t="array" ref="E229">IFERROR(INDEX('03 Budget'!$C$7:$C$300,MATCH($D229,'03 Budget'!$B$7:$B$300,0)),IF($D229="","","** ID not found **"))</f>
        <v/>
      </c>
      <c r="F229" s="33" t="str">
        <f t="array" ref="F229">IFERROR(INDEX('03 Budget'!$D$7:$D$300,MATCH($D229,'03 Budget'!$B$7:$B$300,0)),IF($D229="","","** ID not found **"))</f>
        <v/>
      </c>
      <c r="G229" s="32"/>
      <c r="H229" s="32"/>
      <c r="I229" s="38"/>
      <c r="J229" s="24"/>
      <c r="K229" s="38"/>
      <c r="L229" s="24"/>
      <c r="M229" s="41" t="str">
        <f t="shared" si="2"/>
        <v/>
      </c>
      <c r="N229" s="32"/>
      <c r="O229" s="32"/>
      <c r="P229" s="32"/>
      <c r="Q229" s="32"/>
      <c r="R229" s="32"/>
      <c r="S229" s="32" t="str">
        <f t="shared" si="3"/>
        <v/>
      </c>
      <c r="T229" s="32"/>
      <c r="U229" s="32"/>
    </row>
    <row r="230" ht="16.5" customHeight="1">
      <c r="A230" s="1"/>
      <c r="B230" s="23" t="str">
        <f t="shared" si="1"/>
        <v/>
      </c>
      <c r="C230" s="24"/>
      <c r="D230" s="25"/>
      <c r="E230" s="33" t="str">
        <f t="array" ref="E230">IFERROR(INDEX('03 Budget'!$C$7:$C$300,MATCH($D230,'03 Budget'!$B$7:$B$300,0)),IF($D230="","","** ID not found **"))</f>
        <v/>
      </c>
      <c r="F230" s="33" t="str">
        <f t="array" ref="F230">IFERROR(INDEX('03 Budget'!$D$7:$D$300,MATCH($D230,'03 Budget'!$B$7:$B$300,0)),IF($D230="","","** ID not found **"))</f>
        <v/>
      </c>
      <c r="G230" s="32"/>
      <c r="H230" s="32"/>
      <c r="I230" s="38"/>
      <c r="J230" s="24"/>
      <c r="K230" s="38"/>
      <c r="L230" s="24"/>
      <c r="M230" s="41" t="str">
        <f t="shared" si="2"/>
        <v/>
      </c>
      <c r="N230" s="32"/>
      <c r="O230" s="32"/>
      <c r="P230" s="32"/>
      <c r="Q230" s="32"/>
      <c r="R230" s="32"/>
      <c r="S230" s="32" t="str">
        <f t="shared" si="3"/>
        <v/>
      </c>
      <c r="T230" s="32"/>
      <c r="U230" s="32"/>
    </row>
    <row r="231" ht="16.5" customHeight="1">
      <c r="A231" s="1"/>
      <c r="B231" s="23" t="str">
        <f t="shared" si="1"/>
        <v/>
      </c>
      <c r="C231" s="24"/>
      <c r="D231" s="25"/>
      <c r="E231" s="33" t="str">
        <f t="array" ref="E231">IFERROR(INDEX('03 Budget'!$C$7:$C$300,MATCH($D231,'03 Budget'!$B$7:$B$300,0)),IF($D231="","","** ID not found **"))</f>
        <v/>
      </c>
      <c r="F231" s="33" t="str">
        <f t="array" ref="F231">IFERROR(INDEX('03 Budget'!$D$7:$D$300,MATCH($D231,'03 Budget'!$B$7:$B$300,0)),IF($D231="","","** ID not found **"))</f>
        <v/>
      </c>
      <c r="G231" s="32"/>
      <c r="H231" s="32"/>
      <c r="I231" s="38"/>
      <c r="J231" s="24"/>
      <c r="K231" s="38"/>
      <c r="L231" s="24"/>
      <c r="M231" s="41" t="str">
        <f t="shared" si="2"/>
        <v/>
      </c>
      <c r="N231" s="32"/>
      <c r="O231" s="32"/>
      <c r="P231" s="32"/>
      <c r="Q231" s="32"/>
      <c r="R231" s="32"/>
      <c r="S231" s="32" t="str">
        <f t="shared" si="3"/>
        <v/>
      </c>
      <c r="T231" s="32"/>
      <c r="U231" s="32"/>
    </row>
    <row r="232" ht="16.5" customHeight="1">
      <c r="A232" s="1"/>
      <c r="B232" s="23" t="str">
        <f t="shared" si="1"/>
        <v/>
      </c>
      <c r="C232" s="24"/>
      <c r="D232" s="25"/>
      <c r="E232" s="33" t="str">
        <f t="array" ref="E232">IFERROR(INDEX('03 Budget'!$C$7:$C$300,MATCH($D232,'03 Budget'!$B$7:$B$300,0)),IF($D232="","","** ID not found **"))</f>
        <v/>
      </c>
      <c r="F232" s="33" t="str">
        <f t="array" ref="F232">IFERROR(INDEX('03 Budget'!$D$7:$D$300,MATCH($D232,'03 Budget'!$B$7:$B$300,0)),IF($D232="","","** ID not found **"))</f>
        <v/>
      </c>
      <c r="G232" s="32"/>
      <c r="H232" s="32"/>
      <c r="I232" s="38"/>
      <c r="J232" s="24"/>
      <c r="K232" s="38"/>
      <c r="L232" s="24"/>
      <c r="M232" s="41" t="str">
        <f t="shared" si="2"/>
        <v/>
      </c>
      <c r="N232" s="32"/>
      <c r="O232" s="32"/>
      <c r="P232" s="32"/>
      <c r="Q232" s="32"/>
      <c r="R232" s="32"/>
      <c r="S232" s="32" t="str">
        <f t="shared" si="3"/>
        <v/>
      </c>
      <c r="T232" s="32"/>
      <c r="U232" s="32"/>
    </row>
    <row r="233" ht="16.5" customHeight="1">
      <c r="A233" s="1"/>
      <c r="B233" s="23" t="str">
        <f t="shared" si="1"/>
        <v/>
      </c>
      <c r="C233" s="24"/>
      <c r="D233" s="25"/>
      <c r="E233" s="33" t="str">
        <f t="array" ref="E233">IFERROR(INDEX('03 Budget'!$C$7:$C$300,MATCH($D233,'03 Budget'!$B$7:$B$300,0)),IF($D233="","","** ID not found **"))</f>
        <v/>
      </c>
      <c r="F233" s="33" t="str">
        <f t="array" ref="F233">IFERROR(INDEX('03 Budget'!$D$7:$D$300,MATCH($D233,'03 Budget'!$B$7:$B$300,0)),IF($D233="","","** ID not found **"))</f>
        <v/>
      </c>
      <c r="G233" s="32"/>
      <c r="H233" s="32"/>
      <c r="I233" s="38"/>
      <c r="J233" s="24"/>
      <c r="K233" s="38"/>
      <c r="L233" s="24"/>
      <c r="M233" s="41" t="str">
        <f t="shared" si="2"/>
        <v/>
      </c>
      <c r="N233" s="32"/>
      <c r="O233" s="32"/>
      <c r="P233" s="32"/>
      <c r="Q233" s="32"/>
      <c r="R233" s="32"/>
      <c r="S233" s="32" t="str">
        <f t="shared" si="3"/>
        <v/>
      </c>
      <c r="T233" s="32"/>
      <c r="U233" s="32"/>
    </row>
    <row r="234" ht="16.5" customHeight="1">
      <c r="A234" s="1"/>
      <c r="B234" s="23" t="str">
        <f t="shared" si="1"/>
        <v/>
      </c>
      <c r="C234" s="24"/>
      <c r="D234" s="25"/>
      <c r="E234" s="33" t="str">
        <f t="array" ref="E234">IFERROR(INDEX('03 Budget'!$C$7:$C$300,MATCH($D234,'03 Budget'!$B$7:$B$300,0)),IF($D234="","","** ID not found **"))</f>
        <v/>
      </c>
      <c r="F234" s="33" t="str">
        <f t="array" ref="F234">IFERROR(INDEX('03 Budget'!$D$7:$D$300,MATCH($D234,'03 Budget'!$B$7:$B$300,0)),IF($D234="","","** ID not found **"))</f>
        <v/>
      </c>
      <c r="G234" s="32"/>
      <c r="H234" s="32"/>
      <c r="I234" s="38"/>
      <c r="J234" s="24"/>
      <c r="K234" s="38"/>
      <c r="L234" s="24"/>
      <c r="M234" s="41" t="str">
        <f t="shared" si="2"/>
        <v/>
      </c>
      <c r="N234" s="32"/>
      <c r="O234" s="32"/>
      <c r="P234" s="32"/>
      <c r="Q234" s="32"/>
      <c r="R234" s="32"/>
      <c r="S234" s="32" t="str">
        <f t="shared" si="3"/>
        <v/>
      </c>
      <c r="T234" s="32"/>
      <c r="U234" s="32"/>
    </row>
    <row r="235" ht="16.5" customHeight="1">
      <c r="A235" s="1"/>
      <c r="B235" s="23" t="str">
        <f t="shared" si="1"/>
        <v/>
      </c>
      <c r="C235" s="24"/>
      <c r="D235" s="25"/>
      <c r="E235" s="33" t="str">
        <f t="array" ref="E235">IFERROR(INDEX('03 Budget'!$C$7:$C$300,MATCH($D235,'03 Budget'!$B$7:$B$300,0)),IF($D235="","","** ID not found **"))</f>
        <v/>
      </c>
      <c r="F235" s="33" t="str">
        <f t="array" ref="F235">IFERROR(INDEX('03 Budget'!$D$7:$D$300,MATCH($D235,'03 Budget'!$B$7:$B$300,0)),IF($D235="","","** ID not found **"))</f>
        <v/>
      </c>
      <c r="G235" s="32"/>
      <c r="H235" s="32"/>
      <c r="I235" s="38"/>
      <c r="J235" s="24"/>
      <c r="K235" s="38"/>
      <c r="L235" s="24"/>
      <c r="M235" s="41" t="str">
        <f t="shared" si="2"/>
        <v/>
      </c>
      <c r="N235" s="32"/>
      <c r="O235" s="32"/>
      <c r="P235" s="32"/>
      <c r="Q235" s="32"/>
      <c r="R235" s="32"/>
      <c r="S235" s="32" t="str">
        <f t="shared" si="3"/>
        <v/>
      </c>
      <c r="T235" s="32"/>
      <c r="U235" s="32"/>
    </row>
    <row r="236" ht="16.5" customHeight="1">
      <c r="A236" s="1"/>
      <c r="B236" s="23" t="str">
        <f t="shared" si="1"/>
        <v/>
      </c>
      <c r="C236" s="24"/>
      <c r="D236" s="25"/>
      <c r="E236" s="33" t="str">
        <f t="array" ref="E236">IFERROR(INDEX('03 Budget'!$C$7:$C$300,MATCH($D236,'03 Budget'!$B$7:$B$300,0)),IF($D236="","","** ID not found **"))</f>
        <v/>
      </c>
      <c r="F236" s="33" t="str">
        <f t="array" ref="F236">IFERROR(INDEX('03 Budget'!$D$7:$D$300,MATCH($D236,'03 Budget'!$B$7:$B$300,0)),IF($D236="","","** ID not found **"))</f>
        <v/>
      </c>
      <c r="G236" s="32"/>
      <c r="H236" s="32"/>
      <c r="I236" s="38"/>
      <c r="J236" s="24"/>
      <c r="K236" s="38"/>
      <c r="L236" s="24"/>
      <c r="M236" s="41" t="str">
        <f t="shared" si="2"/>
        <v/>
      </c>
      <c r="N236" s="32"/>
      <c r="O236" s="32"/>
      <c r="P236" s="32"/>
      <c r="Q236" s="32"/>
      <c r="R236" s="32"/>
      <c r="S236" s="32" t="str">
        <f t="shared" si="3"/>
        <v/>
      </c>
      <c r="T236" s="32"/>
      <c r="U236" s="32"/>
    </row>
    <row r="237" ht="16.5" customHeight="1">
      <c r="A237" s="1"/>
      <c r="B237" s="23" t="str">
        <f t="shared" si="1"/>
        <v/>
      </c>
      <c r="C237" s="24"/>
      <c r="D237" s="25"/>
      <c r="E237" s="33" t="str">
        <f t="array" ref="E237">IFERROR(INDEX('03 Budget'!$C$7:$C$300,MATCH($D237,'03 Budget'!$B$7:$B$300,0)),IF($D237="","","** ID not found **"))</f>
        <v/>
      </c>
      <c r="F237" s="33" t="str">
        <f t="array" ref="F237">IFERROR(INDEX('03 Budget'!$D$7:$D$300,MATCH($D237,'03 Budget'!$B$7:$B$300,0)),IF($D237="","","** ID not found **"))</f>
        <v/>
      </c>
      <c r="G237" s="32"/>
      <c r="H237" s="32"/>
      <c r="I237" s="38"/>
      <c r="J237" s="24"/>
      <c r="K237" s="38"/>
      <c r="L237" s="24"/>
      <c r="M237" s="41" t="str">
        <f t="shared" si="2"/>
        <v/>
      </c>
      <c r="N237" s="32"/>
      <c r="O237" s="32"/>
      <c r="P237" s="32"/>
      <c r="Q237" s="32"/>
      <c r="R237" s="32"/>
      <c r="S237" s="32" t="str">
        <f t="shared" si="3"/>
        <v/>
      </c>
      <c r="T237" s="32"/>
      <c r="U237" s="32"/>
    </row>
    <row r="238" ht="16.5" customHeight="1">
      <c r="A238" s="1"/>
      <c r="B238" s="23" t="str">
        <f t="shared" si="1"/>
        <v/>
      </c>
      <c r="C238" s="24"/>
      <c r="D238" s="25"/>
      <c r="E238" s="33" t="str">
        <f t="array" ref="E238">IFERROR(INDEX('03 Budget'!$C$7:$C$300,MATCH($D238,'03 Budget'!$B$7:$B$300,0)),IF($D238="","","** ID not found **"))</f>
        <v/>
      </c>
      <c r="F238" s="33" t="str">
        <f t="array" ref="F238">IFERROR(INDEX('03 Budget'!$D$7:$D$300,MATCH($D238,'03 Budget'!$B$7:$B$300,0)),IF($D238="","","** ID not found **"))</f>
        <v/>
      </c>
      <c r="G238" s="32"/>
      <c r="H238" s="32"/>
      <c r="I238" s="38"/>
      <c r="J238" s="24"/>
      <c r="K238" s="38"/>
      <c r="L238" s="24"/>
      <c r="M238" s="41" t="str">
        <f t="shared" si="2"/>
        <v/>
      </c>
      <c r="N238" s="32"/>
      <c r="O238" s="32"/>
      <c r="P238" s="32"/>
      <c r="Q238" s="32"/>
      <c r="R238" s="32"/>
      <c r="S238" s="32" t="str">
        <f t="shared" si="3"/>
        <v/>
      </c>
      <c r="T238" s="32"/>
      <c r="U238" s="32"/>
    </row>
    <row r="239" ht="16.5" customHeight="1">
      <c r="A239" s="1"/>
      <c r="B239" s="23" t="str">
        <f t="shared" si="1"/>
        <v/>
      </c>
      <c r="C239" s="24"/>
      <c r="D239" s="25"/>
      <c r="E239" s="33" t="str">
        <f t="array" ref="E239">IFERROR(INDEX('03 Budget'!$C$7:$C$300,MATCH($D239,'03 Budget'!$B$7:$B$300,0)),IF($D239="","","** ID not found **"))</f>
        <v/>
      </c>
      <c r="F239" s="33" t="str">
        <f t="array" ref="F239">IFERROR(INDEX('03 Budget'!$D$7:$D$300,MATCH($D239,'03 Budget'!$B$7:$B$300,0)),IF($D239="","","** ID not found **"))</f>
        <v/>
      </c>
      <c r="G239" s="32"/>
      <c r="H239" s="32"/>
      <c r="I239" s="38"/>
      <c r="J239" s="24"/>
      <c r="K239" s="38"/>
      <c r="L239" s="24"/>
      <c r="M239" s="41" t="str">
        <f t="shared" si="2"/>
        <v/>
      </c>
      <c r="N239" s="32"/>
      <c r="O239" s="32"/>
      <c r="P239" s="32"/>
      <c r="Q239" s="32"/>
      <c r="R239" s="32"/>
      <c r="S239" s="32" t="str">
        <f t="shared" si="3"/>
        <v/>
      </c>
      <c r="T239" s="32"/>
      <c r="U239" s="32"/>
    </row>
    <row r="240" ht="16.5" customHeight="1">
      <c r="A240" s="1"/>
      <c r="B240" s="23" t="str">
        <f t="shared" si="1"/>
        <v/>
      </c>
      <c r="C240" s="24"/>
      <c r="D240" s="25"/>
      <c r="E240" s="33" t="str">
        <f t="array" ref="E240">IFERROR(INDEX('03 Budget'!$C$7:$C$300,MATCH($D240,'03 Budget'!$B$7:$B$300,0)),IF($D240="","","** ID not found **"))</f>
        <v/>
      </c>
      <c r="F240" s="33" t="str">
        <f t="array" ref="F240">IFERROR(INDEX('03 Budget'!$D$7:$D$300,MATCH($D240,'03 Budget'!$B$7:$B$300,0)),IF($D240="","","** ID not found **"))</f>
        <v/>
      </c>
      <c r="G240" s="32"/>
      <c r="H240" s="32"/>
      <c r="I240" s="38"/>
      <c r="J240" s="24"/>
      <c r="K240" s="38"/>
      <c r="L240" s="24"/>
      <c r="M240" s="41" t="str">
        <f t="shared" si="2"/>
        <v/>
      </c>
      <c r="N240" s="32"/>
      <c r="O240" s="32"/>
      <c r="P240" s="32"/>
      <c r="Q240" s="32"/>
      <c r="R240" s="32"/>
      <c r="S240" s="32" t="str">
        <f t="shared" si="3"/>
        <v/>
      </c>
      <c r="T240" s="32"/>
      <c r="U240" s="32"/>
    </row>
    <row r="241" ht="16.5" customHeight="1">
      <c r="A241" s="1"/>
      <c r="B241" s="23" t="str">
        <f t="shared" si="1"/>
        <v/>
      </c>
      <c r="C241" s="24"/>
      <c r="D241" s="25"/>
      <c r="E241" s="33" t="str">
        <f t="array" ref="E241">IFERROR(INDEX('03 Budget'!$C$7:$C$300,MATCH($D241,'03 Budget'!$B$7:$B$300,0)),IF($D241="","","** ID not found **"))</f>
        <v/>
      </c>
      <c r="F241" s="33" t="str">
        <f t="array" ref="F241">IFERROR(INDEX('03 Budget'!$D$7:$D$300,MATCH($D241,'03 Budget'!$B$7:$B$300,0)),IF($D241="","","** ID not found **"))</f>
        <v/>
      </c>
      <c r="G241" s="32"/>
      <c r="H241" s="32"/>
      <c r="I241" s="38"/>
      <c r="J241" s="24"/>
      <c r="K241" s="38"/>
      <c r="L241" s="24"/>
      <c r="M241" s="41" t="str">
        <f t="shared" si="2"/>
        <v/>
      </c>
      <c r="N241" s="32"/>
      <c r="O241" s="32"/>
      <c r="P241" s="32"/>
      <c r="Q241" s="32"/>
      <c r="R241" s="32"/>
      <c r="S241" s="32" t="str">
        <f t="shared" si="3"/>
        <v/>
      </c>
      <c r="T241" s="32"/>
      <c r="U241" s="32"/>
    </row>
    <row r="242" ht="16.5" customHeight="1">
      <c r="A242" s="1"/>
      <c r="B242" s="23" t="str">
        <f t="shared" si="1"/>
        <v/>
      </c>
      <c r="C242" s="24"/>
      <c r="D242" s="25"/>
      <c r="E242" s="33" t="str">
        <f t="array" ref="E242">IFERROR(INDEX('03 Budget'!$C$7:$C$300,MATCH($D242,'03 Budget'!$B$7:$B$300,0)),IF($D242="","","** ID not found **"))</f>
        <v/>
      </c>
      <c r="F242" s="33" t="str">
        <f t="array" ref="F242">IFERROR(INDEX('03 Budget'!$D$7:$D$300,MATCH($D242,'03 Budget'!$B$7:$B$300,0)),IF($D242="","","** ID not found **"))</f>
        <v/>
      </c>
      <c r="G242" s="32"/>
      <c r="H242" s="32"/>
      <c r="I242" s="38"/>
      <c r="J242" s="24"/>
      <c r="K242" s="38"/>
      <c r="L242" s="24"/>
      <c r="M242" s="41" t="str">
        <f t="shared" si="2"/>
        <v/>
      </c>
      <c r="N242" s="32"/>
      <c r="O242" s="32"/>
      <c r="P242" s="32"/>
      <c r="Q242" s="32"/>
      <c r="R242" s="32"/>
      <c r="S242" s="32" t="str">
        <f t="shared" si="3"/>
        <v/>
      </c>
      <c r="T242" s="32"/>
      <c r="U242" s="32"/>
    </row>
    <row r="243" ht="16.5" customHeight="1">
      <c r="A243" s="1"/>
      <c r="B243" s="23" t="str">
        <f t="shared" si="1"/>
        <v/>
      </c>
      <c r="C243" s="24"/>
      <c r="D243" s="25"/>
      <c r="E243" s="33" t="str">
        <f t="array" ref="E243">IFERROR(INDEX('03 Budget'!$C$7:$C$300,MATCH($D243,'03 Budget'!$B$7:$B$300,0)),IF($D243="","","** ID not found **"))</f>
        <v/>
      </c>
      <c r="F243" s="33" t="str">
        <f t="array" ref="F243">IFERROR(INDEX('03 Budget'!$D$7:$D$300,MATCH($D243,'03 Budget'!$B$7:$B$300,0)),IF($D243="","","** ID not found **"))</f>
        <v/>
      </c>
      <c r="G243" s="32"/>
      <c r="H243" s="32"/>
      <c r="I243" s="38"/>
      <c r="J243" s="24"/>
      <c r="K243" s="38"/>
      <c r="L243" s="24"/>
      <c r="M243" s="41" t="str">
        <f t="shared" si="2"/>
        <v/>
      </c>
      <c r="N243" s="32"/>
      <c r="O243" s="32"/>
      <c r="P243" s="32"/>
      <c r="Q243" s="32"/>
      <c r="R243" s="32"/>
      <c r="S243" s="32" t="str">
        <f t="shared" si="3"/>
        <v/>
      </c>
      <c r="T243" s="32"/>
      <c r="U243" s="32"/>
    </row>
    <row r="244" ht="16.5" customHeight="1">
      <c r="A244" s="1"/>
      <c r="B244" s="23" t="str">
        <f t="shared" si="1"/>
        <v/>
      </c>
      <c r="C244" s="24"/>
      <c r="D244" s="25"/>
      <c r="E244" s="33" t="str">
        <f t="array" ref="E244">IFERROR(INDEX('03 Budget'!$C$7:$C$300,MATCH($D244,'03 Budget'!$B$7:$B$300,0)),IF($D244="","","** ID not found **"))</f>
        <v/>
      </c>
      <c r="F244" s="33" t="str">
        <f t="array" ref="F244">IFERROR(INDEX('03 Budget'!$D$7:$D$300,MATCH($D244,'03 Budget'!$B$7:$B$300,0)),IF($D244="","","** ID not found **"))</f>
        <v/>
      </c>
      <c r="G244" s="32"/>
      <c r="H244" s="32"/>
      <c r="I244" s="38"/>
      <c r="J244" s="24"/>
      <c r="K244" s="38"/>
      <c r="L244" s="24"/>
      <c r="M244" s="41" t="str">
        <f t="shared" si="2"/>
        <v/>
      </c>
      <c r="N244" s="32"/>
      <c r="O244" s="32"/>
      <c r="P244" s="32"/>
      <c r="Q244" s="32"/>
      <c r="R244" s="32"/>
      <c r="S244" s="32" t="str">
        <f t="shared" si="3"/>
        <v/>
      </c>
      <c r="T244" s="32"/>
      <c r="U244" s="32"/>
    </row>
    <row r="245" ht="16.5" customHeight="1">
      <c r="A245" s="1"/>
      <c r="B245" s="23" t="str">
        <f t="shared" si="1"/>
        <v/>
      </c>
      <c r="C245" s="24"/>
      <c r="D245" s="25"/>
      <c r="E245" s="33" t="str">
        <f t="array" ref="E245">IFERROR(INDEX('03 Budget'!$C$7:$C$300,MATCH($D245,'03 Budget'!$B$7:$B$300,0)),IF($D245="","","** ID not found **"))</f>
        <v/>
      </c>
      <c r="F245" s="33" t="str">
        <f t="array" ref="F245">IFERROR(INDEX('03 Budget'!$D$7:$D$300,MATCH($D245,'03 Budget'!$B$7:$B$300,0)),IF($D245="","","** ID not found **"))</f>
        <v/>
      </c>
      <c r="G245" s="32"/>
      <c r="H245" s="32"/>
      <c r="I245" s="38"/>
      <c r="J245" s="24"/>
      <c r="K245" s="38"/>
      <c r="L245" s="24"/>
      <c r="M245" s="41" t="str">
        <f t="shared" si="2"/>
        <v/>
      </c>
      <c r="N245" s="32"/>
      <c r="O245" s="32"/>
      <c r="P245" s="32"/>
      <c r="Q245" s="32"/>
      <c r="R245" s="32"/>
      <c r="S245" s="32" t="str">
        <f t="shared" si="3"/>
        <v/>
      </c>
      <c r="T245" s="32"/>
      <c r="U245" s="32"/>
    </row>
    <row r="246" ht="16.5" customHeight="1">
      <c r="A246" s="1"/>
      <c r="B246" s="23" t="str">
        <f t="shared" si="1"/>
        <v/>
      </c>
      <c r="C246" s="24"/>
      <c r="D246" s="25"/>
      <c r="E246" s="33" t="str">
        <f t="array" ref="E246">IFERROR(INDEX('03 Budget'!$C$7:$C$300,MATCH($D246,'03 Budget'!$B$7:$B$300,0)),IF($D246="","","** ID not found **"))</f>
        <v/>
      </c>
      <c r="F246" s="33" t="str">
        <f t="array" ref="F246">IFERROR(INDEX('03 Budget'!$D$7:$D$300,MATCH($D246,'03 Budget'!$B$7:$B$300,0)),IF($D246="","","** ID not found **"))</f>
        <v/>
      </c>
      <c r="G246" s="32"/>
      <c r="H246" s="32"/>
      <c r="I246" s="38"/>
      <c r="J246" s="24"/>
      <c r="K246" s="38"/>
      <c r="L246" s="24"/>
      <c r="M246" s="41" t="str">
        <f t="shared" si="2"/>
        <v/>
      </c>
      <c r="N246" s="32"/>
      <c r="O246" s="32"/>
      <c r="P246" s="32"/>
      <c r="Q246" s="32"/>
      <c r="R246" s="32"/>
      <c r="S246" s="32" t="str">
        <f t="shared" si="3"/>
        <v/>
      </c>
      <c r="T246" s="32"/>
      <c r="U246" s="32"/>
    </row>
    <row r="247" ht="16.5" customHeight="1">
      <c r="A247" s="1"/>
      <c r="B247" s="23" t="str">
        <f t="shared" si="1"/>
        <v/>
      </c>
      <c r="C247" s="24"/>
      <c r="D247" s="25"/>
      <c r="E247" s="33" t="str">
        <f t="array" ref="E247">IFERROR(INDEX('03 Budget'!$C$7:$C$300,MATCH($D247,'03 Budget'!$B$7:$B$300,0)),IF($D247="","","** ID not found **"))</f>
        <v/>
      </c>
      <c r="F247" s="33" t="str">
        <f t="array" ref="F247">IFERROR(INDEX('03 Budget'!$D$7:$D$300,MATCH($D247,'03 Budget'!$B$7:$B$300,0)),IF($D247="","","** ID not found **"))</f>
        <v/>
      </c>
      <c r="G247" s="32"/>
      <c r="H247" s="32"/>
      <c r="I247" s="38"/>
      <c r="J247" s="24"/>
      <c r="K247" s="38"/>
      <c r="L247" s="24"/>
      <c r="M247" s="41" t="str">
        <f t="shared" si="2"/>
        <v/>
      </c>
      <c r="N247" s="32"/>
      <c r="O247" s="32"/>
      <c r="P247" s="32"/>
      <c r="Q247" s="32"/>
      <c r="R247" s="32"/>
      <c r="S247" s="32" t="str">
        <f t="shared" si="3"/>
        <v/>
      </c>
      <c r="T247" s="32"/>
      <c r="U247" s="32"/>
    </row>
    <row r="248" ht="16.5" customHeight="1">
      <c r="A248" s="1"/>
      <c r="B248" s="23" t="str">
        <f t="shared" si="1"/>
        <v/>
      </c>
      <c r="C248" s="24"/>
      <c r="D248" s="25"/>
      <c r="E248" s="33" t="str">
        <f t="array" ref="E248">IFERROR(INDEX('03 Budget'!$C$7:$C$300,MATCH($D248,'03 Budget'!$B$7:$B$300,0)),IF($D248="","","** ID not found **"))</f>
        <v/>
      </c>
      <c r="F248" s="33" t="str">
        <f t="array" ref="F248">IFERROR(INDEX('03 Budget'!$D$7:$D$300,MATCH($D248,'03 Budget'!$B$7:$B$300,0)),IF($D248="","","** ID not found **"))</f>
        <v/>
      </c>
      <c r="G248" s="32"/>
      <c r="H248" s="32"/>
      <c r="I248" s="38"/>
      <c r="J248" s="24"/>
      <c r="K248" s="38"/>
      <c r="L248" s="24"/>
      <c r="M248" s="41" t="str">
        <f t="shared" si="2"/>
        <v/>
      </c>
      <c r="N248" s="32"/>
      <c r="O248" s="32"/>
      <c r="P248" s="32"/>
      <c r="Q248" s="32"/>
      <c r="R248" s="32"/>
      <c r="S248" s="32" t="str">
        <f t="shared" si="3"/>
        <v/>
      </c>
      <c r="T248" s="32"/>
      <c r="U248" s="32"/>
    </row>
    <row r="249" ht="16.5" customHeight="1">
      <c r="A249" s="1"/>
      <c r="B249" s="23" t="str">
        <f t="shared" si="1"/>
        <v/>
      </c>
      <c r="C249" s="24"/>
      <c r="D249" s="25"/>
      <c r="E249" s="33" t="str">
        <f t="array" ref="E249">IFERROR(INDEX('03 Budget'!$C$7:$C$300,MATCH($D249,'03 Budget'!$B$7:$B$300,0)),IF($D249="","","** ID not found **"))</f>
        <v/>
      </c>
      <c r="F249" s="33" t="str">
        <f t="array" ref="F249">IFERROR(INDEX('03 Budget'!$D$7:$D$300,MATCH($D249,'03 Budget'!$B$7:$B$300,0)),IF($D249="","","** ID not found **"))</f>
        <v/>
      </c>
      <c r="G249" s="32"/>
      <c r="H249" s="32"/>
      <c r="I249" s="38"/>
      <c r="J249" s="24"/>
      <c r="K249" s="38"/>
      <c r="L249" s="24"/>
      <c r="M249" s="41" t="str">
        <f t="shared" si="2"/>
        <v/>
      </c>
      <c r="N249" s="32"/>
      <c r="O249" s="32"/>
      <c r="P249" s="32"/>
      <c r="Q249" s="32"/>
      <c r="R249" s="32"/>
      <c r="S249" s="32" t="str">
        <f t="shared" si="3"/>
        <v/>
      </c>
      <c r="T249" s="32"/>
      <c r="U249" s="32"/>
    </row>
    <row r="250" ht="16.5" customHeight="1">
      <c r="A250" s="1"/>
      <c r="B250" s="23" t="str">
        <f t="shared" si="1"/>
        <v/>
      </c>
      <c r="C250" s="24"/>
      <c r="D250" s="25"/>
      <c r="E250" s="33" t="str">
        <f t="array" ref="E250">IFERROR(INDEX('03 Budget'!$C$7:$C$300,MATCH($D250,'03 Budget'!$B$7:$B$300,0)),IF($D250="","","** ID not found **"))</f>
        <v/>
      </c>
      <c r="F250" s="33" t="str">
        <f t="array" ref="F250">IFERROR(INDEX('03 Budget'!$D$7:$D$300,MATCH($D250,'03 Budget'!$B$7:$B$300,0)),IF($D250="","","** ID not found **"))</f>
        <v/>
      </c>
      <c r="G250" s="32"/>
      <c r="H250" s="32"/>
      <c r="I250" s="38"/>
      <c r="J250" s="24"/>
      <c r="K250" s="38"/>
      <c r="L250" s="24"/>
      <c r="M250" s="41" t="str">
        <f t="shared" si="2"/>
        <v/>
      </c>
      <c r="N250" s="32"/>
      <c r="O250" s="32"/>
      <c r="P250" s="32"/>
      <c r="Q250" s="32"/>
      <c r="R250" s="32"/>
      <c r="S250" s="32" t="str">
        <f t="shared" si="3"/>
        <v/>
      </c>
      <c r="T250" s="32"/>
      <c r="U250" s="32"/>
    </row>
    <row r="251" ht="16.5" customHeight="1">
      <c r="A251" s="1"/>
      <c r="B251" s="23" t="str">
        <f t="shared" si="1"/>
        <v/>
      </c>
      <c r="C251" s="24"/>
      <c r="D251" s="25"/>
      <c r="E251" s="33" t="str">
        <f t="array" ref="E251">IFERROR(INDEX('03 Budget'!$C$7:$C$300,MATCH($D251,'03 Budget'!$B$7:$B$300,0)),IF($D251="","","** ID not found **"))</f>
        <v/>
      </c>
      <c r="F251" s="33" t="str">
        <f t="array" ref="F251">IFERROR(INDEX('03 Budget'!$D$7:$D$300,MATCH($D251,'03 Budget'!$B$7:$B$300,0)),IF($D251="","","** ID not found **"))</f>
        <v/>
      </c>
      <c r="G251" s="32"/>
      <c r="H251" s="32"/>
      <c r="I251" s="38"/>
      <c r="J251" s="24"/>
      <c r="K251" s="38"/>
      <c r="L251" s="24"/>
      <c r="M251" s="41" t="str">
        <f t="shared" si="2"/>
        <v/>
      </c>
      <c r="N251" s="32"/>
      <c r="O251" s="32"/>
      <c r="P251" s="32"/>
      <c r="Q251" s="32"/>
      <c r="R251" s="32"/>
      <c r="S251" s="32" t="str">
        <f t="shared" si="3"/>
        <v/>
      </c>
      <c r="T251" s="32"/>
      <c r="U251" s="32"/>
    </row>
    <row r="252" ht="16.5" customHeight="1">
      <c r="A252" s="1"/>
      <c r="B252" s="23" t="str">
        <f t="shared" si="1"/>
        <v/>
      </c>
      <c r="C252" s="24"/>
      <c r="D252" s="25"/>
      <c r="E252" s="33" t="str">
        <f t="array" ref="E252">IFERROR(INDEX('03 Budget'!$C$7:$C$300,MATCH($D252,'03 Budget'!$B$7:$B$300,0)),IF($D252="","","** ID not found **"))</f>
        <v/>
      </c>
      <c r="F252" s="33" t="str">
        <f t="array" ref="F252">IFERROR(INDEX('03 Budget'!$D$7:$D$300,MATCH($D252,'03 Budget'!$B$7:$B$300,0)),IF($D252="","","** ID not found **"))</f>
        <v/>
      </c>
      <c r="G252" s="32"/>
      <c r="H252" s="32"/>
      <c r="I252" s="38"/>
      <c r="J252" s="24"/>
      <c r="K252" s="38"/>
      <c r="L252" s="24"/>
      <c r="M252" s="41" t="str">
        <f t="shared" si="2"/>
        <v/>
      </c>
      <c r="N252" s="32"/>
      <c r="O252" s="32"/>
      <c r="P252" s="32"/>
      <c r="Q252" s="32"/>
      <c r="R252" s="32"/>
      <c r="S252" s="32" t="str">
        <f t="shared" si="3"/>
        <v/>
      </c>
      <c r="T252" s="32"/>
      <c r="U252" s="32"/>
    </row>
    <row r="253" ht="16.5" customHeight="1">
      <c r="A253" s="1"/>
      <c r="B253" s="23" t="str">
        <f t="shared" si="1"/>
        <v/>
      </c>
      <c r="C253" s="24"/>
      <c r="D253" s="25"/>
      <c r="E253" s="33" t="str">
        <f t="array" ref="E253">IFERROR(INDEX('03 Budget'!$C$7:$C$300,MATCH($D253,'03 Budget'!$B$7:$B$300,0)),IF($D253="","","** ID not found **"))</f>
        <v/>
      </c>
      <c r="F253" s="33" t="str">
        <f t="array" ref="F253">IFERROR(INDEX('03 Budget'!$D$7:$D$300,MATCH($D253,'03 Budget'!$B$7:$B$300,0)),IF($D253="","","** ID not found **"))</f>
        <v/>
      </c>
      <c r="G253" s="32"/>
      <c r="H253" s="32"/>
      <c r="I253" s="38"/>
      <c r="J253" s="24"/>
      <c r="K253" s="38"/>
      <c r="L253" s="24"/>
      <c r="M253" s="41" t="str">
        <f t="shared" si="2"/>
        <v/>
      </c>
      <c r="N253" s="32"/>
      <c r="O253" s="32"/>
      <c r="P253" s="32"/>
      <c r="Q253" s="32"/>
      <c r="R253" s="32"/>
      <c r="S253" s="32" t="str">
        <f t="shared" si="3"/>
        <v/>
      </c>
      <c r="T253" s="32"/>
      <c r="U253" s="32"/>
    </row>
    <row r="254" ht="16.5" customHeight="1">
      <c r="A254" s="1"/>
      <c r="B254" s="23" t="str">
        <f t="shared" si="1"/>
        <v/>
      </c>
      <c r="C254" s="24"/>
      <c r="D254" s="25"/>
      <c r="E254" s="33" t="str">
        <f t="array" ref="E254">IFERROR(INDEX('03 Budget'!$C$7:$C$300,MATCH($D254,'03 Budget'!$B$7:$B$300,0)),IF($D254="","","** ID not found **"))</f>
        <v/>
      </c>
      <c r="F254" s="33" t="str">
        <f t="array" ref="F254">IFERROR(INDEX('03 Budget'!$D$7:$D$300,MATCH($D254,'03 Budget'!$B$7:$B$300,0)),IF($D254="","","** ID not found **"))</f>
        <v/>
      </c>
      <c r="G254" s="32"/>
      <c r="H254" s="32"/>
      <c r="I254" s="38"/>
      <c r="J254" s="24"/>
      <c r="K254" s="38"/>
      <c r="L254" s="24"/>
      <c r="M254" s="41" t="str">
        <f t="shared" si="2"/>
        <v/>
      </c>
      <c r="N254" s="32"/>
      <c r="O254" s="32"/>
      <c r="P254" s="32"/>
      <c r="Q254" s="32"/>
      <c r="R254" s="32"/>
      <c r="S254" s="32" t="str">
        <f t="shared" si="3"/>
        <v/>
      </c>
      <c r="T254" s="32"/>
      <c r="U254" s="32"/>
    </row>
    <row r="255" ht="16.5" customHeight="1">
      <c r="A255" s="1"/>
      <c r="B255" s="23" t="str">
        <f t="shared" si="1"/>
        <v/>
      </c>
      <c r="C255" s="24"/>
      <c r="D255" s="25"/>
      <c r="E255" s="33" t="str">
        <f t="array" ref="E255">IFERROR(INDEX('03 Budget'!$C$7:$C$300,MATCH($D255,'03 Budget'!$B$7:$B$300,0)),IF($D255="","","** ID not found **"))</f>
        <v/>
      </c>
      <c r="F255" s="33" t="str">
        <f t="array" ref="F255">IFERROR(INDEX('03 Budget'!$D$7:$D$300,MATCH($D255,'03 Budget'!$B$7:$B$300,0)),IF($D255="","","** ID not found **"))</f>
        <v/>
      </c>
      <c r="G255" s="32"/>
      <c r="H255" s="32"/>
      <c r="I255" s="38"/>
      <c r="J255" s="24"/>
      <c r="K255" s="38"/>
      <c r="L255" s="24"/>
      <c r="M255" s="41" t="str">
        <f t="shared" si="2"/>
        <v/>
      </c>
      <c r="N255" s="32"/>
      <c r="O255" s="32"/>
      <c r="P255" s="32"/>
      <c r="Q255" s="32"/>
      <c r="R255" s="32"/>
      <c r="S255" s="32" t="str">
        <f t="shared" si="3"/>
        <v/>
      </c>
      <c r="T255" s="32"/>
      <c r="U255" s="32"/>
    </row>
    <row r="256" ht="16.5" customHeight="1">
      <c r="A256" s="1"/>
      <c r="B256" s="23" t="str">
        <f t="shared" si="1"/>
        <v/>
      </c>
      <c r="C256" s="24"/>
      <c r="D256" s="25"/>
      <c r="E256" s="33" t="str">
        <f t="array" ref="E256">IFERROR(INDEX('03 Budget'!$C$7:$C$300,MATCH($D256,'03 Budget'!$B$7:$B$300,0)),IF($D256="","","** ID not found **"))</f>
        <v/>
      </c>
      <c r="F256" s="33" t="str">
        <f t="array" ref="F256">IFERROR(INDEX('03 Budget'!$D$7:$D$300,MATCH($D256,'03 Budget'!$B$7:$B$300,0)),IF($D256="","","** ID not found **"))</f>
        <v/>
      </c>
      <c r="G256" s="32"/>
      <c r="H256" s="32"/>
      <c r="I256" s="38"/>
      <c r="J256" s="24"/>
      <c r="K256" s="38"/>
      <c r="L256" s="24"/>
      <c r="M256" s="41" t="str">
        <f t="shared" si="2"/>
        <v/>
      </c>
      <c r="N256" s="32"/>
      <c r="O256" s="32"/>
      <c r="P256" s="32"/>
      <c r="Q256" s="32"/>
      <c r="R256" s="32"/>
      <c r="S256" s="32" t="str">
        <f t="shared" si="3"/>
        <v/>
      </c>
      <c r="T256" s="32"/>
      <c r="U256" s="32"/>
    </row>
    <row r="257" ht="16.5" customHeight="1">
      <c r="A257" s="1"/>
      <c r="B257" s="23" t="str">
        <f t="shared" si="1"/>
        <v/>
      </c>
      <c r="C257" s="24"/>
      <c r="D257" s="25"/>
      <c r="E257" s="33" t="str">
        <f t="array" ref="E257">IFERROR(INDEX('03 Budget'!$C$7:$C$300,MATCH($D257,'03 Budget'!$B$7:$B$300,0)),IF($D257="","","** ID not found **"))</f>
        <v/>
      </c>
      <c r="F257" s="33" t="str">
        <f t="array" ref="F257">IFERROR(INDEX('03 Budget'!$D$7:$D$300,MATCH($D257,'03 Budget'!$B$7:$B$300,0)),IF($D257="","","** ID not found **"))</f>
        <v/>
      </c>
      <c r="G257" s="32"/>
      <c r="H257" s="32"/>
      <c r="I257" s="38"/>
      <c r="J257" s="24"/>
      <c r="K257" s="38"/>
      <c r="L257" s="24"/>
      <c r="M257" s="41" t="str">
        <f t="shared" si="2"/>
        <v/>
      </c>
      <c r="N257" s="32"/>
      <c r="O257" s="32"/>
      <c r="P257" s="32"/>
      <c r="Q257" s="32"/>
      <c r="R257" s="32"/>
      <c r="S257" s="32" t="str">
        <f t="shared" si="3"/>
        <v/>
      </c>
      <c r="T257" s="32"/>
      <c r="U257" s="32"/>
    </row>
    <row r="258" ht="16.5" customHeight="1">
      <c r="A258" s="1"/>
      <c r="B258" s="23" t="str">
        <f t="shared" si="1"/>
        <v/>
      </c>
      <c r="C258" s="24"/>
      <c r="D258" s="25"/>
      <c r="E258" s="33" t="str">
        <f t="array" ref="E258">IFERROR(INDEX('03 Budget'!$C$7:$C$300,MATCH($D258,'03 Budget'!$B$7:$B$300,0)),IF($D258="","","** ID not found **"))</f>
        <v/>
      </c>
      <c r="F258" s="33" t="str">
        <f t="array" ref="F258">IFERROR(INDEX('03 Budget'!$D$7:$D$300,MATCH($D258,'03 Budget'!$B$7:$B$300,0)),IF($D258="","","** ID not found **"))</f>
        <v/>
      </c>
      <c r="G258" s="32"/>
      <c r="H258" s="32"/>
      <c r="I258" s="38"/>
      <c r="J258" s="24"/>
      <c r="K258" s="38"/>
      <c r="L258" s="24"/>
      <c r="M258" s="41" t="str">
        <f t="shared" si="2"/>
        <v/>
      </c>
      <c r="N258" s="32"/>
      <c r="O258" s="32"/>
      <c r="P258" s="32"/>
      <c r="Q258" s="32"/>
      <c r="R258" s="32"/>
      <c r="S258" s="32" t="str">
        <f t="shared" si="3"/>
        <v/>
      </c>
      <c r="T258" s="32"/>
      <c r="U258" s="32"/>
    </row>
    <row r="259" ht="16.5" customHeight="1">
      <c r="A259" s="1"/>
      <c r="B259" s="23" t="str">
        <f t="shared" si="1"/>
        <v/>
      </c>
      <c r="C259" s="24"/>
      <c r="D259" s="25"/>
      <c r="E259" s="33" t="str">
        <f t="array" ref="E259">IFERROR(INDEX('03 Budget'!$C$7:$C$300,MATCH($D259,'03 Budget'!$B$7:$B$300,0)),IF($D259="","","** ID not found **"))</f>
        <v/>
      </c>
      <c r="F259" s="33" t="str">
        <f t="array" ref="F259">IFERROR(INDEX('03 Budget'!$D$7:$D$300,MATCH($D259,'03 Budget'!$B$7:$B$300,0)),IF($D259="","","** ID not found **"))</f>
        <v/>
      </c>
      <c r="G259" s="32"/>
      <c r="H259" s="32"/>
      <c r="I259" s="38"/>
      <c r="J259" s="24"/>
      <c r="K259" s="38"/>
      <c r="L259" s="24"/>
      <c r="M259" s="41" t="str">
        <f t="shared" si="2"/>
        <v/>
      </c>
      <c r="N259" s="32"/>
      <c r="O259" s="32"/>
      <c r="P259" s="32"/>
      <c r="Q259" s="32"/>
      <c r="R259" s="32"/>
      <c r="S259" s="32" t="str">
        <f t="shared" si="3"/>
        <v/>
      </c>
      <c r="T259" s="32"/>
      <c r="U259" s="32"/>
    </row>
    <row r="260" ht="16.5" customHeight="1">
      <c r="A260" s="1"/>
      <c r="B260" s="23" t="str">
        <f t="shared" si="1"/>
        <v/>
      </c>
      <c r="C260" s="24"/>
      <c r="D260" s="25"/>
      <c r="E260" s="33" t="str">
        <f t="array" ref="E260">IFERROR(INDEX('03 Budget'!$C$7:$C$300,MATCH($D260,'03 Budget'!$B$7:$B$300,0)),IF($D260="","","** ID not found **"))</f>
        <v/>
      </c>
      <c r="F260" s="33" t="str">
        <f t="array" ref="F260">IFERROR(INDEX('03 Budget'!$D$7:$D$300,MATCH($D260,'03 Budget'!$B$7:$B$300,0)),IF($D260="","","** ID not found **"))</f>
        <v/>
      </c>
      <c r="G260" s="32"/>
      <c r="H260" s="32"/>
      <c r="I260" s="38"/>
      <c r="J260" s="24"/>
      <c r="K260" s="38"/>
      <c r="L260" s="24"/>
      <c r="M260" s="41" t="str">
        <f t="shared" si="2"/>
        <v/>
      </c>
      <c r="N260" s="32"/>
      <c r="O260" s="32"/>
      <c r="P260" s="32"/>
      <c r="Q260" s="32"/>
      <c r="R260" s="32"/>
      <c r="S260" s="32" t="str">
        <f t="shared" si="3"/>
        <v/>
      </c>
      <c r="T260" s="32"/>
      <c r="U260" s="32"/>
    </row>
    <row r="261" ht="16.5" customHeight="1">
      <c r="A261" s="1"/>
      <c r="B261" s="23" t="str">
        <f t="shared" si="1"/>
        <v/>
      </c>
      <c r="C261" s="24"/>
      <c r="D261" s="25"/>
      <c r="E261" s="33" t="str">
        <f t="array" ref="E261">IFERROR(INDEX('03 Budget'!$C$7:$C$300,MATCH($D261,'03 Budget'!$B$7:$B$300,0)),IF($D261="","","** ID not found **"))</f>
        <v/>
      </c>
      <c r="F261" s="33" t="str">
        <f t="array" ref="F261">IFERROR(INDEX('03 Budget'!$D$7:$D$300,MATCH($D261,'03 Budget'!$B$7:$B$300,0)),IF($D261="","","** ID not found **"))</f>
        <v/>
      </c>
      <c r="G261" s="32"/>
      <c r="H261" s="32"/>
      <c r="I261" s="38"/>
      <c r="J261" s="24"/>
      <c r="K261" s="38"/>
      <c r="L261" s="24"/>
      <c r="M261" s="41" t="str">
        <f t="shared" si="2"/>
        <v/>
      </c>
      <c r="N261" s="32"/>
      <c r="O261" s="32"/>
      <c r="P261" s="32"/>
      <c r="Q261" s="32"/>
      <c r="R261" s="32"/>
      <c r="S261" s="32" t="str">
        <f t="shared" si="3"/>
        <v/>
      </c>
      <c r="T261" s="32"/>
      <c r="U261" s="32"/>
    </row>
    <row r="262" ht="16.5" customHeight="1">
      <c r="A262" s="1"/>
      <c r="B262" s="23" t="str">
        <f t="shared" si="1"/>
        <v/>
      </c>
      <c r="C262" s="24"/>
      <c r="D262" s="25"/>
      <c r="E262" s="33" t="str">
        <f t="array" ref="E262">IFERROR(INDEX('03 Budget'!$C$7:$C$300,MATCH($D262,'03 Budget'!$B$7:$B$300,0)),IF($D262="","","** ID not found **"))</f>
        <v/>
      </c>
      <c r="F262" s="33" t="str">
        <f t="array" ref="F262">IFERROR(INDEX('03 Budget'!$D$7:$D$300,MATCH($D262,'03 Budget'!$B$7:$B$300,0)),IF($D262="","","** ID not found **"))</f>
        <v/>
      </c>
      <c r="G262" s="32"/>
      <c r="H262" s="32"/>
      <c r="I262" s="38"/>
      <c r="J262" s="24"/>
      <c r="K262" s="38"/>
      <c r="L262" s="24"/>
      <c r="M262" s="41" t="str">
        <f t="shared" si="2"/>
        <v/>
      </c>
      <c r="N262" s="32"/>
      <c r="O262" s="32"/>
      <c r="P262" s="32"/>
      <c r="Q262" s="32"/>
      <c r="R262" s="32"/>
      <c r="S262" s="32" t="str">
        <f t="shared" si="3"/>
        <v/>
      </c>
      <c r="T262" s="32"/>
      <c r="U262" s="32"/>
    </row>
    <row r="263" ht="16.5" customHeight="1">
      <c r="A263" s="1"/>
      <c r="B263" s="23" t="str">
        <f t="shared" si="1"/>
        <v/>
      </c>
      <c r="C263" s="24"/>
      <c r="D263" s="25"/>
      <c r="E263" s="33" t="str">
        <f t="array" ref="E263">IFERROR(INDEX('03 Budget'!$C$7:$C$300,MATCH($D263,'03 Budget'!$B$7:$B$300,0)),IF($D263="","","** ID not found **"))</f>
        <v/>
      </c>
      <c r="F263" s="33" t="str">
        <f t="array" ref="F263">IFERROR(INDEX('03 Budget'!$D$7:$D$300,MATCH($D263,'03 Budget'!$B$7:$B$300,0)),IF($D263="","","** ID not found **"))</f>
        <v/>
      </c>
      <c r="G263" s="32"/>
      <c r="H263" s="32"/>
      <c r="I263" s="38"/>
      <c r="J263" s="24"/>
      <c r="K263" s="38"/>
      <c r="L263" s="24"/>
      <c r="M263" s="41" t="str">
        <f t="shared" si="2"/>
        <v/>
      </c>
      <c r="N263" s="32"/>
      <c r="O263" s="32"/>
      <c r="P263" s="32"/>
      <c r="Q263" s="32"/>
      <c r="R263" s="32"/>
      <c r="S263" s="32" t="str">
        <f t="shared" si="3"/>
        <v/>
      </c>
      <c r="T263" s="32"/>
      <c r="U263" s="32"/>
    </row>
    <row r="264" ht="16.5" customHeight="1">
      <c r="A264" s="1"/>
      <c r="B264" s="23" t="str">
        <f t="shared" si="1"/>
        <v/>
      </c>
      <c r="C264" s="24"/>
      <c r="D264" s="25"/>
      <c r="E264" s="33" t="str">
        <f t="array" ref="E264">IFERROR(INDEX('03 Budget'!$C$7:$C$300,MATCH($D264,'03 Budget'!$B$7:$B$300,0)),IF($D264="","","** ID not found **"))</f>
        <v/>
      </c>
      <c r="F264" s="33" t="str">
        <f t="array" ref="F264">IFERROR(INDEX('03 Budget'!$D$7:$D$300,MATCH($D264,'03 Budget'!$B$7:$B$300,0)),IF($D264="","","** ID not found **"))</f>
        <v/>
      </c>
      <c r="G264" s="32"/>
      <c r="H264" s="32"/>
      <c r="I264" s="38"/>
      <c r="J264" s="24"/>
      <c r="K264" s="38"/>
      <c r="L264" s="24"/>
      <c r="M264" s="41" t="str">
        <f t="shared" si="2"/>
        <v/>
      </c>
      <c r="N264" s="32"/>
      <c r="O264" s="32"/>
      <c r="P264" s="32"/>
      <c r="Q264" s="32"/>
      <c r="R264" s="32"/>
      <c r="S264" s="32" t="str">
        <f t="shared" si="3"/>
        <v/>
      </c>
      <c r="T264" s="32"/>
      <c r="U264" s="32"/>
    </row>
    <row r="265" ht="16.5" customHeight="1">
      <c r="A265" s="1"/>
      <c r="B265" s="23" t="str">
        <f t="shared" si="1"/>
        <v/>
      </c>
      <c r="C265" s="24"/>
      <c r="D265" s="25"/>
      <c r="E265" s="33" t="str">
        <f t="array" ref="E265">IFERROR(INDEX('03 Budget'!$C$7:$C$300,MATCH($D265,'03 Budget'!$B$7:$B$300,0)),IF($D265="","","** ID not found **"))</f>
        <v/>
      </c>
      <c r="F265" s="33" t="str">
        <f t="array" ref="F265">IFERROR(INDEX('03 Budget'!$D$7:$D$300,MATCH($D265,'03 Budget'!$B$7:$B$300,0)),IF($D265="","","** ID not found **"))</f>
        <v/>
      </c>
      <c r="G265" s="32"/>
      <c r="H265" s="32"/>
      <c r="I265" s="38"/>
      <c r="J265" s="24"/>
      <c r="K265" s="38"/>
      <c r="L265" s="24"/>
      <c r="M265" s="41" t="str">
        <f t="shared" si="2"/>
        <v/>
      </c>
      <c r="N265" s="32"/>
      <c r="O265" s="32"/>
      <c r="P265" s="32"/>
      <c r="Q265" s="32"/>
      <c r="R265" s="32"/>
      <c r="S265" s="32" t="str">
        <f t="shared" si="3"/>
        <v/>
      </c>
      <c r="T265" s="32"/>
      <c r="U265" s="32"/>
    </row>
    <row r="266" ht="16.5" customHeight="1">
      <c r="A266" s="1"/>
      <c r="B266" s="23" t="str">
        <f t="shared" si="1"/>
        <v/>
      </c>
      <c r="C266" s="24"/>
      <c r="D266" s="25"/>
      <c r="E266" s="33" t="str">
        <f t="array" ref="E266">IFERROR(INDEX('03 Budget'!$C$7:$C$300,MATCH($D266,'03 Budget'!$B$7:$B$300,0)),IF($D266="","","** ID not found **"))</f>
        <v/>
      </c>
      <c r="F266" s="33" t="str">
        <f t="array" ref="F266">IFERROR(INDEX('03 Budget'!$D$7:$D$300,MATCH($D266,'03 Budget'!$B$7:$B$300,0)),IF($D266="","","** ID not found **"))</f>
        <v/>
      </c>
      <c r="G266" s="32"/>
      <c r="H266" s="32"/>
      <c r="I266" s="38"/>
      <c r="J266" s="24"/>
      <c r="K266" s="38"/>
      <c r="L266" s="24"/>
      <c r="M266" s="41" t="str">
        <f t="shared" si="2"/>
        <v/>
      </c>
      <c r="N266" s="32"/>
      <c r="O266" s="32"/>
      <c r="P266" s="32"/>
      <c r="Q266" s="32"/>
      <c r="R266" s="32"/>
      <c r="S266" s="32" t="str">
        <f t="shared" si="3"/>
        <v/>
      </c>
      <c r="T266" s="32"/>
      <c r="U266" s="32"/>
    </row>
    <row r="267" ht="16.5" customHeight="1">
      <c r="A267" s="1"/>
      <c r="B267" s="23" t="str">
        <f t="shared" si="1"/>
        <v/>
      </c>
      <c r="C267" s="24"/>
      <c r="D267" s="25"/>
      <c r="E267" s="33" t="str">
        <f t="array" ref="E267">IFERROR(INDEX('03 Budget'!$C$7:$C$300,MATCH($D267,'03 Budget'!$B$7:$B$300,0)),IF($D267="","","** ID not found **"))</f>
        <v/>
      </c>
      <c r="F267" s="33" t="str">
        <f t="array" ref="F267">IFERROR(INDEX('03 Budget'!$D$7:$D$300,MATCH($D267,'03 Budget'!$B$7:$B$300,0)),IF($D267="","","** ID not found **"))</f>
        <v/>
      </c>
      <c r="G267" s="32"/>
      <c r="H267" s="32"/>
      <c r="I267" s="38"/>
      <c r="J267" s="24"/>
      <c r="K267" s="38"/>
      <c r="L267" s="24"/>
      <c r="M267" s="41" t="str">
        <f t="shared" si="2"/>
        <v/>
      </c>
      <c r="N267" s="32"/>
      <c r="O267" s="32"/>
      <c r="P267" s="32"/>
      <c r="Q267" s="32"/>
      <c r="R267" s="32"/>
      <c r="S267" s="32" t="str">
        <f t="shared" si="3"/>
        <v/>
      </c>
      <c r="T267" s="32"/>
      <c r="U267" s="32"/>
    </row>
    <row r="268" ht="16.5" customHeight="1">
      <c r="A268" s="1"/>
      <c r="B268" s="23" t="str">
        <f t="shared" si="1"/>
        <v/>
      </c>
      <c r="C268" s="24"/>
      <c r="D268" s="25"/>
      <c r="E268" s="33" t="str">
        <f t="array" ref="E268">IFERROR(INDEX('03 Budget'!$C$7:$C$300,MATCH($D268,'03 Budget'!$B$7:$B$300,0)),IF($D268="","","** ID not found **"))</f>
        <v/>
      </c>
      <c r="F268" s="33" t="str">
        <f t="array" ref="F268">IFERROR(INDEX('03 Budget'!$D$7:$D$300,MATCH($D268,'03 Budget'!$B$7:$B$300,0)),IF($D268="","","** ID not found **"))</f>
        <v/>
      </c>
      <c r="G268" s="32"/>
      <c r="H268" s="32"/>
      <c r="I268" s="38"/>
      <c r="J268" s="24"/>
      <c r="K268" s="38"/>
      <c r="L268" s="24"/>
      <c r="M268" s="41" t="str">
        <f t="shared" si="2"/>
        <v/>
      </c>
      <c r="N268" s="32"/>
      <c r="O268" s="32"/>
      <c r="P268" s="32"/>
      <c r="Q268" s="32"/>
      <c r="R268" s="32"/>
      <c r="S268" s="32" t="str">
        <f t="shared" si="3"/>
        <v/>
      </c>
      <c r="T268" s="32"/>
      <c r="U268" s="32"/>
    </row>
    <row r="269" ht="16.5" customHeight="1">
      <c r="A269" s="1"/>
      <c r="B269" s="23" t="str">
        <f t="shared" si="1"/>
        <v/>
      </c>
      <c r="C269" s="24"/>
      <c r="D269" s="25"/>
      <c r="E269" s="33" t="str">
        <f t="array" ref="E269">IFERROR(INDEX('03 Budget'!$C$7:$C$300,MATCH($D269,'03 Budget'!$B$7:$B$300,0)),IF($D269="","","** ID not found **"))</f>
        <v/>
      </c>
      <c r="F269" s="33" t="str">
        <f t="array" ref="F269">IFERROR(INDEX('03 Budget'!$D$7:$D$300,MATCH($D269,'03 Budget'!$B$7:$B$300,0)),IF($D269="","","** ID not found **"))</f>
        <v/>
      </c>
      <c r="G269" s="32"/>
      <c r="H269" s="32"/>
      <c r="I269" s="38"/>
      <c r="J269" s="24"/>
      <c r="K269" s="38"/>
      <c r="L269" s="24"/>
      <c r="M269" s="41" t="str">
        <f t="shared" si="2"/>
        <v/>
      </c>
      <c r="N269" s="32"/>
      <c r="O269" s="32"/>
      <c r="P269" s="32"/>
      <c r="Q269" s="32"/>
      <c r="R269" s="32"/>
      <c r="S269" s="32" t="str">
        <f t="shared" si="3"/>
        <v/>
      </c>
      <c r="T269" s="32"/>
      <c r="U269" s="32"/>
    </row>
    <row r="270" ht="16.5" customHeight="1">
      <c r="A270" s="1"/>
      <c r="B270" s="23" t="str">
        <f t="shared" si="1"/>
        <v/>
      </c>
      <c r="C270" s="24"/>
      <c r="D270" s="25"/>
      <c r="E270" s="33" t="str">
        <f t="array" ref="E270">IFERROR(INDEX('03 Budget'!$C$7:$C$300,MATCH($D270,'03 Budget'!$B$7:$B$300,0)),IF($D270="","","** ID not found **"))</f>
        <v/>
      </c>
      <c r="F270" s="33" t="str">
        <f t="array" ref="F270">IFERROR(INDEX('03 Budget'!$D$7:$D$300,MATCH($D270,'03 Budget'!$B$7:$B$300,0)),IF($D270="","","** ID not found **"))</f>
        <v/>
      </c>
      <c r="G270" s="32"/>
      <c r="H270" s="32"/>
      <c r="I270" s="38"/>
      <c r="J270" s="24"/>
      <c r="K270" s="38"/>
      <c r="L270" s="24"/>
      <c r="M270" s="41" t="str">
        <f t="shared" si="2"/>
        <v/>
      </c>
      <c r="N270" s="32"/>
      <c r="O270" s="32"/>
      <c r="P270" s="32"/>
      <c r="Q270" s="32"/>
      <c r="R270" s="32"/>
      <c r="S270" s="32" t="str">
        <f t="shared" si="3"/>
        <v/>
      </c>
      <c r="T270" s="32"/>
      <c r="U270" s="32"/>
    </row>
    <row r="271" ht="16.5" customHeight="1">
      <c r="A271" s="1"/>
      <c r="B271" s="23" t="str">
        <f t="shared" si="1"/>
        <v/>
      </c>
      <c r="C271" s="24"/>
      <c r="D271" s="25"/>
      <c r="E271" s="33" t="str">
        <f t="array" ref="E271">IFERROR(INDEX('03 Budget'!$C$7:$C$300,MATCH($D271,'03 Budget'!$B$7:$B$300,0)),IF($D271="","","** ID not found **"))</f>
        <v/>
      </c>
      <c r="F271" s="33" t="str">
        <f t="array" ref="F271">IFERROR(INDEX('03 Budget'!$D$7:$D$300,MATCH($D271,'03 Budget'!$B$7:$B$300,0)),IF($D271="","","** ID not found **"))</f>
        <v/>
      </c>
      <c r="G271" s="32"/>
      <c r="H271" s="32"/>
      <c r="I271" s="38"/>
      <c r="J271" s="24"/>
      <c r="K271" s="38"/>
      <c r="L271" s="24"/>
      <c r="M271" s="41" t="str">
        <f t="shared" si="2"/>
        <v/>
      </c>
      <c r="N271" s="32"/>
      <c r="O271" s="32"/>
      <c r="P271" s="32"/>
      <c r="Q271" s="32"/>
      <c r="R271" s="32"/>
      <c r="S271" s="32" t="str">
        <f t="shared" si="3"/>
        <v/>
      </c>
      <c r="T271" s="32"/>
      <c r="U271" s="32"/>
    </row>
    <row r="272" ht="16.5" customHeight="1">
      <c r="A272" s="1"/>
      <c r="B272" s="23" t="str">
        <f t="shared" si="1"/>
        <v/>
      </c>
      <c r="C272" s="24"/>
      <c r="D272" s="25"/>
      <c r="E272" s="33" t="str">
        <f t="array" ref="E272">IFERROR(INDEX('03 Budget'!$C$7:$C$300,MATCH($D272,'03 Budget'!$B$7:$B$300,0)),IF($D272="","","** ID not found **"))</f>
        <v/>
      </c>
      <c r="F272" s="33" t="str">
        <f t="array" ref="F272">IFERROR(INDEX('03 Budget'!$D$7:$D$300,MATCH($D272,'03 Budget'!$B$7:$B$300,0)),IF($D272="","","** ID not found **"))</f>
        <v/>
      </c>
      <c r="G272" s="32"/>
      <c r="H272" s="32"/>
      <c r="I272" s="38"/>
      <c r="J272" s="24"/>
      <c r="K272" s="38"/>
      <c r="L272" s="24"/>
      <c r="M272" s="41" t="str">
        <f t="shared" si="2"/>
        <v/>
      </c>
      <c r="N272" s="32"/>
      <c r="O272" s="32"/>
      <c r="P272" s="32"/>
      <c r="Q272" s="32"/>
      <c r="R272" s="32"/>
      <c r="S272" s="32" t="str">
        <f t="shared" si="3"/>
        <v/>
      </c>
      <c r="T272" s="32"/>
      <c r="U272" s="32"/>
    </row>
    <row r="273" ht="16.5" customHeight="1">
      <c r="A273" s="1"/>
      <c r="B273" s="23" t="str">
        <f t="shared" si="1"/>
        <v/>
      </c>
      <c r="C273" s="24"/>
      <c r="D273" s="25"/>
      <c r="E273" s="33" t="str">
        <f t="array" ref="E273">IFERROR(INDEX('03 Budget'!$C$7:$C$300,MATCH($D273,'03 Budget'!$B$7:$B$300,0)),IF($D273="","","** ID not found **"))</f>
        <v/>
      </c>
      <c r="F273" s="33" t="str">
        <f t="array" ref="F273">IFERROR(INDEX('03 Budget'!$D$7:$D$300,MATCH($D273,'03 Budget'!$B$7:$B$300,0)),IF($D273="","","** ID not found **"))</f>
        <v/>
      </c>
      <c r="G273" s="32"/>
      <c r="H273" s="32"/>
      <c r="I273" s="38"/>
      <c r="J273" s="24"/>
      <c r="K273" s="38"/>
      <c r="L273" s="24"/>
      <c r="M273" s="41" t="str">
        <f t="shared" si="2"/>
        <v/>
      </c>
      <c r="N273" s="32"/>
      <c r="O273" s="32"/>
      <c r="P273" s="32"/>
      <c r="Q273" s="32"/>
      <c r="R273" s="32"/>
      <c r="S273" s="32" t="str">
        <f t="shared" si="3"/>
        <v/>
      </c>
      <c r="T273" s="32"/>
      <c r="U273" s="32"/>
    </row>
    <row r="274" ht="16.5" customHeight="1">
      <c r="A274" s="1"/>
      <c r="B274" s="23" t="str">
        <f t="shared" si="1"/>
        <v/>
      </c>
      <c r="C274" s="24"/>
      <c r="D274" s="25"/>
      <c r="E274" s="33" t="str">
        <f t="array" ref="E274">IFERROR(INDEX('03 Budget'!$C$7:$C$300,MATCH($D274,'03 Budget'!$B$7:$B$300,0)),IF($D274="","","** ID not found **"))</f>
        <v/>
      </c>
      <c r="F274" s="33" t="str">
        <f t="array" ref="F274">IFERROR(INDEX('03 Budget'!$D$7:$D$300,MATCH($D274,'03 Budget'!$B$7:$B$300,0)),IF($D274="","","** ID not found **"))</f>
        <v/>
      </c>
      <c r="G274" s="32"/>
      <c r="H274" s="32"/>
      <c r="I274" s="38"/>
      <c r="J274" s="24"/>
      <c r="K274" s="38"/>
      <c r="L274" s="24"/>
      <c r="M274" s="41" t="str">
        <f t="shared" si="2"/>
        <v/>
      </c>
      <c r="N274" s="32"/>
      <c r="O274" s="32"/>
      <c r="P274" s="32"/>
      <c r="Q274" s="32"/>
      <c r="R274" s="32"/>
      <c r="S274" s="32" t="str">
        <f t="shared" si="3"/>
        <v/>
      </c>
      <c r="T274" s="32"/>
      <c r="U274" s="32"/>
    </row>
    <row r="275" ht="16.5" customHeight="1">
      <c r="A275" s="1"/>
      <c r="B275" s="23" t="str">
        <f t="shared" si="1"/>
        <v/>
      </c>
      <c r="C275" s="24"/>
      <c r="D275" s="25"/>
      <c r="E275" s="33" t="str">
        <f t="array" ref="E275">IFERROR(INDEX('03 Budget'!$C$7:$C$300,MATCH($D275,'03 Budget'!$B$7:$B$300,0)),IF($D275="","","** ID not found **"))</f>
        <v/>
      </c>
      <c r="F275" s="33" t="str">
        <f t="array" ref="F275">IFERROR(INDEX('03 Budget'!$D$7:$D$300,MATCH($D275,'03 Budget'!$B$7:$B$300,0)),IF($D275="","","** ID not found **"))</f>
        <v/>
      </c>
      <c r="G275" s="32"/>
      <c r="H275" s="32"/>
      <c r="I275" s="38"/>
      <c r="J275" s="24"/>
      <c r="K275" s="38"/>
      <c r="L275" s="24"/>
      <c r="M275" s="41" t="str">
        <f t="shared" si="2"/>
        <v/>
      </c>
      <c r="N275" s="32"/>
      <c r="O275" s="32"/>
      <c r="P275" s="32"/>
      <c r="Q275" s="32"/>
      <c r="R275" s="32"/>
      <c r="S275" s="32" t="str">
        <f t="shared" si="3"/>
        <v/>
      </c>
      <c r="T275" s="32"/>
      <c r="U275" s="32"/>
    </row>
    <row r="276" ht="16.5" customHeight="1">
      <c r="A276" s="1"/>
      <c r="B276" s="23" t="str">
        <f t="shared" si="1"/>
        <v/>
      </c>
      <c r="C276" s="24"/>
      <c r="D276" s="25"/>
      <c r="E276" s="33" t="str">
        <f t="array" ref="E276">IFERROR(INDEX('03 Budget'!$C$7:$C$300,MATCH($D276,'03 Budget'!$B$7:$B$300,0)),IF($D276="","","** ID not found **"))</f>
        <v/>
      </c>
      <c r="F276" s="33" t="str">
        <f t="array" ref="F276">IFERROR(INDEX('03 Budget'!$D$7:$D$300,MATCH($D276,'03 Budget'!$B$7:$B$300,0)),IF($D276="","","** ID not found **"))</f>
        <v/>
      </c>
      <c r="G276" s="32"/>
      <c r="H276" s="32"/>
      <c r="I276" s="38"/>
      <c r="J276" s="24"/>
      <c r="K276" s="38"/>
      <c r="L276" s="24"/>
      <c r="M276" s="41" t="str">
        <f t="shared" si="2"/>
        <v/>
      </c>
      <c r="N276" s="32"/>
      <c r="O276" s="32"/>
      <c r="P276" s="32"/>
      <c r="Q276" s="32"/>
      <c r="R276" s="32"/>
      <c r="S276" s="32" t="str">
        <f t="shared" si="3"/>
        <v/>
      </c>
      <c r="T276" s="32"/>
      <c r="U276" s="32"/>
    </row>
    <row r="277" ht="16.5" customHeight="1">
      <c r="A277" s="1"/>
      <c r="B277" s="23" t="str">
        <f t="shared" si="1"/>
        <v/>
      </c>
      <c r="C277" s="24"/>
      <c r="D277" s="25"/>
      <c r="E277" s="33" t="str">
        <f t="array" ref="E277">IFERROR(INDEX('03 Budget'!$C$7:$C$300,MATCH($D277,'03 Budget'!$B$7:$B$300,0)),IF($D277="","","** ID not found **"))</f>
        <v/>
      </c>
      <c r="F277" s="33" t="str">
        <f t="array" ref="F277">IFERROR(INDEX('03 Budget'!$D$7:$D$300,MATCH($D277,'03 Budget'!$B$7:$B$300,0)),IF($D277="","","** ID not found **"))</f>
        <v/>
      </c>
      <c r="G277" s="32"/>
      <c r="H277" s="32"/>
      <c r="I277" s="38"/>
      <c r="J277" s="24"/>
      <c r="K277" s="38"/>
      <c r="L277" s="24"/>
      <c r="M277" s="41" t="str">
        <f t="shared" si="2"/>
        <v/>
      </c>
      <c r="N277" s="32"/>
      <c r="O277" s="32"/>
      <c r="P277" s="32"/>
      <c r="Q277" s="32"/>
      <c r="R277" s="32"/>
      <c r="S277" s="32" t="str">
        <f t="shared" si="3"/>
        <v/>
      </c>
      <c r="T277" s="32"/>
      <c r="U277" s="32"/>
    </row>
    <row r="278" ht="16.5" customHeight="1">
      <c r="A278" s="1"/>
      <c r="B278" s="23" t="str">
        <f t="shared" si="1"/>
        <v/>
      </c>
      <c r="C278" s="24"/>
      <c r="D278" s="25"/>
      <c r="E278" s="33" t="str">
        <f t="array" ref="E278">IFERROR(INDEX('03 Budget'!$C$7:$C$300,MATCH($D278,'03 Budget'!$B$7:$B$300,0)),IF($D278="","","** ID not found **"))</f>
        <v/>
      </c>
      <c r="F278" s="33" t="str">
        <f t="array" ref="F278">IFERROR(INDEX('03 Budget'!$D$7:$D$300,MATCH($D278,'03 Budget'!$B$7:$B$300,0)),IF($D278="","","** ID not found **"))</f>
        <v/>
      </c>
      <c r="G278" s="32"/>
      <c r="H278" s="32"/>
      <c r="I278" s="38"/>
      <c r="J278" s="24"/>
      <c r="K278" s="38"/>
      <c r="L278" s="24"/>
      <c r="M278" s="41" t="str">
        <f t="shared" si="2"/>
        <v/>
      </c>
      <c r="N278" s="32"/>
      <c r="O278" s="32"/>
      <c r="P278" s="32"/>
      <c r="Q278" s="32"/>
      <c r="R278" s="32"/>
      <c r="S278" s="32" t="str">
        <f t="shared" si="3"/>
        <v/>
      </c>
      <c r="T278" s="32"/>
      <c r="U278" s="32"/>
    </row>
    <row r="279" ht="16.5" customHeight="1">
      <c r="A279" s="1"/>
      <c r="B279" s="23" t="str">
        <f t="shared" si="1"/>
        <v/>
      </c>
      <c r="C279" s="24"/>
      <c r="D279" s="25"/>
      <c r="E279" s="33" t="str">
        <f t="array" ref="E279">IFERROR(INDEX('03 Budget'!$C$7:$C$300,MATCH($D279,'03 Budget'!$B$7:$B$300,0)),IF($D279="","","** ID not found **"))</f>
        <v/>
      </c>
      <c r="F279" s="33" t="str">
        <f t="array" ref="F279">IFERROR(INDEX('03 Budget'!$D$7:$D$300,MATCH($D279,'03 Budget'!$B$7:$B$300,0)),IF($D279="","","** ID not found **"))</f>
        <v/>
      </c>
      <c r="G279" s="32"/>
      <c r="H279" s="32"/>
      <c r="I279" s="38"/>
      <c r="J279" s="24"/>
      <c r="K279" s="38"/>
      <c r="L279" s="24"/>
      <c r="M279" s="41" t="str">
        <f t="shared" si="2"/>
        <v/>
      </c>
      <c r="N279" s="32"/>
      <c r="O279" s="32"/>
      <c r="P279" s="32"/>
      <c r="Q279" s="32"/>
      <c r="R279" s="32"/>
      <c r="S279" s="32" t="str">
        <f t="shared" si="3"/>
        <v/>
      </c>
      <c r="T279" s="32"/>
      <c r="U279" s="32"/>
    </row>
    <row r="280" ht="16.5" customHeight="1">
      <c r="A280" s="1"/>
      <c r="B280" s="23" t="str">
        <f t="shared" si="1"/>
        <v/>
      </c>
      <c r="C280" s="24"/>
      <c r="D280" s="25"/>
      <c r="E280" s="33" t="str">
        <f t="array" ref="E280">IFERROR(INDEX('03 Budget'!$C$7:$C$300,MATCH($D280,'03 Budget'!$B$7:$B$300,0)),IF($D280="","","** ID not found **"))</f>
        <v/>
      </c>
      <c r="F280" s="33" t="str">
        <f t="array" ref="F280">IFERROR(INDEX('03 Budget'!$D$7:$D$300,MATCH($D280,'03 Budget'!$B$7:$B$300,0)),IF($D280="","","** ID not found **"))</f>
        <v/>
      </c>
      <c r="G280" s="32"/>
      <c r="H280" s="32"/>
      <c r="I280" s="38"/>
      <c r="J280" s="24"/>
      <c r="K280" s="38"/>
      <c r="L280" s="24"/>
      <c r="M280" s="41" t="str">
        <f t="shared" si="2"/>
        <v/>
      </c>
      <c r="N280" s="32"/>
      <c r="O280" s="32"/>
      <c r="P280" s="32"/>
      <c r="Q280" s="32"/>
      <c r="R280" s="32"/>
      <c r="S280" s="32" t="str">
        <f t="shared" si="3"/>
        <v/>
      </c>
      <c r="T280" s="32"/>
      <c r="U280" s="32"/>
    </row>
    <row r="281" ht="16.5" customHeight="1">
      <c r="A281" s="1"/>
      <c r="B281" s="23" t="str">
        <f t="shared" si="1"/>
        <v/>
      </c>
      <c r="C281" s="24"/>
      <c r="D281" s="25"/>
      <c r="E281" s="33" t="str">
        <f t="array" ref="E281">IFERROR(INDEX('03 Budget'!$C$7:$C$300,MATCH($D281,'03 Budget'!$B$7:$B$300,0)),IF($D281="","","** ID not found **"))</f>
        <v/>
      </c>
      <c r="F281" s="33" t="str">
        <f t="array" ref="F281">IFERROR(INDEX('03 Budget'!$D$7:$D$300,MATCH($D281,'03 Budget'!$B$7:$B$300,0)),IF($D281="","","** ID not found **"))</f>
        <v/>
      </c>
      <c r="G281" s="32"/>
      <c r="H281" s="32"/>
      <c r="I281" s="38"/>
      <c r="J281" s="24"/>
      <c r="K281" s="38"/>
      <c r="L281" s="24"/>
      <c r="M281" s="41" t="str">
        <f t="shared" si="2"/>
        <v/>
      </c>
      <c r="N281" s="32"/>
      <c r="O281" s="32"/>
      <c r="P281" s="32"/>
      <c r="Q281" s="32"/>
      <c r="R281" s="32"/>
      <c r="S281" s="32" t="str">
        <f t="shared" si="3"/>
        <v/>
      </c>
      <c r="T281" s="32"/>
      <c r="U281" s="32"/>
    </row>
    <row r="282" ht="16.5" customHeight="1">
      <c r="A282" s="1"/>
      <c r="B282" s="23" t="str">
        <f t="shared" si="1"/>
        <v/>
      </c>
      <c r="C282" s="24"/>
      <c r="D282" s="25"/>
      <c r="E282" s="33" t="str">
        <f t="array" ref="E282">IFERROR(INDEX('03 Budget'!$C$7:$C$300,MATCH($D282,'03 Budget'!$B$7:$B$300,0)),IF($D282="","","** ID not found **"))</f>
        <v/>
      </c>
      <c r="F282" s="33" t="str">
        <f t="array" ref="F282">IFERROR(INDEX('03 Budget'!$D$7:$D$300,MATCH($D282,'03 Budget'!$B$7:$B$300,0)),IF($D282="","","** ID not found **"))</f>
        <v/>
      </c>
      <c r="G282" s="32"/>
      <c r="H282" s="32"/>
      <c r="I282" s="38"/>
      <c r="J282" s="24"/>
      <c r="K282" s="38"/>
      <c r="L282" s="24"/>
      <c r="M282" s="41" t="str">
        <f t="shared" si="2"/>
        <v/>
      </c>
      <c r="N282" s="32"/>
      <c r="O282" s="32"/>
      <c r="P282" s="32"/>
      <c r="Q282" s="32"/>
      <c r="R282" s="32"/>
      <c r="S282" s="32" t="str">
        <f t="shared" si="3"/>
        <v/>
      </c>
      <c r="T282" s="32"/>
      <c r="U282" s="32"/>
    </row>
    <row r="283" ht="16.5" customHeight="1">
      <c r="A283" s="1"/>
      <c r="B283" s="23" t="str">
        <f t="shared" si="1"/>
        <v/>
      </c>
      <c r="C283" s="24"/>
      <c r="D283" s="25"/>
      <c r="E283" s="33" t="str">
        <f t="array" ref="E283">IFERROR(INDEX('03 Budget'!$C$7:$C$300,MATCH($D283,'03 Budget'!$B$7:$B$300,0)),IF($D283="","","** ID not found **"))</f>
        <v/>
      </c>
      <c r="F283" s="33" t="str">
        <f t="array" ref="F283">IFERROR(INDEX('03 Budget'!$D$7:$D$300,MATCH($D283,'03 Budget'!$B$7:$B$300,0)),IF($D283="","","** ID not found **"))</f>
        <v/>
      </c>
      <c r="G283" s="32"/>
      <c r="H283" s="32"/>
      <c r="I283" s="38"/>
      <c r="J283" s="24"/>
      <c r="K283" s="38"/>
      <c r="L283" s="24"/>
      <c r="M283" s="41" t="str">
        <f t="shared" si="2"/>
        <v/>
      </c>
      <c r="N283" s="32"/>
      <c r="O283" s="32"/>
      <c r="P283" s="32"/>
      <c r="Q283" s="32"/>
      <c r="R283" s="32"/>
      <c r="S283" s="32" t="str">
        <f t="shared" si="3"/>
        <v/>
      </c>
      <c r="T283" s="32"/>
      <c r="U283" s="32"/>
    </row>
    <row r="284" ht="16.5" customHeight="1">
      <c r="A284" s="1"/>
      <c r="B284" s="23" t="str">
        <f t="shared" si="1"/>
        <v/>
      </c>
      <c r="C284" s="24"/>
      <c r="D284" s="25"/>
      <c r="E284" s="33" t="str">
        <f t="array" ref="E284">IFERROR(INDEX('03 Budget'!$C$7:$C$300,MATCH($D284,'03 Budget'!$B$7:$B$300,0)),IF($D284="","","** ID not found **"))</f>
        <v/>
      </c>
      <c r="F284" s="33" t="str">
        <f t="array" ref="F284">IFERROR(INDEX('03 Budget'!$D$7:$D$300,MATCH($D284,'03 Budget'!$B$7:$B$300,0)),IF($D284="","","** ID not found **"))</f>
        <v/>
      </c>
      <c r="G284" s="32"/>
      <c r="H284" s="32"/>
      <c r="I284" s="38"/>
      <c r="J284" s="24"/>
      <c r="K284" s="38"/>
      <c r="L284" s="24"/>
      <c r="M284" s="41" t="str">
        <f t="shared" si="2"/>
        <v/>
      </c>
      <c r="N284" s="32"/>
      <c r="O284" s="32"/>
      <c r="P284" s="32"/>
      <c r="Q284" s="32"/>
      <c r="R284" s="32"/>
      <c r="S284" s="32" t="str">
        <f t="shared" si="3"/>
        <v/>
      </c>
      <c r="T284" s="32"/>
      <c r="U284" s="32"/>
    </row>
    <row r="285" ht="16.5" customHeight="1">
      <c r="A285" s="1"/>
      <c r="B285" s="23" t="str">
        <f t="shared" si="1"/>
        <v/>
      </c>
      <c r="C285" s="24"/>
      <c r="D285" s="25"/>
      <c r="E285" s="33" t="str">
        <f t="array" ref="E285">IFERROR(INDEX('03 Budget'!$C$7:$C$300,MATCH($D285,'03 Budget'!$B$7:$B$300,0)),IF($D285="","","** ID not found **"))</f>
        <v/>
      </c>
      <c r="F285" s="33" t="str">
        <f t="array" ref="F285">IFERROR(INDEX('03 Budget'!$D$7:$D$300,MATCH($D285,'03 Budget'!$B$7:$B$300,0)),IF($D285="","","** ID not found **"))</f>
        <v/>
      </c>
      <c r="G285" s="32"/>
      <c r="H285" s="32"/>
      <c r="I285" s="38"/>
      <c r="J285" s="24"/>
      <c r="K285" s="38"/>
      <c r="L285" s="24"/>
      <c r="M285" s="41" t="str">
        <f t="shared" si="2"/>
        <v/>
      </c>
      <c r="N285" s="32"/>
      <c r="O285" s="32"/>
      <c r="P285" s="32"/>
      <c r="Q285" s="32"/>
      <c r="R285" s="32"/>
      <c r="S285" s="32" t="str">
        <f t="shared" si="3"/>
        <v/>
      </c>
      <c r="T285" s="32"/>
      <c r="U285" s="32"/>
    </row>
    <row r="286" ht="16.5" customHeight="1">
      <c r="A286" s="1"/>
      <c r="B286" s="23" t="str">
        <f t="shared" si="1"/>
        <v/>
      </c>
      <c r="C286" s="24"/>
      <c r="D286" s="25"/>
      <c r="E286" s="33" t="str">
        <f t="array" ref="E286">IFERROR(INDEX('03 Budget'!$C$7:$C$300,MATCH($D286,'03 Budget'!$B$7:$B$300,0)),IF($D286="","","** ID not found **"))</f>
        <v/>
      </c>
      <c r="F286" s="33" t="str">
        <f t="array" ref="F286">IFERROR(INDEX('03 Budget'!$D$7:$D$300,MATCH($D286,'03 Budget'!$B$7:$B$300,0)),IF($D286="","","** ID not found **"))</f>
        <v/>
      </c>
      <c r="G286" s="32"/>
      <c r="H286" s="32"/>
      <c r="I286" s="38"/>
      <c r="J286" s="24"/>
      <c r="K286" s="38"/>
      <c r="L286" s="24"/>
      <c r="M286" s="41" t="str">
        <f t="shared" si="2"/>
        <v/>
      </c>
      <c r="N286" s="32"/>
      <c r="O286" s="32"/>
      <c r="P286" s="32"/>
      <c r="Q286" s="32"/>
      <c r="R286" s="32"/>
      <c r="S286" s="32" t="str">
        <f t="shared" si="3"/>
        <v/>
      </c>
      <c r="T286" s="32"/>
      <c r="U286" s="32"/>
    </row>
    <row r="287" ht="16.5" customHeight="1">
      <c r="A287" s="1"/>
      <c r="B287" s="23" t="str">
        <f t="shared" si="1"/>
        <v/>
      </c>
      <c r="C287" s="24"/>
      <c r="D287" s="25"/>
      <c r="E287" s="33" t="str">
        <f t="array" ref="E287">IFERROR(INDEX('03 Budget'!$C$7:$C$300,MATCH($D287,'03 Budget'!$B$7:$B$300,0)),IF($D287="","","** ID not found **"))</f>
        <v/>
      </c>
      <c r="F287" s="33" t="str">
        <f t="array" ref="F287">IFERROR(INDEX('03 Budget'!$D$7:$D$300,MATCH($D287,'03 Budget'!$B$7:$B$300,0)),IF($D287="","","** ID not found **"))</f>
        <v/>
      </c>
      <c r="G287" s="32"/>
      <c r="H287" s="32"/>
      <c r="I287" s="38"/>
      <c r="J287" s="24"/>
      <c r="K287" s="38"/>
      <c r="L287" s="24"/>
      <c r="M287" s="41" t="str">
        <f t="shared" si="2"/>
        <v/>
      </c>
      <c r="N287" s="32"/>
      <c r="O287" s="32"/>
      <c r="P287" s="32"/>
      <c r="Q287" s="32"/>
      <c r="R287" s="32"/>
      <c r="S287" s="32" t="str">
        <f t="shared" si="3"/>
        <v/>
      </c>
      <c r="T287" s="32"/>
      <c r="U287" s="32"/>
    </row>
    <row r="288" ht="16.5" customHeight="1">
      <c r="A288" s="1"/>
      <c r="B288" s="23" t="str">
        <f t="shared" si="1"/>
        <v/>
      </c>
      <c r="C288" s="24"/>
      <c r="D288" s="25"/>
      <c r="E288" s="33" t="str">
        <f t="array" ref="E288">IFERROR(INDEX('03 Budget'!$C$7:$C$300,MATCH($D288,'03 Budget'!$B$7:$B$300,0)),IF($D288="","","** ID not found **"))</f>
        <v/>
      </c>
      <c r="F288" s="33" t="str">
        <f t="array" ref="F288">IFERROR(INDEX('03 Budget'!$D$7:$D$300,MATCH($D288,'03 Budget'!$B$7:$B$300,0)),IF($D288="","","** ID not found **"))</f>
        <v/>
      </c>
      <c r="G288" s="32"/>
      <c r="H288" s="32"/>
      <c r="I288" s="38"/>
      <c r="J288" s="24"/>
      <c r="K288" s="38"/>
      <c r="L288" s="24"/>
      <c r="M288" s="41" t="str">
        <f t="shared" si="2"/>
        <v/>
      </c>
      <c r="N288" s="32"/>
      <c r="O288" s="32"/>
      <c r="P288" s="32"/>
      <c r="Q288" s="32"/>
      <c r="R288" s="32"/>
      <c r="S288" s="32" t="str">
        <f t="shared" si="3"/>
        <v/>
      </c>
      <c r="T288" s="32"/>
      <c r="U288" s="32"/>
    </row>
    <row r="289" ht="16.5" customHeight="1">
      <c r="A289" s="1"/>
      <c r="B289" s="23" t="str">
        <f t="shared" si="1"/>
        <v/>
      </c>
      <c r="C289" s="24"/>
      <c r="D289" s="25"/>
      <c r="E289" s="33" t="str">
        <f t="array" ref="E289">IFERROR(INDEX('03 Budget'!$C$7:$C$300,MATCH($D289,'03 Budget'!$B$7:$B$300,0)),IF($D289="","","** ID not found **"))</f>
        <v/>
      </c>
      <c r="F289" s="33" t="str">
        <f t="array" ref="F289">IFERROR(INDEX('03 Budget'!$D$7:$D$300,MATCH($D289,'03 Budget'!$B$7:$B$300,0)),IF($D289="","","** ID not found **"))</f>
        <v/>
      </c>
      <c r="G289" s="32"/>
      <c r="H289" s="32"/>
      <c r="I289" s="38"/>
      <c r="J289" s="24"/>
      <c r="K289" s="38"/>
      <c r="L289" s="24"/>
      <c r="M289" s="41" t="str">
        <f t="shared" si="2"/>
        <v/>
      </c>
      <c r="N289" s="32"/>
      <c r="O289" s="32"/>
      <c r="P289" s="32"/>
      <c r="Q289" s="32"/>
      <c r="R289" s="32"/>
      <c r="S289" s="32" t="str">
        <f t="shared" si="3"/>
        <v/>
      </c>
      <c r="T289" s="32"/>
      <c r="U289" s="32"/>
    </row>
    <row r="290" ht="16.5" customHeight="1">
      <c r="A290" s="1"/>
      <c r="B290" s="23" t="str">
        <f t="shared" si="1"/>
        <v/>
      </c>
      <c r="C290" s="24"/>
      <c r="D290" s="25"/>
      <c r="E290" s="33" t="str">
        <f t="array" ref="E290">IFERROR(INDEX('03 Budget'!$C$7:$C$300,MATCH($D290,'03 Budget'!$B$7:$B$300,0)),IF($D290="","","** ID not found **"))</f>
        <v/>
      </c>
      <c r="F290" s="33" t="str">
        <f t="array" ref="F290">IFERROR(INDEX('03 Budget'!$D$7:$D$300,MATCH($D290,'03 Budget'!$B$7:$B$300,0)),IF($D290="","","** ID not found **"))</f>
        <v/>
      </c>
      <c r="G290" s="32"/>
      <c r="H290" s="32"/>
      <c r="I290" s="38"/>
      <c r="J290" s="24"/>
      <c r="K290" s="38"/>
      <c r="L290" s="24"/>
      <c r="M290" s="41" t="str">
        <f t="shared" si="2"/>
        <v/>
      </c>
      <c r="N290" s="32"/>
      <c r="O290" s="32"/>
      <c r="P290" s="32"/>
      <c r="Q290" s="32"/>
      <c r="R290" s="32"/>
      <c r="S290" s="32" t="str">
        <f t="shared" si="3"/>
        <v/>
      </c>
      <c r="T290" s="32"/>
      <c r="U290" s="32"/>
    </row>
    <row r="291" ht="16.5" customHeight="1">
      <c r="A291" s="1"/>
      <c r="B291" s="23" t="str">
        <f t="shared" si="1"/>
        <v/>
      </c>
      <c r="C291" s="24"/>
      <c r="D291" s="25"/>
      <c r="E291" s="33" t="str">
        <f t="array" ref="E291">IFERROR(INDEX('03 Budget'!$C$7:$C$300,MATCH($D291,'03 Budget'!$B$7:$B$300,0)),IF($D291="","","** ID not found **"))</f>
        <v/>
      </c>
      <c r="F291" s="33" t="str">
        <f t="array" ref="F291">IFERROR(INDEX('03 Budget'!$D$7:$D$300,MATCH($D291,'03 Budget'!$B$7:$B$300,0)),IF($D291="","","** ID not found **"))</f>
        <v/>
      </c>
      <c r="G291" s="32"/>
      <c r="H291" s="32"/>
      <c r="I291" s="38"/>
      <c r="J291" s="24"/>
      <c r="K291" s="38"/>
      <c r="L291" s="24"/>
      <c r="M291" s="41" t="str">
        <f t="shared" si="2"/>
        <v/>
      </c>
      <c r="N291" s="32"/>
      <c r="O291" s="32"/>
      <c r="P291" s="32"/>
      <c r="Q291" s="32"/>
      <c r="R291" s="32"/>
      <c r="S291" s="32" t="str">
        <f t="shared" si="3"/>
        <v/>
      </c>
      <c r="T291" s="32"/>
      <c r="U291" s="32"/>
    </row>
    <row r="292" ht="16.5" customHeight="1">
      <c r="A292" s="1"/>
      <c r="B292" s="23" t="str">
        <f t="shared" si="1"/>
        <v/>
      </c>
      <c r="C292" s="24"/>
      <c r="D292" s="25"/>
      <c r="E292" s="33" t="str">
        <f t="array" ref="E292">IFERROR(INDEX('03 Budget'!$C$7:$C$300,MATCH($D292,'03 Budget'!$B$7:$B$300,0)),IF($D292="","","** ID not found **"))</f>
        <v/>
      </c>
      <c r="F292" s="33" t="str">
        <f t="array" ref="F292">IFERROR(INDEX('03 Budget'!$D$7:$D$300,MATCH($D292,'03 Budget'!$B$7:$B$300,0)),IF($D292="","","** ID not found **"))</f>
        <v/>
      </c>
      <c r="G292" s="32"/>
      <c r="H292" s="32"/>
      <c r="I292" s="38"/>
      <c r="J292" s="24"/>
      <c r="K292" s="38"/>
      <c r="L292" s="24"/>
      <c r="M292" s="41" t="str">
        <f t="shared" si="2"/>
        <v/>
      </c>
      <c r="N292" s="32"/>
      <c r="O292" s="32"/>
      <c r="P292" s="32"/>
      <c r="Q292" s="32"/>
      <c r="R292" s="32"/>
      <c r="S292" s="32" t="str">
        <f t="shared" si="3"/>
        <v/>
      </c>
      <c r="T292" s="32"/>
      <c r="U292" s="32"/>
    </row>
    <row r="293" ht="16.5" customHeight="1">
      <c r="A293" s="1"/>
      <c r="B293" s="23" t="str">
        <f t="shared" si="1"/>
        <v/>
      </c>
      <c r="C293" s="24"/>
      <c r="D293" s="25"/>
      <c r="E293" s="33" t="str">
        <f t="array" ref="E293">IFERROR(INDEX('03 Budget'!$C$7:$C$300,MATCH($D293,'03 Budget'!$B$7:$B$300,0)),IF($D293="","","** ID not found **"))</f>
        <v/>
      </c>
      <c r="F293" s="33" t="str">
        <f t="array" ref="F293">IFERROR(INDEX('03 Budget'!$D$7:$D$300,MATCH($D293,'03 Budget'!$B$7:$B$300,0)),IF($D293="","","** ID not found **"))</f>
        <v/>
      </c>
      <c r="G293" s="32"/>
      <c r="H293" s="32"/>
      <c r="I293" s="38"/>
      <c r="J293" s="24"/>
      <c r="K293" s="38"/>
      <c r="L293" s="24"/>
      <c r="M293" s="41" t="str">
        <f t="shared" si="2"/>
        <v/>
      </c>
      <c r="N293" s="32"/>
      <c r="O293" s="32"/>
      <c r="P293" s="32"/>
      <c r="Q293" s="32"/>
      <c r="R293" s="32"/>
      <c r="S293" s="32" t="str">
        <f t="shared" si="3"/>
        <v/>
      </c>
      <c r="T293" s="32"/>
      <c r="U293" s="32"/>
    </row>
    <row r="294" ht="16.5" customHeight="1">
      <c r="A294" s="1"/>
      <c r="B294" s="23" t="str">
        <f t="shared" si="1"/>
        <v/>
      </c>
      <c r="C294" s="24"/>
      <c r="D294" s="25"/>
      <c r="E294" s="33" t="str">
        <f t="array" ref="E294">IFERROR(INDEX('03 Budget'!$C$7:$C$300,MATCH($D294,'03 Budget'!$B$7:$B$300,0)),IF($D294="","","** ID not found **"))</f>
        <v/>
      </c>
      <c r="F294" s="33" t="str">
        <f t="array" ref="F294">IFERROR(INDEX('03 Budget'!$D$7:$D$300,MATCH($D294,'03 Budget'!$B$7:$B$300,0)),IF($D294="","","** ID not found **"))</f>
        <v/>
      </c>
      <c r="G294" s="32"/>
      <c r="H294" s="32"/>
      <c r="I294" s="38"/>
      <c r="J294" s="24"/>
      <c r="K294" s="38"/>
      <c r="L294" s="24"/>
      <c r="M294" s="41" t="str">
        <f t="shared" si="2"/>
        <v/>
      </c>
      <c r="N294" s="32"/>
      <c r="O294" s="32"/>
      <c r="P294" s="32"/>
      <c r="Q294" s="32"/>
      <c r="R294" s="32"/>
      <c r="S294" s="32" t="str">
        <f t="shared" si="3"/>
        <v/>
      </c>
      <c r="T294" s="32"/>
      <c r="U294" s="32"/>
    </row>
    <row r="295" ht="16.5" customHeight="1">
      <c r="A295" s="1"/>
      <c r="B295" s="23" t="str">
        <f t="shared" si="1"/>
        <v/>
      </c>
      <c r="C295" s="24"/>
      <c r="D295" s="25"/>
      <c r="E295" s="33" t="str">
        <f t="array" ref="E295">IFERROR(INDEX('03 Budget'!$C$7:$C$300,MATCH($D295,'03 Budget'!$B$7:$B$300,0)),IF($D295="","","** ID not found **"))</f>
        <v/>
      </c>
      <c r="F295" s="33" t="str">
        <f t="array" ref="F295">IFERROR(INDEX('03 Budget'!$D$7:$D$300,MATCH($D295,'03 Budget'!$B$7:$B$300,0)),IF($D295="","","** ID not found **"))</f>
        <v/>
      </c>
      <c r="G295" s="32"/>
      <c r="H295" s="32"/>
      <c r="I295" s="38"/>
      <c r="J295" s="24"/>
      <c r="K295" s="38"/>
      <c r="L295" s="24"/>
      <c r="M295" s="41" t="str">
        <f t="shared" si="2"/>
        <v/>
      </c>
      <c r="N295" s="32"/>
      <c r="O295" s="32"/>
      <c r="P295" s="32"/>
      <c r="Q295" s="32"/>
      <c r="R295" s="32"/>
      <c r="S295" s="32" t="str">
        <f t="shared" si="3"/>
        <v/>
      </c>
      <c r="T295" s="32"/>
      <c r="U295" s="32"/>
    </row>
    <row r="296" ht="16.5" customHeight="1">
      <c r="A296" s="1"/>
      <c r="B296" s="23" t="str">
        <f t="shared" si="1"/>
        <v/>
      </c>
      <c r="C296" s="24"/>
      <c r="D296" s="25"/>
      <c r="E296" s="33" t="str">
        <f t="array" ref="E296">IFERROR(INDEX('03 Budget'!$C$7:$C$300,MATCH($D296,'03 Budget'!$B$7:$B$300,0)),IF($D296="","","** ID not found **"))</f>
        <v/>
      </c>
      <c r="F296" s="33" t="str">
        <f t="array" ref="F296">IFERROR(INDEX('03 Budget'!$D$7:$D$300,MATCH($D296,'03 Budget'!$B$7:$B$300,0)),IF($D296="","","** ID not found **"))</f>
        <v/>
      </c>
      <c r="G296" s="32"/>
      <c r="H296" s="32"/>
      <c r="I296" s="38"/>
      <c r="J296" s="24"/>
      <c r="K296" s="38"/>
      <c r="L296" s="24"/>
      <c r="M296" s="41" t="str">
        <f t="shared" si="2"/>
        <v/>
      </c>
      <c r="N296" s="32"/>
      <c r="O296" s="32"/>
      <c r="P296" s="32"/>
      <c r="Q296" s="32"/>
      <c r="R296" s="32"/>
      <c r="S296" s="32" t="str">
        <f t="shared" si="3"/>
        <v/>
      </c>
      <c r="T296" s="32"/>
      <c r="U296" s="32"/>
    </row>
    <row r="297" ht="16.5" customHeight="1">
      <c r="A297" s="1"/>
      <c r="B297" s="23" t="str">
        <f t="shared" si="1"/>
        <v/>
      </c>
      <c r="C297" s="24"/>
      <c r="D297" s="25"/>
      <c r="E297" s="33" t="str">
        <f t="array" ref="E297">IFERROR(INDEX('03 Budget'!$C$7:$C$300,MATCH($D297,'03 Budget'!$B$7:$B$300,0)),IF($D297="","","** ID not found **"))</f>
        <v/>
      </c>
      <c r="F297" s="33" t="str">
        <f t="array" ref="F297">IFERROR(INDEX('03 Budget'!$D$7:$D$300,MATCH($D297,'03 Budget'!$B$7:$B$300,0)),IF($D297="","","** ID not found **"))</f>
        <v/>
      </c>
      <c r="G297" s="32"/>
      <c r="H297" s="32"/>
      <c r="I297" s="38"/>
      <c r="J297" s="24"/>
      <c r="K297" s="38"/>
      <c r="L297" s="24"/>
      <c r="M297" s="41" t="str">
        <f t="shared" si="2"/>
        <v/>
      </c>
      <c r="N297" s="32"/>
      <c r="O297" s="32"/>
      <c r="P297" s="32"/>
      <c r="Q297" s="32"/>
      <c r="R297" s="32"/>
      <c r="S297" s="32" t="str">
        <f t="shared" si="3"/>
        <v/>
      </c>
      <c r="T297" s="32"/>
      <c r="U297" s="32"/>
    </row>
    <row r="298" ht="16.5" customHeight="1">
      <c r="A298" s="1"/>
      <c r="B298" s="23" t="str">
        <f t="shared" si="1"/>
        <v/>
      </c>
      <c r="C298" s="24"/>
      <c r="D298" s="25"/>
      <c r="E298" s="33" t="str">
        <f t="array" ref="E298">IFERROR(INDEX('03 Budget'!$C$7:$C$300,MATCH($D298,'03 Budget'!$B$7:$B$300,0)),IF($D298="","","** ID not found **"))</f>
        <v/>
      </c>
      <c r="F298" s="33" t="str">
        <f t="array" ref="F298">IFERROR(INDEX('03 Budget'!$D$7:$D$300,MATCH($D298,'03 Budget'!$B$7:$B$300,0)),IF($D298="","","** ID not found **"))</f>
        <v/>
      </c>
      <c r="G298" s="32"/>
      <c r="H298" s="32"/>
      <c r="I298" s="38"/>
      <c r="J298" s="24"/>
      <c r="K298" s="38"/>
      <c r="L298" s="24"/>
      <c r="M298" s="41" t="str">
        <f t="shared" si="2"/>
        <v/>
      </c>
      <c r="N298" s="32"/>
      <c r="O298" s="32"/>
      <c r="P298" s="32"/>
      <c r="Q298" s="32"/>
      <c r="R298" s="32"/>
      <c r="S298" s="32" t="str">
        <f t="shared" si="3"/>
        <v/>
      </c>
      <c r="T298" s="32"/>
      <c r="U298" s="32"/>
    </row>
    <row r="299" ht="16.5" customHeight="1">
      <c r="A299" s="1"/>
      <c r="B299" s="23" t="str">
        <f t="shared" si="1"/>
        <v/>
      </c>
      <c r="C299" s="24"/>
      <c r="D299" s="25"/>
      <c r="E299" s="33" t="str">
        <f t="array" ref="E299">IFERROR(INDEX('03 Budget'!$C$7:$C$300,MATCH($D299,'03 Budget'!$B$7:$B$300,0)),IF($D299="","","** ID not found **"))</f>
        <v/>
      </c>
      <c r="F299" s="33" t="str">
        <f t="array" ref="F299">IFERROR(INDEX('03 Budget'!$D$7:$D$300,MATCH($D299,'03 Budget'!$B$7:$B$300,0)),IF($D299="","","** ID not found **"))</f>
        <v/>
      </c>
      <c r="G299" s="32"/>
      <c r="H299" s="32"/>
      <c r="I299" s="38"/>
      <c r="J299" s="24"/>
      <c r="K299" s="38"/>
      <c r="L299" s="24"/>
      <c r="M299" s="41" t="str">
        <f t="shared" si="2"/>
        <v/>
      </c>
      <c r="N299" s="32"/>
      <c r="O299" s="32"/>
      <c r="P299" s="32"/>
      <c r="Q299" s="32"/>
      <c r="R299" s="32"/>
      <c r="S299" s="32" t="str">
        <f t="shared" si="3"/>
        <v/>
      </c>
      <c r="T299" s="32"/>
      <c r="U299" s="32"/>
    </row>
    <row r="300" ht="16.5" customHeight="1">
      <c r="A300" s="1"/>
      <c r="B300" s="23" t="str">
        <f t="shared" si="1"/>
        <v/>
      </c>
      <c r="C300" s="24"/>
      <c r="D300" s="25"/>
      <c r="E300" s="33" t="str">
        <f t="array" ref="E300">IFERROR(INDEX('03 Budget'!$C$7:$C$300,MATCH($D300,'03 Budget'!$B$7:$B$300,0)),IF($D300="","","** ID not found **"))</f>
        <v/>
      </c>
      <c r="F300" s="33" t="str">
        <f t="array" ref="F300">IFERROR(INDEX('03 Budget'!$D$7:$D$300,MATCH($D300,'03 Budget'!$B$7:$B$300,0)),IF($D300="","","** ID not found **"))</f>
        <v/>
      </c>
      <c r="G300" s="32"/>
      <c r="H300" s="32"/>
      <c r="I300" s="38"/>
      <c r="J300" s="24"/>
      <c r="K300" s="38"/>
      <c r="L300" s="24"/>
      <c r="M300" s="41" t="str">
        <f t="shared" si="2"/>
        <v/>
      </c>
      <c r="N300" s="32"/>
      <c r="O300" s="32"/>
      <c r="P300" s="32"/>
      <c r="Q300" s="32"/>
      <c r="R300" s="32"/>
      <c r="S300" s="32" t="str">
        <f t="shared" si="3"/>
        <v/>
      </c>
      <c r="T300" s="32"/>
      <c r="U300" s="32"/>
    </row>
    <row r="301" ht="16.5" customHeight="1">
      <c r="A301" s="1"/>
      <c r="B301" s="23" t="str">
        <f t="shared" si="1"/>
        <v/>
      </c>
      <c r="C301" s="24"/>
      <c r="D301" s="25"/>
      <c r="E301" s="33" t="str">
        <f t="array" ref="E301">IFERROR(INDEX('03 Budget'!$C$7:$C$300,MATCH($D301,'03 Budget'!$B$7:$B$300,0)),IF($D301="","","** ID not found **"))</f>
        <v/>
      </c>
      <c r="F301" s="33" t="str">
        <f t="array" ref="F301">IFERROR(INDEX('03 Budget'!$D$7:$D$300,MATCH($D301,'03 Budget'!$B$7:$B$300,0)),IF($D301="","","** ID not found **"))</f>
        <v/>
      </c>
      <c r="G301" s="32"/>
      <c r="H301" s="32"/>
      <c r="I301" s="38"/>
      <c r="J301" s="24"/>
      <c r="K301" s="38"/>
      <c r="L301" s="24"/>
      <c r="M301" s="41" t="str">
        <f t="shared" si="2"/>
        <v/>
      </c>
      <c r="N301" s="32"/>
      <c r="O301" s="32"/>
      <c r="P301" s="32"/>
      <c r="Q301" s="32"/>
      <c r="R301" s="32"/>
      <c r="S301" s="32" t="str">
        <f t="shared" si="3"/>
        <v/>
      </c>
      <c r="T301" s="32"/>
      <c r="U301" s="32"/>
    </row>
    <row r="302" ht="16.5" customHeight="1">
      <c r="A302" s="1"/>
      <c r="B302" s="23" t="str">
        <f t="shared" si="1"/>
        <v/>
      </c>
      <c r="C302" s="24"/>
      <c r="D302" s="25"/>
      <c r="E302" s="33" t="str">
        <f t="array" ref="E302">IFERROR(INDEX('03 Budget'!$C$7:$C$300,MATCH($D302,'03 Budget'!$B$7:$B$300,0)),IF($D302="","","** ID not found **"))</f>
        <v/>
      </c>
      <c r="F302" s="33" t="str">
        <f t="array" ref="F302">IFERROR(INDEX('03 Budget'!$D$7:$D$300,MATCH($D302,'03 Budget'!$B$7:$B$300,0)),IF($D302="","","** ID not found **"))</f>
        <v/>
      </c>
      <c r="G302" s="32"/>
      <c r="H302" s="32"/>
      <c r="I302" s="38"/>
      <c r="J302" s="24"/>
      <c r="K302" s="38"/>
      <c r="L302" s="24"/>
      <c r="M302" s="41" t="str">
        <f t="shared" si="2"/>
        <v/>
      </c>
      <c r="N302" s="32"/>
      <c r="O302" s="32"/>
      <c r="P302" s="32"/>
      <c r="Q302" s="32"/>
      <c r="R302" s="32"/>
      <c r="S302" s="32" t="str">
        <f t="shared" si="3"/>
        <v/>
      </c>
      <c r="T302" s="32"/>
      <c r="U302" s="32"/>
    </row>
    <row r="303" ht="16.5" customHeight="1">
      <c r="A303" s="1"/>
      <c r="B303" s="23" t="str">
        <f t="shared" si="1"/>
        <v/>
      </c>
      <c r="C303" s="24"/>
      <c r="D303" s="25"/>
      <c r="E303" s="33" t="str">
        <f t="array" ref="E303">IFERROR(INDEX('03 Budget'!$C$7:$C$300,MATCH($D303,'03 Budget'!$B$7:$B$300,0)),IF($D303="","","** ID not found **"))</f>
        <v/>
      </c>
      <c r="F303" s="33" t="str">
        <f t="array" ref="F303">IFERROR(INDEX('03 Budget'!$D$7:$D$300,MATCH($D303,'03 Budget'!$B$7:$B$300,0)),IF($D303="","","** ID not found **"))</f>
        <v/>
      </c>
      <c r="G303" s="32"/>
      <c r="H303" s="32"/>
      <c r="I303" s="38"/>
      <c r="J303" s="24"/>
      <c r="K303" s="38"/>
      <c r="L303" s="24"/>
      <c r="M303" s="41" t="str">
        <f t="shared" si="2"/>
        <v/>
      </c>
      <c r="N303" s="32"/>
      <c r="O303" s="32"/>
      <c r="P303" s="32"/>
      <c r="Q303" s="32"/>
      <c r="R303" s="32"/>
      <c r="S303" s="32" t="str">
        <f t="shared" si="3"/>
        <v/>
      </c>
      <c r="T303" s="32"/>
      <c r="U303" s="32"/>
    </row>
    <row r="304" ht="16.5" customHeight="1">
      <c r="A304" s="1"/>
      <c r="B304" s="23" t="str">
        <f t="shared" si="1"/>
        <v/>
      </c>
      <c r="C304" s="24"/>
      <c r="D304" s="25"/>
      <c r="E304" s="33" t="str">
        <f t="array" ref="E304">IFERROR(INDEX('03 Budget'!$C$7:$C$300,MATCH($D304,'03 Budget'!$B$7:$B$300,0)),IF($D304="","","** ID not found **"))</f>
        <v/>
      </c>
      <c r="F304" s="33" t="str">
        <f t="array" ref="F304">IFERROR(INDEX('03 Budget'!$D$7:$D$300,MATCH($D304,'03 Budget'!$B$7:$B$300,0)),IF($D304="","","** ID not found **"))</f>
        <v/>
      </c>
      <c r="G304" s="32"/>
      <c r="H304" s="32"/>
      <c r="I304" s="38"/>
      <c r="J304" s="24"/>
      <c r="K304" s="38"/>
      <c r="L304" s="24"/>
      <c r="M304" s="41" t="str">
        <f t="shared" si="2"/>
        <v/>
      </c>
      <c r="N304" s="32"/>
      <c r="O304" s="32"/>
      <c r="P304" s="32"/>
      <c r="Q304" s="32"/>
      <c r="R304" s="32"/>
      <c r="S304" s="32" t="str">
        <f t="shared" si="3"/>
        <v/>
      </c>
      <c r="T304" s="32"/>
      <c r="U304" s="32"/>
    </row>
    <row r="305" ht="16.5" customHeight="1">
      <c r="A305" s="1"/>
      <c r="B305" s="23" t="str">
        <f t="shared" si="1"/>
        <v/>
      </c>
      <c r="C305" s="24"/>
      <c r="D305" s="25"/>
      <c r="E305" s="33" t="str">
        <f t="array" ref="E305">IFERROR(INDEX('03 Budget'!$C$7:$C$300,MATCH($D305,'03 Budget'!$B$7:$B$300,0)),IF($D305="","","** ID not found **"))</f>
        <v/>
      </c>
      <c r="F305" s="33" t="str">
        <f t="array" ref="F305">IFERROR(INDEX('03 Budget'!$D$7:$D$300,MATCH($D305,'03 Budget'!$B$7:$B$300,0)),IF($D305="","","** ID not found **"))</f>
        <v/>
      </c>
      <c r="G305" s="32"/>
      <c r="H305" s="32"/>
      <c r="I305" s="38"/>
      <c r="J305" s="24"/>
      <c r="K305" s="38"/>
      <c r="L305" s="24"/>
      <c r="M305" s="41" t="str">
        <f t="shared" si="2"/>
        <v/>
      </c>
      <c r="N305" s="32"/>
      <c r="O305" s="32"/>
      <c r="P305" s="32"/>
      <c r="Q305" s="32"/>
      <c r="R305" s="32"/>
      <c r="S305" s="32" t="str">
        <f t="shared" si="3"/>
        <v/>
      </c>
      <c r="T305" s="32"/>
      <c r="U305" s="32"/>
    </row>
    <row r="306" ht="16.5" customHeight="1">
      <c r="A306" s="1"/>
      <c r="B306" s="23" t="str">
        <f t="shared" si="1"/>
        <v/>
      </c>
      <c r="C306" s="24"/>
      <c r="D306" s="25"/>
      <c r="E306" s="33" t="str">
        <f t="array" ref="E306">IFERROR(INDEX('03 Budget'!$C$7:$C$300,MATCH($D306,'03 Budget'!$B$7:$B$300,0)),IF($D306="","","** ID not found **"))</f>
        <v/>
      </c>
      <c r="F306" s="33" t="str">
        <f t="array" ref="F306">IFERROR(INDEX('03 Budget'!$D$7:$D$300,MATCH($D306,'03 Budget'!$B$7:$B$300,0)),IF($D306="","","** ID not found **"))</f>
        <v/>
      </c>
      <c r="G306" s="32"/>
      <c r="H306" s="32"/>
      <c r="I306" s="38"/>
      <c r="J306" s="24"/>
      <c r="K306" s="38"/>
      <c r="L306" s="24"/>
      <c r="M306" s="41" t="str">
        <f t="shared" si="2"/>
        <v/>
      </c>
      <c r="N306" s="32"/>
      <c r="O306" s="32"/>
      <c r="P306" s="32"/>
      <c r="Q306" s="32"/>
      <c r="R306" s="32"/>
      <c r="S306" s="32" t="str">
        <f t="shared" si="3"/>
        <v/>
      </c>
      <c r="T306" s="32"/>
      <c r="U306" s="32"/>
    </row>
    <row r="307" ht="16.5" customHeight="1">
      <c r="A307" s="1"/>
      <c r="B307" s="23" t="str">
        <f t="shared" si="1"/>
        <v/>
      </c>
      <c r="C307" s="24"/>
      <c r="D307" s="25"/>
      <c r="E307" s="33" t="str">
        <f t="array" ref="E307">IFERROR(INDEX('03 Budget'!$C$7:$C$300,MATCH($D307,'03 Budget'!$B$7:$B$300,0)),IF($D307="","","** ID not found **"))</f>
        <v/>
      </c>
      <c r="F307" s="33" t="str">
        <f t="array" ref="F307">IFERROR(INDEX('03 Budget'!$D$7:$D$300,MATCH($D307,'03 Budget'!$B$7:$B$300,0)),IF($D307="","","** ID not found **"))</f>
        <v/>
      </c>
      <c r="G307" s="32"/>
      <c r="H307" s="32"/>
      <c r="I307" s="38"/>
      <c r="J307" s="24"/>
      <c r="K307" s="38"/>
      <c r="L307" s="24"/>
      <c r="M307" s="41" t="str">
        <f t="shared" si="2"/>
        <v/>
      </c>
      <c r="N307" s="32"/>
      <c r="O307" s="32"/>
      <c r="P307" s="32"/>
      <c r="Q307" s="32"/>
      <c r="R307" s="32"/>
      <c r="S307" s="32" t="str">
        <f t="shared" si="3"/>
        <v/>
      </c>
      <c r="T307" s="32"/>
      <c r="U307" s="32"/>
    </row>
    <row r="308" ht="16.5" customHeight="1">
      <c r="A308" s="1"/>
      <c r="B308" s="23" t="str">
        <f t="shared" si="1"/>
        <v/>
      </c>
      <c r="C308" s="24"/>
      <c r="D308" s="25"/>
      <c r="E308" s="33" t="str">
        <f t="array" ref="E308">IFERROR(INDEX('03 Budget'!$C$7:$C$300,MATCH($D308,'03 Budget'!$B$7:$B$300,0)),IF($D308="","","** ID not found **"))</f>
        <v/>
      </c>
      <c r="F308" s="33" t="str">
        <f t="array" ref="F308">IFERROR(INDEX('03 Budget'!$D$7:$D$300,MATCH($D308,'03 Budget'!$B$7:$B$300,0)),IF($D308="","","** ID not found **"))</f>
        <v/>
      </c>
      <c r="G308" s="32"/>
      <c r="H308" s="32"/>
      <c r="I308" s="38"/>
      <c r="J308" s="24"/>
      <c r="K308" s="38"/>
      <c r="L308" s="24"/>
      <c r="M308" s="41" t="str">
        <f t="shared" si="2"/>
        <v/>
      </c>
      <c r="N308" s="32"/>
      <c r="O308" s="32"/>
      <c r="P308" s="32"/>
      <c r="Q308" s="32"/>
      <c r="R308" s="32"/>
      <c r="S308" s="32" t="str">
        <f t="shared" si="3"/>
        <v/>
      </c>
      <c r="T308" s="32"/>
      <c r="U308" s="32"/>
    </row>
    <row r="309" ht="16.5" customHeight="1">
      <c r="A309" s="1"/>
      <c r="B309" s="23" t="str">
        <f t="shared" si="1"/>
        <v/>
      </c>
      <c r="C309" s="24"/>
      <c r="D309" s="25"/>
      <c r="E309" s="33" t="str">
        <f t="array" ref="E309">IFERROR(INDEX('03 Budget'!$C$7:$C$300,MATCH($D309,'03 Budget'!$B$7:$B$300,0)),IF($D309="","","** ID not found **"))</f>
        <v/>
      </c>
      <c r="F309" s="33" t="str">
        <f t="array" ref="F309">IFERROR(INDEX('03 Budget'!$D$7:$D$300,MATCH($D309,'03 Budget'!$B$7:$B$300,0)),IF($D309="","","** ID not found **"))</f>
        <v/>
      </c>
      <c r="G309" s="32"/>
      <c r="H309" s="32"/>
      <c r="I309" s="38"/>
      <c r="J309" s="24"/>
      <c r="K309" s="38"/>
      <c r="L309" s="24"/>
      <c r="M309" s="41" t="str">
        <f t="shared" si="2"/>
        <v/>
      </c>
      <c r="N309" s="32"/>
      <c r="O309" s="32"/>
      <c r="P309" s="32"/>
      <c r="Q309" s="32"/>
      <c r="R309" s="32"/>
      <c r="S309" s="32" t="str">
        <f t="shared" si="3"/>
        <v/>
      </c>
      <c r="T309" s="32"/>
      <c r="U309" s="32"/>
    </row>
    <row r="310" ht="16.5" customHeight="1">
      <c r="A310" s="1"/>
      <c r="B310" s="23" t="str">
        <f t="shared" si="1"/>
        <v/>
      </c>
      <c r="C310" s="24"/>
      <c r="D310" s="25"/>
      <c r="E310" s="33" t="str">
        <f t="array" ref="E310">IFERROR(INDEX('03 Budget'!$C$7:$C$300,MATCH($D310,'03 Budget'!$B$7:$B$300,0)),IF($D310="","","** ID not found **"))</f>
        <v/>
      </c>
      <c r="F310" s="33" t="str">
        <f t="array" ref="F310">IFERROR(INDEX('03 Budget'!$D$7:$D$300,MATCH($D310,'03 Budget'!$B$7:$B$300,0)),IF($D310="","","** ID not found **"))</f>
        <v/>
      </c>
      <c r="G310" s="32"/>
      <c r="H310" s="32"/>
      <c r="I310" s="38"/>
      <c r="J310" s="24"/>
      <c r="K310" s="38"/>
      <c r="L310" s="24"/>
      <c r="M310" s="41" t="str">
        <f t="shared" si="2"/>
        <v/>
      </c>
      <c r="N310" s="32"/>
      <c r="O310" s="32"/>
      <c r="P310" s="32"/>
      <c r="Q310" s="32"/>
      <c r="R310" s="32"/>
      <c r="S310" s="32" t="str">
        <f t="shared" si="3"/>
        <v/>
      </c>
      <c r="T310" s="32"/>
      <c r="U310" s="32"/>
    </row>
    <row r="311" ht="16.5" customHeight="1">
      <c r="A311" s="1"/>
      <c r="B311" s="23" t="str">
        <f t="shared" si="1"/>
        <v/>
      </c>
      <c r="C311" s="24"/>
      <c r="D311" s="25"/>
      <c r="E311" s="33" t="str">
        <f t="array" ref="E311">IFERROR(INDEX('03 Budget'!$C$7:$C$300,MATCH($D311,'03 Budget'!$B$7:$B$300,0)),IF($D311="","","** ID not found **"))</f>
        <v/>
      </c>
      <c r="F311" s="33" t="str">
        <f t="array" ref="F311">IFERROR(INDEX('03 Budget'!$D$7:$D$300,MATCH($D311,'03 Budget'!$B$7:$B$300,0)),IF($D311="","","** ID not found **"))</f>
        <v/>
      </c>
      <c r="G311" s="32"/>
      <c r="H311" s="32"/>
      <c r="I311" s="38"/>
      <c r="J311" s="24"/>
      <c r="K311" s="38"/>
      <c r="L311" s="24"/>
      <c r="M311" s="41" t="str">
        <f t="shared" si="2"/>
        <v/>
      </c>
      <c r="N311" s="32"/>
      <c r="O311" s="32"/>
      <c r="P311" s="32"/>
      <c r="Q311" s="32"/>
      <c r="R311" s="32"/>
      <c r="S311" s="32" t="str">
        <f t="shared" si="3"/>
        <v/>
      </c>
      <c r="T311" s="32"/>
      <c r="U311" s="32"/>
    </row>
    <row r="312" ht="16.5" customHeight="1">
      <c r="A312" s="1"/>
      <c r="B312" s="23" t="str">
        <f t="shared" si="1"/>
        <v/>
      </c>
      <c r="C312" s="24"/>
      <c r="D312" s="25"/>
      <c r="E312" s="33" t="str">
        <f t="array" ref="E312">IFERROR(INDEX('03 Budget'!$C$7:$C$300,MATCH($D312,'03 Budget'!$B$7:$B$300,0)),IF($D312="","","** ID not found **"))</f>
        <v/>
      </c>
      <c r="F312" s="33" t="str">
        <f t="array" ref="F312">IFERROR(INDEX('03 Budget'!$D$7:$D$300,MATCH($D312,'03 Budget'!$B$7:$B$300,0)),IF($D312="","","** ID not found **"))</f>
        <v/>
      </c>
      <c r="G312" s="32"/>
      <c r="H312" s="32"/>
      <c r="I312" s="38"/>
      <c r="J312" s="24"/>
      <c r="K312" s="38"/>
      <c r="L312" s="24"/>
      <c r="M312" s="41" t="str">
        <f t="shared" si="2"/>
        <v/>
      </c>
      <c r="N312" s="32"/>
      <c r="O312" s="32"/>
      <c r="P312" s="32"/>
      <c r="Q312" s="32"/>
      <c r="R312" s="32"/>
      <c r="S312" s="32" t="str">
        <f t="shared" si="3"/>
        <v/>
      </c>
      <c r="T312" s="32"/>
      <c r="U312" s="32"/>
    </row>
    <row r="313" ht="16.5" customHeight="1">
      <c r="A313" s="1"/>
      <c r="B313" s="23" t="str">
        <f t="shared" si="1"/>
        <v/>
      </c>
      <c r="C313" s="24"/>
      <c r="D313" s="25"/>
      <c r="E313" s="33" t="str">
        <f t="array" ref="E313">IFERROR(INDEX('03 Budget'!$C$7:$C$300,MATCH($D313,'03 Budget'!$B$7:$B$300,0)),IF($D313="","","** ID not found **"))</f>
        <v/>
      </c>
      <c r="F313" s="33" t="str">
        <f t="array" ref="F313">IFERROR(INDEX('03 Budget'!$D$7:$D$300,MATCH($D313,'03 Budget'!$B$7:$B$300,0)),IF($D313="","","** ID not found **"))</f>
        <v/>
      </c>
      <c r="G313" s="32"/>
      <c r="H313" s="32"/>
      <c r="I313" s="38"/>
      <c r="J313" s="24"/>
      <c r="K313" s="38"/>
      <c r="L313" s="24"/>
      <c r="M313" s="41" t="str">
        <f t="shared" si="2"/>
        <v/>
      </c>
      <c r="N313" s="32"/>
      <c r="O313" s="32"/>
      <c r="P313" s="32"/>
      <c r="Q313" s="32"/>
      <c r="R313" s="32"/>
      <c r="S313" s="32" t="str">
        <f t="shared" si="3"/>
        <v/>
      </c>
      <c r="T313" s="32"/>
      <c r="U313" s="32"/>
    </row>
    <row r="314" ht="16.5" customHeight="1">
      <c r="A314" s="1"/>
      <c r="B314" s="23" t="str">
        <f t="shared" si="1"/>
        <v/>
      </c>
      <c r="C314" s="24"/>
      <c r="D314" s="25"/>
      <c r="E314" s="33" t="str">
        <f t="array" ref="E314">IFERROR(INDEX('03 Budget'!$C$7:$C$300,MATCH($D314,'03 Budget'!$B$7:$B$300,0)),IF($D314="","","** ID not found **"))</f>
        <v/>
      </c>
      <c r="F314" s="33" t="str">
        <f t="array" ref="F314">IFERROR(INDEX('03 Budget'!$D$7:$D$300,MATCH($D314,'03 Budget'!$B$7:$B$300,0)),IF($D314="","","** ID not found **"))</f>
        <v/>
      </c>
      <c r="G314" s="32"/>
      <c r="H314" s="32"/>
      <c r="I314" s="38"/>
      <c r="J314" s="24"/>
      <c r="K314" s="38"/>
      <c r="L314" s="24"/>
      <c r="M314" s="41" t="str">
        <f t="shared" si="2"/>
        <v/>
      </c>
      <c r="N314" s="32"/>
      <c r="O314" s="32"/>
      <c r="P314" s="32"/>
      <c r="Q314" s="32"/>
      <c r="R314" s="32"/>
      <c r="S314" s="32" t="str">
        <f t="shared" si="3"/>
        <v/>
      </c>
      <c r="T314" s="32"/>
      <c r="U314" s="32"/>
    </row>
    <row r="315" ht="16.5" customHeight="1">
      <c r="A315" s="1"/>
      <c r="B315" s="23" t="str">
        <f t="shared" si="1"/>
        <v/>
      </c>
      <c r="C315" s="24"/>
      <c r="D315" s="25"/>
      <c r="E315" s="33" t="str">
        <f t="array" ref="E315">IFERROR(INDEX('03 Budget'!$C$7:$C$300,MATCH($D315,'03 Budget'!$B$7:$B$300,0)),IF($D315="","","** ID not found **"))</f>
        <v/>
      </c>
      <c r="F315" s="33" t="str">
        <f t="array" ref="F315">IFERROR(INDEX('03 Budget'!$D$7:$D$300,MATCH($D315,'03 Budget'!$B$7:$B$300,0)),IF($D315="","","** ID not found **"))</f>
        <v/>
      </c>
      <c r="G315" s="32"/>
      <c r="H315" s="32"/>
      <c r="I315" s="38"/>
      <c r="J315" s="24"/>
      <c r="K315" s="38"/>
      <c r="L315" s="24"/>
      <c r="M315" s="41" t="str">
        <f t="shared" si="2"/>
        <v/>
      </c>
      <c r="N315" s="32"/>
      <c r="O315" s="32"/>
      <c r="P315" s="32"/>
      <c r="Q315" s="32"/>
      <c r="R315" s="32"/>
      <c r="S315" s="32" t="str">
        <f t="shared" si="3"/>
        <v/>
      </c>
      <c r="T315" s="32"/>
      <c r="U315" s="32"/>
    </row>
    <row r="316" ht="16.5" customHeight="1">
      <c r="A316" s="1"/>
      <c r="B316" s="23" t="str">
        <f t="shared" si="1"/>
        <v/>
      </c>
      <c r="C316" s="24"/>
      <c r="D316" s="25"/>
      <c r="E316" s="33" t="str">
        <f t="array" ref="E316">IFERROR(INDEX('03 Budget'!$C$7:$C$300,MATCH($D316,'03 Budget'!$B$7:$B$300,0)),IF($D316="","","** ID not found **"))</f>
        <v/>
      </c>
      <c r="F316" s="33" t="str">
        <f t="array" ref="F316">IFERROR(INDEX('03 Budget'!$D$7:$D$300,MATCH($D316,'03 Budget'!$B$7:$B$300,0)),IF($D316="","","** ID not found **"))</f>
        <v/>
      </c>
      <c r="G316" s="32"/>
      <c r="H316" s="32"/>
      <c r="I316" s="38"/>
      <c r="J316" s="24"/>
      <c r="K316" s="38"/>
      <c r="L316" s="24"/>
      <c r="M316" s="41" t="str">
        <f t="shared" si="2"/>
        <v/>
      </c>
      <c r="N316" s="32"/>
      <c r="O316" s="32"/>
      <c r="P316" s="32"/>
      <c r="Q316" s="32"/>
      <c r="R316" s="32"/>
      <c r="S316" s="32" t="str">
        <f t="shared" si="3"/>
        <v/>
      </c>
      <c r="T316" s="32"/>
      <c r="U316" s="32"/>
    </row>
    <row r="317" ht="16.5" customHeight="1">
      <c r="A317" s="1"/>
      <c r="B317" s="23" t="str">
        <f t="shared" si="1"/>
        <v/>
      </c>
      <c r="C317" s="24"/>
      <c r="D317" s="25"/>
      <c r="E317" s="33" t="str">
        <f t="array" ref="E317">IFERROR(INDEX('03 Budget'!$C$7:$C$300,MATCH($D317,'03 Budget'!$B$7:$B$300,0)),IF($D317="","","** ID not found **"))</f>
        <v/>
      </c>
      <c r="F317" s="33" t="str">
        <f t="array" ref="F317">IFERROR(INDEX('03 Budget'!$D$7:$D$300,MATCH($D317,'03 Budget'!$B$7:$B$300,0)),IF($D317="","","** ID not found **"))</f>
        <v/>
      </c>
      <c r="G317" s="32"/>
      <c r="H317" s="32"/>
      <c r="I317" s="38"/>
      <c r="J317" s="24"/>
      <c r="K317" s="38"/>
      <c r="L317" s="24"/>
      <c r="M317" s="41" t="str">
        <f t="shared" si="2"/>
        <v/>
      </c>
      <c r="N317" s="32"/>
      <c r="O317" s="32"/>
      <c r="P317" s="32"/>
      <c r="Q317" s="32"/>
      <c r="R317" s="32"/>
      <c r="S317" s="32" t="str">
        <f t="shared" si="3"/>
        <v/>
      </c>
      <c r="T317" s="32"/>
      <c r="U317" s="32"/>
    </row>
    <row r="318" ht="16.5" customHeight="1">
      <c r="A318" s="1"/>
      <c r="B318" s="23" t="str">
        <f t="shared" si="1"/>
        <v/>
      </c>
      <c r="C318" s="24"/>
      <c r="D318" s="25"/>
      <c r="E318" s="33" t="str">
        <f t="array" ref="E318">IFERROR(INDEX('03 Budget'!$C$7:$C$300,MATCH($D318,'03 Budget'!$B$7:$B$300,0)),IF($D318="","","** ID not found **"))</f>
        <v/>
      </c>
      <c r="F318" s="33" t="str">
        <f t="array" ref="F318">IFERROR(INDEX('03 Budget'!$D$7:$D$300,MATCH($D318,'03 Budget'!$B$7:$B$300,0)),IF($D318="","","** ID not found **"))</f>
        <v/>
      </c>
      <c r="G318" s="32"/>
      <c r="H318" s="32"/>
      <c r="I318" s="38"/>
      <c r="J318" s="24"/>
      <c r="K318" s="38"/>
      <c r="L318" s="24"/>
      <c r="M318" s="41" t="str">
        <f t="shared" si="2"/>
        <v/>
      </c>
      <c r="N318" s="32"/>
      <c r="O318" s="32"/>
      <c r="P318" s="32"/>
      <c r="Q318" s="32"/>
      <c r="R318" s="32"/>
      <c r="S318" s="32" t="str">
        <f t="shared" si="3"/>
        <v/>
      </c>
      <c r="T318" s="32"/>
      <c r="U318" s="32"/>
    </row>
    <row r="319" ht="16.5" customHeight="1">
      <c r="A319" s="1"/>
      <c r="B319" s="23" t="str">
        <f t="shared" si="1"/>
        <v/>
      </c>
      <c r="C319" s="24"/>
      <c r="D319" s="25"/>
      <c r="E319" s="33" t="str">
        <f t="array" ref="E319">IFERROR(INDEX('03 Budget'!$C$7:$C$300,MATCH($D319,'03 Budget'!$B$7:$B$300,0)),IF($D319="","","** ID not found **"))</f>
        <v/>
      </c>
      <c r="F319" s="33" t="str">
        <f t="array" ref="F319">IFERROR(INDEX('03 Budget'!$D$7:$D$300,MATCH($D319,'03 Budget'!$B$7:$B$300,0)),IF($D319="","","** ID not found **"))</f>
        <v/>
      </c>
      <c r="G319" s="32"/>
      <c r="H319" s="32"/>
      <c r="I319" s="38"/>
      <c r="J319" s="24"/>
      <c r="K319" s="38"/>
      <c r="L319" s="24"/>
      <c r="M319" s="41" t="str">
        <f t="shared" si="2"/>
        <v/>
      </c>
      <c r="N319" s="32"/>
      <c r="O319" s="32"/>
      <c r="P319" s="32"/>
      <c r="Q319" s="32"/>
      <c r="R319" s="32"/>
      <c r="S319" s="32" t="str">
        <f t="shared" si="3"/>
        <v/>
      </c>
      <c r="T319" s="32"/>
      <c r="U319" s="32"/>
    </row>
    <row r="320" ht="16.5" customHeight="1">
      <c r="A320" s="1"/>
      <c r="B320" s="23" t="str">
        <f t="shared" si="1"/>
        <v/>
      </c>
      <c r="C320" s="24"/>
      <c r="D320" s="25"/>
      <c r="E320" s="33" t="str">
        <f t="array" ref="E320">IFERROR(INDEX('03 Budget'!$C$7:$C$300,MATCH($D320,'03 Budget'!$B$7:$B$300,0)),IF($D320="","","** ID not found **"))</f>
        <v/>
      </c>
      <c r="F320" s="33" t="str">
        <f t="array" ref="F320">IFERROR(INDEX('03 Budget'!$D$7:$D$300,MATCH($D320,'03 Budget'!$B$7:$B$300,0)),IF($D320="","","** ID not found **"))</f>
        <v/>
      </c>
      <c r="G320" s="32"/>
      <c r="H320" s="32"/>
      <c r="I320" s="38"/>
      <c r="J320" s="24"/>
      <c r="K320" s="38"/>
      <c r="L320" s="24"/>
      <c r="M320" s="41" t="str">
        <f t="shared" si="2"/>
        <v/>
      </c>
      <c r="N320" s="32"/>
      <c r="O320" s="32"/>
      <c r="P320" s="32"/>
      <c r="Q320" s="32"/>
      <c r="R320" s="32"/>
      <c r="S320" s="32" t="str">
        <f t="shared" si="3"/>
        <v/>
      </c>
      <c r="T320" s="32"/>
      <c r="U320" s="32"/>
    </row>
    <row r="321" ht="16.5" customHeight="1">
      <c r="A321" s="1"/>
      <c r="B321" s="23" t="str">
        <f t="shared" si="1"/>
        <v/>
      </c>
      <c r="C321" s="24"/>
      <c r="D321" s="25"/>
      <c r="E321" s="33" t="str">
        <f t="array" ref="E321">IFERROR(INDEX('03 Budget'!$C$7:$C$300,MATCH($D321,'03 Budget'!$B$7:$B$300,0)),IF($D321="","","** ID not found **"))</f>
        <v/>
      </c>
      <c r="F321" s="33" t="str">
        <f t="array" ref="F321">IFERROR(INDEX('03 Budget'!$D$7:$D$300,MATCH($D321,'03 Budget'!$B$7:$B$300,0)),IF($D321="","","** ID not found **"))</f>
        <v/>
      </c>
      <c r="G321" s="32"/>
      <c r="H321" s="32"/>
      <c r="I321" s="38"/>
      <c r="J321" s="24"/>
      <c r="K321" s="38"/>
      <c r="L321" s="24"/>
      <c r="M321" s="41" t="str">
        <f t="shared" si="2"/>
        <v/>
      </c>
      <c r="N321" s="32"/>
      <c r="O321" s="32"/>
      <c r="P321" s="32"/>
      <c r="Q321" s="32"/>
      <c r="R321" s="32"/>
      <c r="S321" s="32" t="str">
        <f t="shared" si="3"/>
        <v/>
      </c>
      <c r="T321" s="32"/>
      <c r="U321" s="32"/>
    </row>
    <row r="322" ht="16.5" customHeight="1">
      <c r="A322" s="1"/>
      <c r="B322" s="23" t="str">
        <f t="shared" si="1"/>
        <v/>
      </c>
      <c r="C322" s="24"/>
      <c r="D322" s="25"/>
      <c r="E322" s="33" t="str">
        <f t="array" ref="E322">IFERROR(INDEX('03 Budget'!$C$7:$C$300,MATCH($D322,'03 Budget'!$B$7:$B$300,0)),IF($D322="","","** ID not found **"))</f>
        <v/>
      </c>
      <c r="F322" s="33" t="str">
        <f t="array" ref="F322">IFERROR(INDEX('03 Budget'!$D$7:$D$300,MATCH($D322,'03 Budget'!$B$7:$B$300,0)),IF($D322="","","** ID not found **"))</f>
        <v/>
      </c>
      <c r="G322" s="32"/>
      <c r="H322" s="32"/>
      <c r="I322" s="38"/>
      <c r="J322" s="24"/>
      <c r="K322" s="38"/>
      <c r="L322" s="24"/>
      <c r="M322" s="41" t="str">
        <f t="shared" si="2"/>
        <v/>
      </c>
      <c r="N322" s="32"/>
      <c r="O322" s="32"/>
      <c r="P322" s="32"/>
      <c r="Q322" s="32"/>
      <c r="R322" s="32"/>
      <c r="S322" s="32" t="str">
        <f t="shared" si="3"/>
        <v/>
      </c>
      <c r="T322" s="32"/>
      <c r="U322" s="32"/>
    </row>
    <row r="323" ht="16.5" customHeight="1">
      <c r="A323" s="1"/>
      <c r="B323" s="23" t="str">
        <f t="shared" si="1"/>
        <v/>
      </c>
      <c r="C323" s="24"/>
      <c r="D323" s="25"/>
      <c r="E323" s="33" t="str">
        <f t="array" ref="E323">IFERROR(INDEX('03 Budget'!$C$7:$C$300,MATCH($D323,'03 Budget'!$B$7:$B$300,0)),IF($D323="","","** ID not found **"))</f>
        <v/>
      </c>
      <c r="F323" s="33" t="str">
        <f t="array" ref="F323">IFERROR(INDEX('03 Budget'!$D$7:$D$300,MATCH($D323,'03 Budget'!$B$7:$B$300,0)),IF($D323="","","** ID not found **"))</f>
        <v/>
      </c>
      <c r="G323" s="32"/>
      <c r="H323" s="32"/>
      <c r="I323" s="38"/>
      <c r="J323" s="24"/>
      <c r="K323" s="38"/>
      <c r="L323" s="24"/>
      <c r="M323" s="41" t="str">
        <f t="shared" si="2"/>
        <v/>
      </c>
      <c r="N323" s="32"/>
      <c r="O323" s="32"/>
      <c r="P323" s="32"/>
      <c r="Q323" s="32"/>
      <c r="R323" s="32"/>
      <c r="S323" s="32" t="str">
        <f t="shared" si="3"/>
        <v/>
      </c>
      <c r="T323" s="32"/>
      <c r="U323" s="32"/>
    </row>
    <row r="324" ht="16.5" customHeight="1">
      <c r="A324" s="1"/>
      <c r="B324" s="23" t="str">
        <f t="shared" si="1"/>
        <v/>
      </c>
      <c r="C324" s="24"/>
      <c r="D324" s="25"/>
      <c r="E324" s="33" t="str">
        <f t="array" ref="E324">IFERROR(INDEX('03 Budget'!$C$7:$C$300,MATCH($D324,'03 Budget'!$B$7:$B$300,0)),IF($D324="","","** ID not found **"))</f>
        <v/>
      </c>
      <c r="F324" s="33" t="str">
        <f t="array" ref="F324">IFERROR(INDEX('03 Budget'!$D$7:$D$300,MATCH($D324,'03 Budget'!$B$7:$B$300,0)),IF($D324="","","** ID not found **"))</f>
        <v/>
      </c>
      <c r="G324" s="32"/>
      <c r="H324" s="32"/>
      <c r="I324" s="38"/>
      <c r="J324" s="24"/>
      <c r="K324" s="38"/>
      <c r="L324" s="24"/>
      <c r="M324" s="41" t="str">
        <f t="shared" si="2"/>
        <v/>
      </c>
      <c r="N324" s="32"/>
      <c r="O324" s="32"/>
      <c r="P324" s="32"/>
      <c r="Q324" s="32"/>
      <c r="R324" s="32"/>
      <c r="S324" s="32" t="str">
        <f t="shared" si="3"/>
        <v/>
      </c>
      <c r="T324" s="32"/>
      <c r="U324" s="32"/>
    </row>
    <row r="325" ht="16.5" customHeight="1">
      <c r="A325" s="1"/>
      <c r="B325" s="23" t="str">
        <f t="shared" si="1"/>
        <v/>
      </c>
      <c r="C325" s="24"/>
      <c r="D325" s="25"/>
      <c r="E325" s="33" t="str">
        <f t="array" ref="E325">IFERROR(INDEX('03 Budget'!$C$7:$C$300,MATCH($D325,'03 Budget'!$B$7:$B$300,0)),IF($D325="","","** ID not found **"))</f>
        <v/>
      </c>
      <c r="F325" s="33" t="str">
        <f t="array" ref="F325">IFERROR(INDEX('03 Budget'!$D$7:$D$300,MATCH($D325,'03 Budget'!$B$7:$B$300,0)),IF($D325="","","** ID not found **"))</f>
        <v/>
      </c>
      <c r="G325" s="32"/>
      <c r="H325" s="32"/>
      <c r="I325" s="38"/>
      <c r="J325" s="24"/>
      <c r="K325" s="38"/>
      <c r="L325" s="24"/>
      <c r="M325" s="41" t="str">
        <f t="shared" si="2"/>
        <v/>
      </c>
      <c r="N325" s="32"/>
      <c r="O325" s="32"/>
      <c r="P325" s="32"/>
      <c r="Q325" s="32"/>
      <c r="R325" s="32"/>
      <c r="S325" s="32" t="str">
        <f t="shared" si="3"/>
        <v/>
      </c>
      <c r="T325" s="32"/>
      <c r="U325" s="32"/>
    </row>
    <row r="326" ht="16.5" customHeight="1">
      <c r="A326" s="1"/>
      <c r="B326" s="23" t="str">
        <f t="shared" si="1"/>
        <v/>
      </c>
      <c r="C326" s="24"/>
      <c r="D326" s="25"/>
      <c r="E326" s="33" t="str">
        <f t="array" ref="E326">IFERROR(INDEX('03 Budget'!$C$7:$C$300,MATCH($D326,'03 Budget'!$B$7:$B$300,0)),IF($D326="","","** ID not found **"))</f>
        <v/>
      </c>
      <c r="F326" s="33" t="str">
        <f t="array" ref="F326">IFERROR(INDEX('03 Budget'!$D$7:$D$300,MATCH($D326,'03 Budget'!$B$7:$B$300,0)),IF($D326="","","** ID not found **"))</f>
        <v/>
      </c>
      <c r="G326" s="32"/>
      <c r="H326" s="32"/>
      <c r="I326" s="38"/>
      <c r="J326" s="24"/>
      <c r="K326" s="38"/>
      <c r="L326" s="24"/>
      <c r="M326" s="41" t="str">
        <f t="shared" si="2"/>
        <v/>
      </c>
      <c r="N326" s="32"/>
      <c r="O326" s="32"/>
      <c r="P326" s="32"/>
      <c r="Q326" s="32"/>
      <c r="R326" s="32"/>
      <c r="S326" s="32" t="str">
        <f t="shared" si="3"/>
        <v/>
      </c>
      <c r="T326" s="32"/>
      <c r="U326" s="32"/>
    </row>
    <row r="327" ht="16.5" customHeight="1">
      <c r="A327" s="1"/>
      <c r="B327" s="23" t="str">
        <f t="shared" si="1"/>
        <v/>
      </c>
      <c r="C327" s="24"/>
      <c r="D327" s="25"/>
      <c r="E327" s="33" t="str">
        <f t="array" ref="E327">IFERROR(INDEX('03 Budget'!$C$7:$C$300,MATCH($D327,'03 Budget'!$B$7:$B$300,0)),IF($D327="","","** ID not found **"))</f>
        <v/>
      </c>
      <c r="F327" s="33" t="str">
        <f t="array" ref="F327">IFERROR(INDEX('03 Budget'!$D$7:$D$300,MATCH($D327,'03 Budget'!$B$7:$B$300,0)),IF($D327="","","** ID not found **"))</f>
        <v/>
      </c>
      <c r="G327" s="32"/>
      <c r="H327" s="32"/>
      <c r="I327" s="38"/>
      <c r="J327" s="24"/>
      <c r="K327" s="38"/>
      <c r="L327" s="24"/>
      <c r="M327" s="41" t="str">
        <f t="shared" si="2"/>
        <v/>
      </c>
      <c r="N327" s="32"/>
      <c r="O327" s="32"/>
      <c r="P327" s="32"/>
      <c r="Q327" s="32"/>
      <c r="R327" s="32"/>
      <c r="S327" s="32" t="str">
        <f t="shared" si="3"/>
        <v/>
      </c>
      <c r="T327" s="32"/>
      <c r="U327" s="32"/>
    </row>
    <row r="328" ht="16.5" customHeight="1">
      <c r="A328" s="1"/>
      <c r="B328" s="23" t="str">
        <f t="shared" si="1"/>
        <v/>
      </c>
      <c r="C328" s="24"/>
      <c r="D328" s="25"/>
      <c r="E328" s="33" t="str">
        <f t="array" ref="E328">IFERROR(INDEX('03 Budget'!$C$7:$C$300,MATCH($D328,'03 Budget'!$B$7:$B$300,0)),IF($D328="","","** ID not found **"))</f>
        <v/>
      </c>
      <c r="F328" s="33" t="str">
        <f t="array" ref="F328">IFERROR(INDEX('03 Budget'!$D$7:$D$300,MATCH($D328,'03 Budget'!$B$7:$B$300,0)),IF($D328="","","** ID not found **"))</f>
        <v/>
      </c>
      <c r="G328" s="32"/>
      <c r="H328" s="32"/>
      <c r="I328" s="38"/>
      <c r="J328" s="24"/>
      <c r="K328" s="38"/>
      <c r="L328" s="24"/>
      <c r="M328" s="41" t="str">
        <f t="shared" si="2"/>
        <v/>
      </c>
      <c r="N328" s="32"/>
      <c r="O328" s="32"/>
      <c r="P328" s="32"/>
      <c r="Q328" s="32"/>
      <c r="R328" s="32"/>
      <c r="S328" s="32" t="str">
        <f t="shared" si="3"/>
        <v/>
      </c>
      <c r="T328" s="32"/>
      <c r="U328" s="32"/>
    </row>
    <row r="329" ht="16.5" customHeight="1">
      <c r="A329" s="1"/>
      <c r="B329" s="23" t="str">
        <f t="shared" si="1"/>
        <v/>
      </c>
      <c r="C329" s="24"/>
      <c r="D329" s="25"/>
      <c r="E329" s="33" t="str">
        <f t="array" ref="E329">IFERROR(INDEX('03 Budget'!$C$7:$C$300,MATCH($D329,'03 Budget'!$B$7:$B$300,0)),IF($D329="","","** ID not found **"))</f>
        <v/>
      </c>
      <c r="F329" s="33" t="str">
        <f t="array" ref="F329">IFERROR(INDEX('03 Budget'!$D$7:$D$300,MATCH($D329,'03 Budget'!$B$7:$B$300,0)),IF($D329="","","** ID not found **"))</f>
        <v/>
      </c>
      <c r="G329" s="32"/>
      <c r="H329" s="32"/>
      <c r="I329" s="38"/>
      <c r="J329" s="24"/>
      <c r="K329" s="38"/>
      <c r="L329" s="24"/>
      <c r="M329" s="41" t="str">
        <f t="shared" si="2"/>
        <v/>
      </c>
      <c r="N329" s="32"/>
      <c r="O329" s="32"/>
      <c r="P329" s="32"/>
      <c r="Q329" s="32"/>
      <c r="R329" s="32"/>
      <c r="S329" s="32" t="str">
        <f t="shared" si="3"/>
        <v/>
      </c>
      <c r="T329" s="32"/>
      <c r="U329" s="32"/>
    </row>
    <row r="330" ht="16.5" customHeight="1">
      <c r="A330" s="1"/>
      <c r="B330" s="23" t="str">
        <f t="shared" si="1"/>
        <v/>
      </c>
      <c r="C330" s="24"/>
      <c r="D330" s="25"/>
      <c r="E330" s="33" t="str">
        <f t="array" ref="E330">IFERROR(INDEX('03 Budget'!$C$7:$C$300,MATCH($D330,'03 Budget'!$B$7:$B$300,0)),IF($D330="","","** ID not found **"))</f>
        <v/>
      </c>
      <c r="F330" s="33" t="str">
        <f t="array" ref="F330">IFERROR(INDEX('03 Budget'!$D$7:$D$300,MATCH($D330,'03 Budget'!$B$7:$B$300,0)),IF($D330="","","** ID not found **"))</f>
        <v/>
      </c>
      <c r="G330" s="32"/>
      <c r="H330" s="32"/>
      <c r="I330" s="38"/>
      <c r="J330" s="24"/>
      <c r="K330" s="38"/>
      <c r="L330" s="24"/>
      <c r="M330" s="41" t="str">
        <f t="shared" si="2"/>
        <v/>
      </c>
      <c r="N330" s="32"/>
      <c r="O330" s="32"/>
      <c r="P330" s="32"/>
      <c r="Q330" s="32"/>
      <c r="R330" s="32"/>
      <c r="S330" s="32" t="str">
        <f t="shared" si="3"/>
        <v/>
      </c>
      <c r="T330" s="32"/>
      <c r="U330" s="32"/>
    </row>
    <row r="331" ht="16.5" customHeight="1">
      <c r="A331" s="1"/>
      <c r="B331" s="23" t="str">
        <f t="shared" si="1"/>
        <v/>
      </c>
      <c r="C331" s="24"/>
      <c r="D331" s="25"/>
      <c r="E331" s="33" t="str">
        <f t="array" ref="E331">IFERROR(INDEX('03 Budget'!$C$7:$C$300,MATCH($D331,'03 Budget'!$B$7:$B$300,0)),IF($D331="","","** ID not found **"))</f>
        <v/>
      </c>
      <c r="F331" s="33" t="str">
        <f t="array" ref="F331">IFERROR(INDEX('03 Budget'!$D$7:$D$300,MATCH($D331,'03 Budget'!$B$7:$B$300,0)),IF($D331="","","** ID not found **"))</f>
        <v/>
      </c>
      <c r="G331" s="32"/>
      <c r="H331" s="32"/>
      <c r="I331" s="38"/>
      <c r="J331" s="24"/>
      <c r="K331" s="38"/>
      <c r="L331" s="24"/>
      <c r="M331" s="41" t="str">
        <f t="shared" si="2"/>
        <v/>
      </c>
      <c r="N331" s="32"/>
      <c r="O331" s="32"/>
      <c r="P331" s="32"/>
      <c r="Q331" s="32"/>
      <c r="R331" s="32"/>
      <c r="S331" s="32" t="str">
        <f t="shared" si="3"/>
        <v/>
      </c>
      <c r="T331" s="32"/>
      <c r="U331" s="32"/>
    </row>
    <row r="332" ht="16.5" customHeight="1">
      <c r="A332" s="1"/>
      <c r="B332" s="23" t="str">
        <f t="shared" si="1"/>
        <v/>
      </c>
      <c r="C332" s="24"/>
      <c r="D332" s="25"/>
      <c r="E332" s="33" t="str">
        <f t="array" ref="E332">IFERROR(INDEX('03 Budget'!$C$7:$C$300,MATCH($D332,'03 Budget'!$B$7:$B$300,0)),IF($D332="","","** ID not found **"))</f>
        <v/>
      </c>
      <c r="F332" s="33" t="str">
        <f t="array" ref="F332">IFERROR(INDEX('03 Budget'!$D$7:$D$300,MATCH($D332,'03 Budget'!$B$7:$B$300,0)),IF($D332="","","** ID not found **"))</f>
        <v/>
      </c>
      <c r="G332" s="32"/>
      <c r="H332" s="32"/>
      <c r="I332" s="38"/>
      <c r="J332" s="24"/>
      <c r="K332" s="38"/>
      <c r="L332" s="24"/>
      <c r="M332" s="41" t="str">
        <f t="shared" si="2"/>
        <v/>
      </c>
      <c r="N332" s="32"/>
      <c r="O332" s="32"/>
      <c r="P332" s="32"/>
      <c r="Q332" s="32"/>
      <c r="R332" s="32"/>
      <c r="S332" s="32" t="str">
        <f t="shared" si="3"/>
        <v/>
      </c>
      <c r="T332" s="32"/>
      <c r="U332" s="32"/>
    </row>
    <row r="333" ht="16.5" customHeight="1">
      <c r="A333" s="1"/>
      <c r="B333" s="23" t="str">
        <f t="shared" si="1"/>
        <v/>
      </c>
      <c r="C333" s="24"/>
      <c r="D333" s="25"/>
      <c r="E333" s="33" t="str">
        <f t="array" ref="E333">IFERROR(INDEX('03 Budget'!$C$7:$C$300,MATCH($D333,'03 Budget'!$B$7:$B$300,0)),IF($D333="","","** ID not found **"))</f>
        <v/>
      </c>
      <c r="F333" s="33" t="str">
        <f t="array" ref="F333">IFERROR(INDEX('03 Budget'!$D$7:$D$300,MATCH($D333,'03 Budget'!$B$7:$B$300,0)),IF($D333="","","** ID not found **"))</f>
        <v/>
      </c>
      <c r="G333" s="32"/>
      <c r="H333" s="32"/>
      <c r="I333" s="38"/>
      <c r="J333" s="24"/>
      <c r="K333" s="38"/>
      <c r="L333" s="24"/>
      <c r="M333" s="41" t="str">
        <f t="shared" si="2"/>
        <v/>
      </c>
      <c r="N333" s="32"/>
      <c r="O333" s="32"/>
      <c r="P333" s="32"/>
      <c r="Q333" s="32"/>
      <c r="R333" s="32"/>
      <c r="S333" s="32" t="str">
        <f t="shared" si="3"/>
        <v/>
      </c>
      <c r="T333" s="32"/>
      <c r="U333" s="32"/>
    </row>
    <row r="334" ht="16.5" customHeight="1">
      <c r="A334" s="1"/>
      <c r="B334" s="23" t="str">
        <f t="shared" si="1"/>
        <v/>
      </c>
      <c r="C334" s="24"/>
      <c r="D334" s="25"/>
      <c r="E334" s="33" t="str">
        <f t="array" ref="E334">IFERROR(INDEX('03 Budget'!$C$7:$C$300,MATCH($D334,'03 Budget'!$B$7:$B$300,0)),IF($D334="","","** ID not found **"))</f>
        <v/>
      </c>
      <c r="F334" s="33" t="str">
        <f t="array" ref="F334">IFERROR(INDEX('03 Budget'!$D$7:$D$300,MATCH($D334,'03 Budget'!$B$7:$B$300,0)),IF($D334="","","** ID not found **"))</f>
        <v/>
      </c>
      <c r="G334" s="32"/>
      <c r="H334" s="32"/>
      <c r="I334" s="38"/>
      <c r="J334" s="24"/>
      <c r="K334" s="38"/>
      <c r="L334" s="24"/>
      <c r="M334" s="41" t="str">
        <f t="shared" si="2"/>
        <v/>
      </c>
      <c r="N334" s="32"/>
      <c r="O334" s="32"/>
      <c r="P334" s="32"/>
      <c r="Q334" s="32"/>
      <c r="R334" s="32"/>
      <c r="S334" s="32" t="str">
        <f t="shared" si="3"/>
        <v/>
      </c>
      <c r="T334" s="32"/>
      <c r="U334" s="32"/>
    </row>
    <row r="335" ht="16.5" customHeight="1">
      <c r="A335" s="1"/>
      <c r="B335" s="23" t="str">
        <f t="shared" si="1"/>
        <v/>
      </c>
      <c r="C335" s="24"/>
      <c r="D335" s="25"/>
      <c r="E335" s="33" t="str">
        <f t="array" ref="E335">IFERROR(INDEX('03 Budget'!$C$7:$C$300,MATCH($D335,'03 Budget'!$B$7:$B$300,0)),IF($D335="","","** ID not found **"))</f>
        <v/>
      </c>
      <c r="F335" s="33" t="str">
        <f t="array" ref="F335">IFERROR(INDEX('03 Budget'!$D$7:$D$300,MATCH($D335,'03 Budget'!$B$7:$B$300,0)),IF($D335="","","** ID not found **"))</f>
        <v/>
      </c>
      <c r="G335" s="32"/>
      <c r="H335" s="32"/>
      <c r="I335" s="38"/>
      <c r="J335" s="24"/>
      <c r="K335" s="38"/>
      <c r="L335" s="24"/>
      <c r="M335" s="41" t="str">
        <f t="shared" si="2"/>
        <v/>
      </c>
      <c r="N335" s="32"/>
      <c r="O335" s="32"/>
      <c r="P335" s="32"/>
      <c r="Q335" s="32"/>
      <c r="R335" s="32"/>
      <c r="S335" s="32" t="str">
        <f t="shared" si="3"/>
        <v/>
      </c>
      <c r="T335" s="32"/>
      <c r="U335" s="32"/>
    </row>
    <row r="336" ht="16.5" customHeight="1">
      <c r="A336" s="1"/>
      <c r="B336" s="23" t="str">
        <f t="shared" si="1"/>
        <v/>
      </c>
      <c r="C336" s="24"/>
      <c r="D336" s="25"/>
      <c r="E336" s="33" t="str">
        <f t="array" ref="E336">IFERROR(INDEX('03 Budget'!$C$7:$C$300,MATCH($D336,'03 Budget'!$B$7:$B$300,0)),IF($D336="","","** ID not found **"))</f>
        <v/>
      </c>
      <c r="F336" s="33" t="str">
        <f t="array" ref="F336">IFERROR(INDEX('03 Budget'!$D$7:$D$300,MATCH($D336,'03 Budget'!$B$7:$B$300,0)),IF($D336="","","** ID not found **"))</f>
        <v/>
      </c>
      <c r="G336" s="32"/>
      <c r="H336" s="32"/>
      <c r="I336" s="38"/>
      <c r="J336" s="24"/>
      <c r="K336" s="38"/>
      <c r="L336" s="24"/>
      <c r="M336" s="41" t="str">
        <f t="shared" si="2"/>
        <v/>
      </c>
      <c r="N336" s="32"/>
      <c r="O336" s="32"/>
      <c r="P336" s="32"/>
      <c r="Q336" s="32"/>
      <c r="R336" s="32"/>
      <c r="S336" s="32" t="str">
        <f t="shared" si="3"/>
        <v/>
      </c>
      <c r="T336" s="32"/>
      <c r="U336" s="32"/>
    </row>
    <row r="337" ht="16.5" customHeight="1">
      <c r="A337" s="1"/>
      <c r="B337" s="23" t="str">
        <f t="shared" si="1"/>
        <v/>
      </c>
      <c r="C337" s="24"/>
      <c r="D337" s="25"/>
      <c r="E337" s="33" t="str">
        <f t="array" ref="E337">IFERROR(INDEX('03 Budget'!$C$7:$C$300,MATCH($D337,'03 Budget'!$B$7:$B$300,0)),IF($D337="","","** ID not found **"))</f>
        <v/>
      </c>
      <c r="F337" s="33" t="str">
        <f t="array" ref="F337">IFERROR(INDEX('03 Budget'!$D$7:$D$300,MATCH($D337,'03 Budget'!$B$7:$B$300,0)),IF($D337="","","** ID not found **"))</f>
        <v/>
      </c>
      <c r="G337" s="32"/>
      <c r="H337" s="32"/>
      <c r="I337" s="38"/>
      <c r="J337" s="24"/>
      <c r="K337" s="38"/>
      <c r="L337" s="24"/>
      <c r="M337" s="41" t="str">
        <f t="shared" si="2"/>
        <v/>
      </c>
      <c r="N337" s="32"/>
      <c r="O337" s="32"/>
      <c r="P337" s="32"/>
      <c r="Q337" s="32"/>
      <c r="R337" s="32"/>
      <c r="S337" s="32" t="str">
        <f t="shared" si="3"/>
        <v/>
      </c>
      <c r="T337" s="32"/>
      <c r="U337" s="32"/>
    </row>
    <row r="338" ht="16.5" customHeight="1">
      <c r="A338" s="1"/>
      <c r="B338" s="23" t="str">
        <f t="shared" si="1"/>
        <v/>
      </c>
      <c r="C338" s="24"/>
      <c r="D338" s="25"/>
      <c r="E338" s="33" t="str">
        <f t="array" ref="E338">IFERROR(INDEX('03 Budget'!$C$7:$C$300,MATCH($D338,'03 Budget'!$B$7:$B$300,0)),IF($D338="","","** ID not found **"))</f>
        <v/>
      </c>
      <c r="F338" s="33" t="str">
        <f t="array" ref="F338">IFERROR(INDEX('03 Budget'!$D$7:$D$300,MATCH($D338,'03 Budget'!$B$7:$B$300,0)),IF($D338="","","** ID not found **"))</f>
        <v/>
      </c>
      <c r="G338" s="32"/>
      <c r="H338" s="32"/>
      <c r="I338" s="38"/>
      <c r="J338" s="24"/>
      <c r="K338" s="38"/>
      <c r="L338" s="24"/>
      <c r="M338" s="41" t="str">
        <f t="shared" si="2"/>
        <v/>
      </c>
      <c r="N338" s="32"/>
      <c r="O338" s="32"/>
      <c r="P338" s="32"/>
      <c r="Q338" s="32"/>
      <c r="R338" s="32"/>
      <c r="S338" s="32" t="str">
        <f t="shared" si="3"/>
        <v/>
      </c>
      <c r="T338" s="32"/>
      <c r="U338" s="32"/>
    </row>
    <row r="339" ht="16.5" customHeight="1">
      <c r="A339" s="1"/>
      <c r="B339" s="23" t="str">
        <f t="shared" si="1"/>
        <v/>
      </c>
      <c r="C339" s="24"/>
      <c r="D339" s="25"/>
      <c r="E339" s="33" t="str">
        <f t="array" ref="E339">IFERROR(INDEX('03 Budget'!$C$7:$C$300,MATCH($D339,'03 Budget'!$B$7:$B$300,0)),IF($D339="","","** ID not found **"))</f>
        <v/>
      </c>
      <c r="F339" s="33" t="str">
        <f t="array" ref="F339">IFERROR(INDEX('03 Budget'!$D$7:$D$300,MATCH($D339,'03 Budget'!$B$7:$B$300,0)),IF($D339="","","** ID not found **"))</f>
        <v/>
      </c>
      <c r="G339" s="32"/>
      <c r="H339" s="32"/>
      <c r="I339" s="38"/>
      <c r="J339" s="24"/>
      <c r="K339" s="38"/>
      <c r="L339" s="24"/>
      <c r="M339" s="41" t="str">
        <f t="shared" si="2"/>
        <v/>
      </c>
      <c r="N339" s="32"/>
      <c r="O339" s="32"/>
      <c r="P339" s="32"/>
      <c r="Q339" s="32"/>
      <c r="R339" s="32"/>
      <c r="S339" s="32" t="str">
        <f t="shared" si="3"/>
        <v/>
      </c>
      <c r="T339" s="32"/>
      <c r="U339" s="32"/>
    </row>
    <row r="340" ht="16.5" customHeight="1">
      <c r="A340" s="1"/>
      <c r="B340" s="23" t="str">
        <f t="shared" si="1"/>
        <v/>
      </c>
      <c r="C340" s="24"/>
      <c r="D340" s="25"/>
      <c r="E340" s="33" t="str">
        <f t="array" ref="E340">IFERROR(INDEX('03 Budget'!$C$7:$C$300,MATCH($D340,'03 Budget'!$B$7:$B$300,0)),IF($D340="","","** ID not found **"))</f>
        <v/>
      </c>
      <c r="F340" s="33" t="str">
        <f t="array" ref="F340">IFERROR(INDEX('03 Budget'!$D$7:$D$300,MATCH($D340,'03 Budget'!$B$7:$B$300,0)),IF($D340="","","** ID not found **"))</f>
        <v/>
      </c>
      <c r="G340" s="32"/>
      <c r="H340" s="32"/>
      <c r="I340" s="38"/>
      <c r="J340" s="24"/>
      <c r="K340" s="38"/>
      <c r="L340" s="24"/>
      <c r="M340" s="41" t="str">
        <f t="shared" si="2"/>
        <v/>
      </c>
      <c r="N340" s="32"/>
      <c r="O340" s="32"/>
      <c r="P340" s="32"/>
      <c r="Q340" s="32"/>
      <c r="R340" s="32"/>
      <c r="S340" s="32" t="str">
        <f t="shared" si="3"/>
        <v/>
      </c>
      <c r="T340" s="32"/>
      <c r="U340" s="32"/>
    </row>
    <row r="341" ht="16.5" customHeight="1">
      <c r="A341" s="1"/>
      <c r="B341" s="23" t="str">
        <f t="shared" si="1"/>
        <v/>
      </c>
      <c r="C341" s="24"/>
      <c r="D341" s="25"/>
      <c r="E341" s="33" t="str">
        <f t="array" ref="E341">IFERROR(INDEX('03 Budget'!$C$7:$C$300,MATCH($D341,'03 Budget'!$B$7:$B$300,0)),IF($D341="","","** ID not found **"))</f>
        <v/>
      </c>
      <c r="F341" s="33" t="str">
        <f t="array" ref="F341">IFERROR(INDEX('03 Budget'!$D$7:$D$300,MATCH($D341,'03 Budget'!$B$7:$B$300,0)),IF($D341="","","** ID not found **"))</f>
        <v/>
      </c>
      <c r="G341" s="32"/>
      <c r="H341" s="32"/>
      <c r="I341" s="38"/>
      <c r="J341" s="24"/>
      <c r="K341" s="38"/>
      <c r="L341" s="24"/>
      <c r="M341" s="41" t="str">
        <f t="shared" si="2"/>
        <v/>
      </c>
      <c r="N341" s="32"/>
      <c r="O341" s="32"/>
      <c r="P341" s="32"/>
      <c r="Q341" s="32"/>
      <c r="R341" s="32"/>
      <c r="S341" s="32" t="str">
        <f t="shared" si="3"/>
        <v/>
      </c>
      <c r="T341" s="32"/>
      <c r="U341" s="32"/>
    </row>
    <row r="342" ht="16.5" customHeight="1">
      <c r="A342" s="1"/>
      <c r="B342" s="23" t="str">
        <f t="shared" si="1"/>
        <v/>
      </c>
      <c r="C342" s="24"/>
      <c r="D342" s="25"/>
      <c r="E342" s="33" t="str">
        <f t="array" ref="E342">IFERROR(INDEX('03 Budget'!$C$7:$C$300,MATCH($D342,'03 Budget'!$B$7:$B$300,0)),IF($D342="","","** ID not found **"))</f>
        <v/>
      </c>
      <c r="F342" s="33" t="str">
        <f t="array" ref="F342">IFERROR(INDEX('03 Budget'!$D$7:$D$300,MATCH($D342,'03 Budget'!$B$7:$B$300,0)),IF($D342="","","** ID not found **"))</f>
        <v/>
      </c>
      <c r="G342" s="32"/>
      <c r="H342" s="32"/>
      <c r="I342" s="38"/>
      <c r="J342" s="24"/>
      <c r="K342" s="38"/>
      <c r="L342" s="24"/>
      <c r="M342" s="41" t="str">
        <f t="shared" si="2"/>
        <v/>
      </c>
      <c r="N342" s="32"/>
      <c r="O342" s="32"/>
      <c r="P342" s="32"/>
      <c r="Q342" s="32"/>
      <c r="R342" s="32"/>
      <c r="S342" s="32" t="str">
        <f t="shared" si="3"/>
        <v/>
      </c>
      <c r="T342" s="32"/>
      <c r="U342" s="32"/>
    </row>
    <row r="343" ht="16.5" customHeight="1">
      <c r="A343" s="1"/>
      <c r="B343" s="23" t="str">
        <f t="shared" si="1"/>
        <v/>
      </c>
      <c r="C343" s="24"/>
      <c r="D343" s="25"/>
      <c r="E343" s="33" t="str">
        <f t="array" ref="E343">IFERROR(INDEX('03 Budget'!$C$7:$C$300,MATCH($D343,'03 Budget'!$B$7:$B$300,0)),IF($D343="","","** ID not found **"))</f>
        <v/>
      </c>
      <c r="F343" s="33" t="str">
        <f t="array" ref="F343">IFERROR(INDEX('03 Budget'!$D$7:$D$300,MATCH($D343,'03 Budget'!$B$7:$B$300,0)),IF($D343="","","** ID not found **"))</f>
        <v/>
      </c>
      <c r="G343" s="32"/>
      <c r="H343" s="32"/>
      <c r="I343" s="38"/>
      <c r="J343" s="24"/>
      <c r="K343" s="38"/>
      <c r="L343" s="24"/>
      <c r="M343" s="41" t="str">
        <f t="shared" si="2"/>
        <v/>
      </c>
      <c r="N343" s="32"/>
      <c r="O343" s="32"/>
      <c r="P343" s="32"/>
      <c r="Q343" s="32"/>
      <c r="R343" s="32"/>
      <c r="S343" s="32" t="str">
        <f t="shared" si="3"/>
        <v/>
      </c>
      <c r="T343" s="32"/>
      <c r="U343" s="32"/>
    </row>
    <row r="344" ht="16.5" customHeight="1">
      <c r="A344" s="1"/>
      <c r="B344" s="23" t="str">
        <f t="shared" si="1"/>
        <v/>
      </c>
      <c r="C344" s="24"/>
      <c r="D344" s="25"/>
      <c r="E344" s="33" t="str">
        <f t="array" ref="E344">IFERROR(INDEX('03 Budget'!$C$7:$C$300,MATCH($D344,'03 Budget'!$B$7:$B$300,0)),IF($D344="","","** ID not found **"))</f>
        <v/>
      </c>
      <c r="F344" s="33" t="str">
        <f t="array" ref="F344">IFERROR(INDEX('03 Budget'!$D$7:$D$300,MATCH($D344,'03 Budget'!$B$7:$B$300,0)),IF($D344="","","** ID not found **"))</f>
        <v/>
      </c>
      <c r="G344" s="32"/>
      <c r="H344" s="32"/>
      <c r="I344" s="38"/>
      <c r="J344" s="24"/>
      <c r="K344" s="38"/>
      <c r="L344" s="24"/>
      <c r="M344" s="41" t="str">
        <f t="shared" si="2"/>
        <v/>
      </c>
      <c r="N344" s="32"/>
      <c r="O344" s="32"/>
      <c r="P344" s="32"/>
      <c r="Q344" s="32"/>
      <c r="R344" s="32"/>
      <c r="S344" s="32" t="str">
        <f t="shared" si="3"/>
        <v/>
      </c>
      <c r="T344" s="32"/>
      <c r="U344" s="32"/>
    </row>
    <row r="345" ht="16.5" customHeight="1">
      <c r="A345" s="1"/>
      <c r="B345" s="23" t="str">
        <f t="shared" si="1"/>
        <v/>
      </c>
      <c r="C345" s="24"/>
      <c r="D345" s="25"/>
      <c r="E345" s="33" t="str">
        <f t="array" ref="E345">IFERROR(INDEX('03 Budget'!$C$7:$C$300,MATCH($D345,'03 Budget'!$B$7:$B$300,0)),IF($D345="","","** ID not found **"))</f>
        <v/>
      </c>
      <c r="F345" s="33" t="str">
        <f t="array" ref="F345">IFERROR(INDEX('03 Budget'!$D$7:$D$300,MATCH($D345,'03 Budget'!$B$7:$B$300,0)),IF($D345="","","** ID not found **"))</f>
        <v/>
      </c>
      <c r="G345" s="32"/>
      <c r="H345" s="32"/>
      <c r="I345" s="38"/>
      <c r="J345" s="24"/>
      <c r="K345" s="38"/>
      <c r="L345" s="24"/>
      <c r="M345" s="41" t="str">
        <f t="shared" si="2"/>
        <v/>
      </c>
      <c r="N345" s="32"/>
      <c r="O345" s="32"/>
      <c r="P345" s="32"/>
      <c r="Q345" s="32"/>
      <c r="R345" s="32"/>
      <c r="S345" s="32" t="str">
        <f t="shared" si="3"/>
        <v/>
      </c>
      <c r="T345" s="32"/>
      <c r="U345" s="32"/>
    </row>
    <row r="346" ht="16.5" customHeight="1">
      <c r="A346" s="1"/>
      <c r="B346" s="23" t="str">
        <f t="shared" si="1"/>
        <v/>
      </c>
      <c r="C346" s="24"/>
      <c r="D346" s="25"/>
      <c r="E346" s="33" t="str">
        <f t="array" ref="E346">IFERROR(INDEX('03 Budget'!$C$7:$C$300,MATCH($D346,'03 Budget'!$B$7:$B$300,0)),IF($D346="","","** ID not found **"))</f>
        <v/>
      </c>
      <c r="F346" s="33" t="str">
        <f t="array" ref="F346">IFERROR(INDEX('03 Budget'!$D$7:$D$300,MATCH($D346,'03 Budget'!$B$7:$B$300,0)),IF($D346="","","** ID not found **"))</f>
        <v/>
      </c>
      <c r="G346" s="32"/>
      <c r="H346" s="32"/>
      <c r="I346" s="38"/>
      <c r="J346" s="24"/>
      <c r="K346" s="38"/>
      <c r="L346" s="24"/>
      <c r="M346" s="41" t="str">
        <f t="shared" si="2"/>
        <v/>
      </c>
      <c r="N346" s="32"/>
      <c r="O346" s="32"/>
      <c r="P346" s="32"/>
      <c r="Q346" s="32"/>
      <c r="R346" s="32"/>
      <c r="S346" s="32" t="str">
        <f t="shared" si="3"/>
        <v/>
      </c>
      <c r="T346" s="32"/>
      <c r="U346" s="32"/>
    </row>
    <row r="347" ht="16.5" customHeight="1">
      <c r="A347" s="1"/>
      <c r="B347" s="23" t="str">
        <f t="shared" si="1"/>
        <v/>
      </c>
      <c r="C347" s="24"/>
      <c r="D347" s="25"/>
      <c r="E347" s="33" t="str">
        <f t="array" ref="E347">IFERROR(INDEX('03 Budget'!$C$7:$C$300,MATCH($D347,'03 Budget'!$B$7:$B$300,0)),IF($D347="","","** ID not found **"))</f>
        <v/>
      </c>
      <c r="F347" s="33" t="str">
        <f t="array" ref="F347">IFERROR(INDEX('03 Budget'!$D$7:$D$300,MATCH($D347,'03 Budget'!$B$7:$B$300,0)),IF($D347="","","** ID not found **"))</f>
        <v/>
      </c>
      <c r="G347" s="32"/>
      <c r="H347" s="32"/>
      <c r="I347" s="38"/>
      <c r="J347" s="24"/>
      <c r="K347" s="38"/>
      <c r="L347" s="24"/>
      <c r="M347" s="41" t="str">
        <f t="shared" si="2"/>
        <v/>
      </c>
      <c r="N347" s="32"/>
      <c r="O347" s="32"/>
      <c r="P347" s="32"/>
      <c r="Q347" s="32"/>
      <c r="R347" s="32"/>
      <c r="S347" s="32" t="str">
        <f t="shared" si="3"/>
        <v/>
      </c>
      <c r="T347" s="32"/>
      <c r="U347" s="32"/>
    </row>
    <row r="348" ht="16.5" customHeight="1">
      <c r="A348" s="1"/>
      <c r="B348" s="23" t="str">
        <f t="shared" si="1"/>
        <v/>
      </c>
      <c r="C348" s="24"/>
      <c r="D348" s="25"/>
      <c r="E348" s="33" t="str">
        <f t="array" ref="E348">IFERROR(INDEX('03 Budget'!$C$7:$C$300,MATCH($D348,'03 Budget'!$B$7:$B$300,0)),IF($D348="","","** ID not found **"))</f>
        <v/>
      </c>
      <c r="F348" s="33" t="str">
        <f t="array" ref="F348">IFERROR(INDEX('03 Budget'!$D$7:$D$300,MATCH($D348,'03 Budget'!$B$7:$B$300,0)),IF($D348="","","** ID not found **"))</f>
        <v/>
      </c>
      <c r="G348" s="32"/>
      <c r="H348" s="32"/>
      <c r="I348" s="38"/>
      <c r="J348" s="24"/>
      <c r="K348" s="38"/>
      <c r="L348" s="24"/>
      <c r="M348" s="41" t="str">
        <f t="shared" si="2"/>
        <v/>
      </c>
      <c r="N348" s="32"/>
      <c r="O348" s="32"/>
      <c r="P348" s="32"/>
      <c r="Q348" s="32"/>
      <c r="R348" s="32"/>
      <c r="S348" s="32" t="str">
        <f t="shared" si="3"/>
        <v/>
      </c>
      <c r="T348" s="32"/>
      <c r="U348" s="32"/>
    </row>
    <row r="349" ht="16.5" customHeight="1">
      <c r="A349" s="1"/>
      <c r="B349" s="23" t="str">
        <f t="shared" si="1"/>
        <v/>
      </c>
      <c r="C349" s="24"/>
      <c r="D349" s="25"/>
      <c r="E349" s="33" t="str">
        <f t="array" ref="E349">IFERROR(INDEX('03 Budget'!$C$7:$C$300,MATCH($D349,'03 Budget'!$B$7:$B$300,0)),IF($D349="","","** ID not found **"))</f>
        <v/>
      </c>
      <c r="F349" s="33" t="str">
        <f t="array" ref="F349">IFERROR(INDEX('03 Budget'!$D$7:$D$300,MATCH($D349,'03 Budget'!$B$7:$B$300,0)),IF($D349="","","** ID not found **"))</f>
        <v/>
      </c>
      <c r="G349" s="32"/>
      <c r="H349" s="32"/>
      <c r="I349" s="38"/>
      <c r="J349" s="24"/>
      <c r="K349" s="38"/>
      <c r="L349" s="24"/>
      <c r="M349" s="41" t="str">
        <f t="shared" si="2"/>
        <v/>
      </c>
      <c r="N349" s="32"/>
      <c r="O349" s="32"/>
      <c r="P349" s="32"/>
      <c r="Q349" s="32"/>
      <c r="R349" s="32"/>
      <c r="S349" s="32" t="str">
        <f t="shared" si="3"/>
        <v/>
      </c>
      <c r="T349" s="32"/>
      <c r="U349" s="32"/>
    </row>
    <row r="350" ht="16.5" customHeight="1">
      <c r="A350" s="1"/>
      <c r="B350" s="23" t="str">
        <f t="shared" si="1"/>
        <v/>
      </c>
      <c r="C350" s="24"/>
      <c r="D350" s="25"/>
      <c r="E350" s="33" t="str">
        <f t="array" ref="E350">IFERROR(INDEX('03 Budget'!$C$7:$C$300,MATCH($D350,'03 Budget'!$B$7:$B$300,0)),IF($D350="","","** ID not found **"))</f>
        <v/>
      </c>
      <c r="F350" s="33" t="str">
        <f t="array" ref="F350">IFERROR(INDEX('03 Budget'!$D$7:$D$300,MATCH($D350,'03 Budget'!$B$7:$B$300,0)),IF($D350="","","** ID not found **"))</f>
        <v/>
      </c>
      <c r="G350" s="32"/>
      <c r="H350" s="32"/>
      <c r="I350" s="38"/>
      <c r="J350" s="24"/>
      <c r="K350" s="38"/>
      <c r="L350" s="24"/>
      <c r="M350" s="41" t="str">
        <f t="shared" si="2"/>
        <v/>
      </c>
      <c r="N350" s="32"/>
      <c r="O350" s="32"/>
      <c r="P350" s="32"/>
      <c r="Q350" s="32"/>
      <c r="R350" s="32"/>
      <c r="S350" s="32" t="str">
        <f t="shared" si="3"/>
        <v/>
      </c>
      <c r="T350" s="32"/>
      <c r="U350" s="32"/>
    </row>
    <row r="351" ht="16.5" customHeight="1">
      <c r="A351" s="1"/>
      <c r="B351" s="23" t="str">
        <f t="shared" si="1"/>
        <v/>
      </c>
      <c r="C351" s="24"/>
      <c r="D351" s="25"/>
      <c r="E351" s="33" t="str">
        <f t="array" ref="E351">IFERROR(INDEX('03 Budget'!$C$7:$C$300,MATCH($D351,'03 Budget'!$B$7:$B$300,0)),IF($D351="","","** ID not found **"))</f>
        <v/>
      </c>
      <c r="F351" s="33" t="str">
        <f t="array" ref="F351">IFERROR(INDEX('03 Budget'!$D$7:$D$300,MATCH($D351,'03 Budget'!$B$7:$B$300,0)),IF($D351="","","** ID not found **"))</f>
        <v/>
      </c>
      <c r="G351" s="32"/>
      <c r="H351" s="32"/>
      <c r="I351" s="38"/>
      <c r="J351" s="24"/>
      <c r="K351" s="38"/>
      <c r="L351" s="24"/>
      <c r="M351" s="41" t="str">
        <f t="shared" si="2"/>
        <v/>
      </c>
      <c r="N351" s="32"/>
      <c r="O351" s="32"/>
      <c r="P351" s="32"/>
      <c r="Q351" s="32"/>
      <c r="R351" s="32"/>
      <c r="S351" s="32" t="str">
        <f t="shared" si="3"/>
        <v/>
      </c>
      <c r="T351" s="32"/>
      <c r="U351" s="32"/>
    </row>
    <row r="352" ht="16.5" customHeight="1">
      <c r="A352" s="1"/>
      <c r="B352" s="23" t="str">
        <f t="shared" si="1"/>
        <v/>
      </c>
      <c r="C352" s="24"/>
      <c r="D352" s="25"/>
      <c r="E352" s="33" t="str">
        <f t="array" ref="E352">IFERROR(INDEX('03 Budget'!$C$7:$C$300,MATCH($D352,'03 Budget'!$B$7:$B$300,0)),IF($D352="","","** ID not found **"))</f>
        <v/>
      </c>
      <c r="F352" s="33" t="str">
        <f t="array" ref="F352">IFERROR(INDEX('03 Budget'!$D$7:$D$300,MATCH($D352,'03 Budget'!$B$7:$B$300,0)),IF($D352="","","** ID not found **"))</f>
        <v/>
      </c>
      <c r="G352" s="32"/>
      <c r="H352" s="32"/>
      <c r="I352" s="38"/>
      <c r="J352" s="24"/>
      <c r="K352" s="38"/>
      <c r="L352" s="24"/>
      <c r="M352" s="41" t="str">
        <f t="shared" si="2"/>
        <v/>
      </c>
      <c r="N352" s="32"/>
      <c r="O352" s="32"/>
      <c r="P352" s="32"/>
      <c r="Q352" s="32"/>
      <c r="R352" s="32"/>
      <c r="S352" s="32" t="str">
        <f t="shared" si="3"/>
        <v/>
      </c>
      <c r="T352" s="32"/>
      <c r="U352" s="32"/>
    </row>
    <row r="353" ht="16.5" customHeight="1">
      <c r="A353" s="1"/>
      <c r="B353" s="23" t="str">
        <f t="shared" si="1"/>
        <v/>
      </c>
      <c r="C353" s="24"/>
      <c r="D353" s="25"/>
      <c r="E353" s="33" t="str">
        <f t="array" ref="E353">IFERROR(INDEX('03 Budget'!$C$7:$C$300,MATCH($D353,'03 Budget'!$B$7:$B$300,0)),IF($D353="","","** ID not found **"))</f>
        <v/>
      </c>
      <c r="F353" s="33" t="str">
        <f t="array" ref="F353">IFERROR(INDEX('03 Budget'!$D$7:$D$300,MATCH($D353,'03 Budget'!$B$7:$B$300,0)),IF($D353="","","** ID not found **"))</f>
        <v/>
      </c>
      <c r="G353" s="32"/>
      <c r="H353" s="32"/>
      <c r="I353" s="38"/>
      <c r="J353" s="24"/>
      <c r="K353" s="38"/>
      <c r="L353" s="24"/>
      <c r="M353" s="41" t="str">
        <f t="shared" si="2"/>
        <v/>
      </c>
      <c r="N353" s="32"/>
      <c r="O353" s="32"/>
      <c r="P353" s="32"/>
      <c r="Q353" s="32"/>
      <c r="R353" s="32"/>
      <c r="S353" s="32" t="str">
        <f t="shared" si="3"/>
        <v/>
      </c>
      <c r="T353" s="32"/>
      <c r="U353" s="32"/>
    </row>
    <row r="354" ht="16.5" customHeight="1">
      <c r="A354" s="1"/>
      <c r="B354" s="23" t="str">
        <f t="shared" si="1"/>
        <v/>
      </c>
      <c r="C354" s="24"/>
      <c r="D354" s="25"/>
      <c r="E354" s="33" t="str">
        <f t="array" ref="E354">IFERROR(INDEX('03 Budget'!$C$7:$C$300,MATCH($D354,'03 Budget'!$B$7:$B$300,0)),IF($D354="","","** ID not found **"))</f>
        <v/>
      </c>
      <c r="F354" s="33" t="str">
        <f t="array" ref="F354">IFERROR(INDEX('03 Budget'!$D$7:$D$300,MATCH($D354,'03 Budget'!$B$7:$B$300,0)),IF($D354="","","** ID not found **"))</f>
        <v/>
      </c>
      <c r="G354" s="32"/>
      <c r="H354" s="32"/>
      <c r="I354" s="38"/>
      <c r="J354" s="24"/>
      <c r="K354" s="38"/>
      <c r="L354" s="24"/>
      <c r="M354" s="41" t="str">
        <f t="shared" si="2"/>
        <v/>
      </c>
      <c r="N354" s="32"/>
      <c r="O354" s="32"/>
      <c r="P354" s="32"/>
      <c r="Q354" s="32"/>
      <c r="R354" s="32"/>
      <c r="S354" s="32" t="str">
        <f t="shared" si="3"/>
        <v/>
      </c>
      <c r="T354" s="32"/>
      <c r="U354" s="32"/>
    </row>
    <row r="355" ht="16.5" customHeight="1">
      <c r="A355" s="1"/>
      <c r="B355" s="23" t="str">
        <f t="shared" si="1"/>
        <v/>
      </c>
      <c r="C355" s="24"/>
      <c r="D355" s="25"/>
      <c r="E355" s="33" t="str">
        <f t="array" ref="E355">IFERROR(INDEX('03 Budget'!$C$7:$C$300,MATCH($D355,'03 Budget'!$B$7:$B$300,0)),IF($D355="","","** ID not found **"))</f>
        <v/>
      </c>
      <c r="F355" s="33" t="str">
        <f t="array" ref="F355">IFERROR(INDEX('03 Budget'!$D$7:$D$300,MATCH($D355,'03 Budget'!$B$7:$B$300,0)),IF($D355="","","** ID not found **"))</f>
        <v/>
      </c>
      <c r="G355" s="32"/>
      <c r="H355" s="32"/>
      <c r="I355" s="38"/>
      <c r="J355" s="24"/>
      <c r="K355" s="38"/>
      <c r="L355" s="24"/>
      <c r="M355" s="41" t="str">
        <f t="shared" si="2"/>
        <v/>
      </c>
      <c r="N355" s="32"/>
      <c r="O355" s="32"/>
      <c r="P355" s="32"/>
      <c r="Q355" s="32"/>
      <c r="R355" s="32"/>
      <c r="S355" s="32" t="str">
        <f t="shared" si="3"/>
        <v/>
      </c>
      <c r="T355" s="32"/>
      <c r="U355" s="32"/>
    </row>
    <row r="356" ht="16.5" customHeight="1">
      <c r="A356" s="1"/>
      <c r="B356" s="23" t="str">
        <f t="shared" si="1"/>
        <v/>
      </c>
      <c r="C356" s="24"/>
      <c r="D356" s="25"/>
      <c r="E356" s="33" t="str">
        <f t="array" ref="E356">IFERROR(INDEX('03 Budget'!$C$7:$C$300,MATCH($D356,'03 Budget'!$B$7:$B$300,0)),IF($D356="","","** ID not found **"))</f>
        <v/>
      </c>
      <c r="F356" s="33" t="str">
        <f t="array" ref="F356">IFERROR(INDEX('03 Budget'!$D$7:$D$300,MATCH($D356,'03 Budget'!$B$7:$B$300,0)),IF($D356="","","** ID not found **"))</f>
        <v/>
      </c>
      <c r="G356" s="32"/>
      <c r="H356" s="32"/>
      <c r="I356" s="38"/>
      <c r="J356" s="24"/>
      <c r="K356" s="38"/>
      <c r="L356" s="24"/>
      <c r="M356" s="41" t="str">
        <f t="shared" si="2"/>
        <v/>
      </c>
      <c r="N356" s="32"/>
      <c r="O356" s="32"/>
      <c r="P356" s="32"/>
      <c r="Q356" s="32"/>
      <c r="R356" s="32"/>
      <c r="S356" s="32" t="str">
        <f t="shared" si="3"/>
        <v/>
      </c>
      <c r="T356" s="32"/>
      <c r="U356" s="32"/>
    </row>
    <row r="357" ht="16.5" customHeight="1">
      <c r="A357" s="1"/>
      <c r="B357" s="23" t="str">
        <f t="shared" si="1"/>
        <v/>
      </c>
      <c r="C357" s="24"/>
      <c r="D357" s="25"/>
      <c r="E357" s="33" t="str">
        <f t="array" ref="E357">IFERROR(INDEX('03 Budget'!$C$7:$C$300,MATCH($D357,'03 Budget'!$B$7:$B$300,0)),IF($D357="","","** ID not found **"))</f>
        <v/>
      </c>
      <c r="F357" s="33" t="str">
        <f t="array" ref="F357">IFERROR(INDEX('03 Budget'!$D$7:$D$300,MATCH($D357,'03 Budget'!$B$7:$B$300,0)),IF($D357="","","** ID not found **"))</f>
        <v/>
      </c>
      <c r="G357" s="32"/>
      <c r="H357" s="32"/>
      <c r="I357" s="38"/>
      <c r="J357" s="24"/>
      <c r="K357" s="38"/>
      <c r="L357" s="24"/>
      <c r="M357" s="41" t="str">
        <f t="shared" si="2"/>
        <v/>
      </c>
      <c r="N357" s="32"/>
      <c r="O357" s="32"/>
      <c r="P357" s="32"/>
      <c r="Q357" s="32"/>
      <c r="R357" s="32"/>
      <c r="S357" s="32" t="str">
        <f t="shared" si="3"/>
        <v/>
      </c>
      <c r="T357" s="32"/>
      <c r="U357" s="32"/>
    </row>
    <row r="358" ht="16.5" customHeight="1">
      <c r="A358" s="1"/>
      <c r="B358" s="23" t="str">
        <f t="shared" si="1"/>
        <v/>
      </c>
      <c r="C358" s="24"/>
      <c r="D358" s="25"/>
      <c r="E358" s="33" t="str">
        <f t="array" ref="E358">IFERROR(INDEX('03 Budget'!$C$7:$C$300,MATCH($D358,'03 Budget'!$B$7:$B$300,0)),IF($D358="","","** ID not found **"))</f>
        <v/>
      </c>
      <c r="F358" s="33" t="str">
        <f t="array" ref="F358">IFERROR(INDEX('03 Budget'!$D$7:$D$300,MATCH($D358,'03 Budget'!$B$7:$B$300,0)),IF($D358="","","** ID not found **"))</f>
        <v/>
      </c>
      <c r="G358" s="32"/>
      <c r="H358" s="32"/>
      <c r="I358" s="38"/>
      <c r="J358" s="24"/>
      <c r="K358" s="38"/>
      <c r="L358" s="24"/>
      <c r="M358" s="41" t="str">
        <f t="shared" si="2"/>
        <v/>
      </c>
      <c r="N358" s="32"/>
      <c r="O358" s="32"/>
      <c r="P358" s="32"/>
      <c r="Q358" s="32"/>
      <c r="R358" s="32"/>
      <c r="S358" s="32" t="str">
        <f t="shared" si="3"/>
        <v/>
      </c>
      <c r="T358" s="32"/>
      <c r="U358" s="32"/>
    </row>
    <row r="359" ht="16.5" customHeight="1">
      <c r="A359" s="1"/>
      <c r="B359" s="23" t="str">
        <f t="shared" si="1"/>
        <v/>
      </c>
      <c r="C359" s="24"/>
      <c r="D359" s="25"/>
      <c r="E359" s="33" t="str">
        <f t="array" ref="E359">IFERROR(INDEX('03 Budget'!$C$7:$C$300,MATCH($D359,'03 Budget'!$B$7:$B$300,0)),IF($D359="","","** ID not found **"))</f>
        <v/>
      </c>
      <c r="F359" s="33" t="str">
        <f t="array" ref="F359">IFERROR(INDEX('03 Budget'!$D$7:$D$300,MATCH($D359,'03 Budget'!$B$7:$B$300,0)),IF($D359="","","** ID not found **"))</f>
        <v/>
      </c>
      <c r="G359" s="32"/>
      <c r="H359" s="32"/>
      <c r="I359" s="38"/>
      <c r="J359" s="24"/>
      <c r="K359" s="38"/>
      <c r="L359" s="24"/>
      <c r="M359" s="41" t="str">
        <f t="shared" si="2"/>
        <v/>
      </c>
      <c r="N359" s="32"/>
      <c r="O359" s="32"/>
      <c r="P359" s="32"/>
      <c r="Q359" s="32"/>
      <c r="R359" s="32"/>
      <c r="S359" s="32" t="str">
        <f t="shared" si="3"/>
        <v/>
      </c>
      <c r="T359" s="32"/>
      <c r="U359" s="32"/>
    </row>
    <row r="360" ht="16.5" customHeight="1">
      <c r="A360" s="1"/>
      <c r="B360" s="23" t="str">
        <f t="shared" si="1"/>
        <v/>
      </c>
      <c r="C360" s="24"/>
      <c r="D360" s="25"/>
      <c r="E360" s="33" t="str">
        <f t="array" ref="E360">IFERROR(INDEX('03 Budget'!$C$7:$C$300,MATCH($D360,'03 Budget'!$B$7:$B$300,0)),IF($D360="","","** ID not found **"))</f>
        <v/>
      </c>
      <c r="F360" s="33" t="str">
        <f t="array" ref="F360">IFERROR(INDEX('03 Budget'!$D$7:$D$300,MATCH($D360,'03 Budget'!$B$7:$B$300,0)),IF($D360="","","** ID not found **"))</f>
        <v/>
      </c>
      <c r="G360" s="32"/>
      <c r="H360" s="32"/>
      <c r="I360" s="38"/>
      <c r="J360" s="24"/>
      <c r="K360" s="38"/>
      <c r="L360" s="24"/>
      <c r="M360" s="41" t="str">
        <f t="shared" si="2"/>
        <v/>
      </c>
      <c r="N360" s="32"/>
      <c r="O360" s="32"/>
      <c r="P360" s="32"/>
      <c r="Q360" s="32"/>
      <c r="R360" s="32"/>
      <c r="S360" s="32" t="str">
        <f t="shared" si="3"/>
        <v/>
      </c>
      <c r="T360" s="32"/>
      <c r="U360" s="32"/>
    </row>
    <row r="361" ht="16.5" customHeight="1">
      <c r="A361" s="1"/>
      <c r="B361" s="23" t="str">
        <f t="shared" si="1"/>
        <v/>
      </c>
      <c r="C361" s="24"/>
      <c r="D361" s="25"/>
      <c r="E361" s="33" t="str">
        <f t="array" ref="E361">IFERROR(INDEX('03 Budget'!$C$7:$C$300,MATCH($D361,'03 Budget'!$B$7:$B$300,0)),IF($D361="","","** ID not found **"))</f>
        <v/>
      </c>
      <c r="F361" s="33" t="str">
        <f t="array" ref="F361">IFERROR(INDEX('03 Budget'!$D$7:$D$300,MATCH($D361,'03 Budget'!$B$7:$B$300,0)),IF($D361="","","** ID not found **"))</f>
        <v/>
      </c>
      <c r="G361" s="32"/>
      <c r="H361" s="32"/>
      <c r="I361" s="38"/>
      <c r="J361" s="24"/>
      <c r="K361" s="38"/>
      <c r="L361" s="24"/>
      <c r="M361" s="41" t="str">
        <f t="shared" si="2"/>
        <v/>
      </c>
      <c r="N361" s="32"/>
      <c r="O361" s="32"/>
      <c r="P361" s="32"/>
      <c r="Q361" s="32"/>
      <c r="R361" s="32"/>
      <c r="S361" s="32" t="str">
        <f t="shared" si="3"/>
        <v/>
      </c>
      <c r="T361" s="32"/>
      <c r="U361" s="32"/>
    </row>
    <row r="362" ht="16.5" customHeight="1">
      <c r="A362" s="1"/>
      <c r="B362" s="23" t="str">
        <f t="shared" si="1"/>
        <v/>
      </c>
      <c r="C362" s="24"/>
      <c r="D362" s="25"/>
      <c r="E362" s="33" t="str">
        <f t="array" ref="E362">IFERROR(INDEX('03 Budget'!$C$7:$C$300,MATCH($D362,'03 Budget'!$B$7:$B$300,0)),IF($D362="","","** ID not found **"))</f>
        <v/>
      </c>
      <c r="F362" s="33" t="str">
        <f t="array" ref="F362">IFERROR(INDEX('03 Budget'!$D$7:$D$300,MATCH($D362,'03 Budget'!$B$7:$B$300,0)),IF($D362="","","** ID not found **"))</f>
        <v/>
      </c>
      <c r="G362" s="32"/>
      <c r="H362" s="32"/>
      <c r="I362" s="38"/>
      <c r="J362" s="24"/>
      <c r="K362" s="38"/>
      <c r="L362" s="24"/>
      <c r="M362" s="41" t="str">
        <f t="shared" si="2"/>
        <v/>
      </c>
      <c r="N362" s="32"/>
      <c r="O362" s="32"/>
      <c r="P362" s="32"/>
      <c r="Q362" s="32"/>
      <c r="R362" s="32"/>
      <c r="S362" s="32" t="str">
        <f t="shared" si="3"/>
        <v/>
      </c>
      <c r="T362" s="32"/>
      <c r="U362" s="32"/>
    </row>
    <row r="363" ht="16.5" customHeight="1">
      <c r="A363" s="1"/>
      <c r="B363" s="23" t="str">
        <f t="shared" si="1"/>
        <v/>
      </c>
      <c r="C363" s="24"/>
      <c r="D363" s="25"/>
      <c r="E363" s="33" t="str">
        <f t="array" ref="E363">IFERROR(INDEX('03 Budget'!$C$7:$C$300,MATCH($D363,'03 Budget'!$B$7:$B$300,0)),IF($D363="","","** ID not found **"))</f>
        <v/>
      </c>
      <c r="F363" s="33" t="str">
        <f t="array" ref="F363">IFERROR(INDEX('03 Budget'!$D$7:$D$300,MATCH($D363,'03 Budget'!$B$7:$B$300,0)),IF($D363="","","** ID not found **"))</f>
        <v/>
      </c>
      <c r="G363" s="32"/>
      <c r="H363" s="32"/>
      <c r="I363" s="38"/>
      <c r="J363" s="24"/>
      <c r="K363" s="38"/>
      <c r="L363" s="24"/>
      <c r="M363" s="41" t="str">
        <f t="shared" si="2"/>
        <v/>
      </c>
      <c r="N363" s="32"/>
      <c r="O363" s="32"/>
      <c r="P363" s="32"/>
      <c r="Q363" s="32"/>
      <c r="R363" s="32"/>
      <c r="S363" s="32" t="str">
        <f t="shared" si="3"/>
        <v/>
      </c>
      <c r="T363" s="32"/>
      <c r="U363" s="32"/>
    </row>
    <row r="364" ht="16.5" customHeight="1">
      <c r="A364" s="1"/>
      <c r="B364" s="23" t="str">
        <f t="shared" si="1"/>
        <v/>
      </c>
      <c r="C364" s="24"/>
      <c r="D364" s="25"/>
      <c r="E364" s="33" t="str">
        <f t="array" ref="E364">IFERROR(INDEX('03 Budget'!$C$7:$C$300,MATCH($D364,'03 Budget'!$B$7:$B$300,0)),IF($D364="","","** ID not found **"))</f>
        <v/>
      </c>
      <c r="F364" s="33" t="str">
        <f t="array" ref="F364">IFERROR(INDEX('03 Budget'!$D$7:$D$300,MATCH($D364,'03 Budget'!$B$7:$B$300,0)),IF($D364="","","** ID not found **"))</f>
        <v/>
      </c>
      <c r="G364" s="32"/>
      <c r="H364" s="32"/>
      <c r="I364" s="38"/>
      <c r="J364" s="24"/>
      <c r="K364" s="38"/>
      <c r="L364" s="24"/>
      <c r="M364" s="41" t="str">
        <f t="shared" si="2"/>
        <v/>
      </c>
      <c r="N364" s="32"/>
      <c r="O364" s="32"/>
      <c r="P364" s="32"/>
      <c r="Q364" s="32"/>
      <c r="R364" s="32"/>
      <c r="S364" s="32" t="str">
        <f t="shared" si="3"/>
        <v/>
      </c>
      <c r="T364" s="32"/>
      <c r="U364" s="32"/>
    </row>
    <row r="365" ht="16.5" customHeight="1">
      <c r="A365" s="1"/>
      <c r="B365" s="23" t="str">
        <f t="shared" si="1"/>
        <v/>
      </c>
      <c r="C365" s="24"/>
      <c r="D365" s="25"/>
      <c r="E365" s="33" t="str">
        <f t="array" ref="E365">IFERROR(INDEX('03 Budget'!$C$7:$C$300,MATCH($D365,'03 Budget'!$B$7:$B$300,0)),IF($D365="","","** ID not found **"))</f>
        <v/>
      </c>
      <c r="F365" s="33" t="str">
        <f t="array" ref="F365">IFERROR(INDEX('03 Budget'!$D$7:$D$300,MATCH($D365,'03 Budget'!$B$7:$B$300,0)),IF($D365="","","** ID not found **"))</f>
        <v/>
      </c>
      <c r="G365" s="32"/>
      <c r="H365" s="32"/>
      <c r="I365" s="38"/>
      <c r="J365" s="24"/>
      <c r="K365" s="38"/>
      <c r="L365" s="24"/>
      <c r="M365" s="41" t="str">
        <f t="shared" si="2"/>
        <v/>
      </c>
      <c r="N365" s="32"/>
      <c r="O365" s="32"/>
      <c r="P365" s="32"/>
      <c r="Q365" s="32"/>
      <c r="R365" s="32"/>
      <c r="S365" s="32" t="str">
        <f t="shared" si="3"/>
        <v/>
      </c>
      <c r="T365" s="32"/>
      <c r="U365" s="32"/>
    </row>
    <row r="366" ht="16.5" customHeight="1">
      <c r="A366" s="1"/>
      <c r="B366" s="23" t="str">
        <f t="shared" si="1"/>
        <v/>
      </c>
      <c r="C366" s="24"/>
      <c r="D366" s="25"/>
      <c r="E366" s="33" t="str">
        <f t="array" ref="E366">IFERROR(INDEX('03 Budget'!$C$7:$C$300,MATCH($D366,'03 Budget'!$B$7:$B$300,0)),IF($D366="","","** ID not found **"))</f>
        <v/>
      </c>
      <c r="F366" s="33" t="str">
        <f t="array" ref="F366">IFERROR(INDEX('03 Budget'!$D$7:$D$300,MATCH($D366,'03 Budget'!$B$7:$B$300,0)),IF($D366="","","** ID not found **"))</f>
        <v/>
      </c>
      <c r="G366" s="32"/>
      <c r="H366" s="32"/>
      <c r="I366" s="38"/>
      <c r="J366" s="24"/>
      <c r="K366" s="38"/>
      <c r="L366" s="24"/>
      <c r="M366" s="41" t="str">
        <f t="shared" si="2"/>
        <v/>
      </c>
      <c r="N366" s="32"/>
      <c r="O366" s="32"/>
      <c r="P366" s="32"/>
      <c r="Q366" s="32"/>
      <c r="R366" s="32"/>
      <c r="S366" s="32" t="str">
        <f t="shared" si="3"/>
        <v/>
      </c>
      <c r="T366" s="32"/>
      <c r="U366" s="32"/>
    </row>
    <row r="367" ht="16.5" customHeight="1">
      <c r="A367" s="1"/>
      <c r="B367" s="23" t="str">
        <f t="shared" si="1"/>
        <v/>
      </c>
      <c r="C367" s="24"/>
      <c r="D367" s="25"/>
      <c r="E367" s="33" t="str">
        <f t="array" ref="E367">IFERROR(INDEX('03 Budget'!$C$7:$C$300,MATCH($D367,'03 Budget'!$B$7:$B$300,0)),IF($D367="","","** ID not found **"))</f>
        <v/>
      </c>
      <c r="F367" s="33" t="str">
        <f t="array" ref="F367">IFERROR(INDEX('03 Budget'!$D$7:$D$300,MATCH($D367,'03 Budget'!$B$7:$B$300,0)),IF($D367="","","** ID not found **"))</f>
        <v/>
      </c>
      <c r="G367" s="32"/>
      <c r="H367" s="32"/>
      <c r="I367" s="38"/>
      <c r="J367" s="24"/>
      <c r="K367" s="38"/>
      <c r="L367" s="24"/>
      <c r="M367" s="41" t="str">
        <f t="shared" si="2"/>
        <v/>
      </c>
      <c r="N367" s="32"/>
      <c r="O367" s="32"/>
      <c r="P367" s="32"/>
      <c r="Q367" s="32"/>
      <c r="R367" s="32"/>
      <c r="S367" s="32" t="str">
        <f t="shared" si="3"/>
        <v/>
      </c>
      <c r="T367" s="32"/>
      <c r="U367" s="32"/>
    </row>
    <row r="368" ht="16.5" customHeight="1">
      <c r="A368" s="1"/>
      <c r="B368" s="23" t="str">
        <f t="shared" si="1"/>
        <v/>
      </c>
      <c r="C368" s="24"/>
      <c r="D368" s="25"/>
      <c r="E368" s="33" t="str">
        <f t="array" ref="E368">IFERROR(INDEX('03 Budget'!$C$7:$C$300,MATCH($D368,'03 Budget'!$B$7:$B$300,0)),IF($D368="","","** ID not found **"))</f>
        <v/>
      </c>
      <c r="F368" s="33" t="str">
        <f t="array" ref="F368">IFERROR(INDEX('03 Budget'!$D$7:$D$300,MATCH($D368,'03 Budget'!$B$7:$B$300,0)),IF($D368="","","** ID not found **"))</f>
        <v/>
      </c>
      <c r="G368" s="32"/>
      <c r="H368" s="32"/>
      <c r="I368" s="38"/>
      <c r="J368" s="24"/>
      <c r="K368" s="38"/>
      <c r="L368" s="24"/>
      <c r="M368" s="41" t="str">
        <f t="shared" si="2"/>
        <v/>
      </c>
      <c r="N368" s="32"/>
      <c r="O368" s="32"/>
      <c r="P368" s="32"/>
      <c r="Q368" s="32"/>
      <c r="R368" s="32"/>
      <c r="S368" s="32" t="str">
        <f t="shared" si="3"/>
        <v/>
      </c>
      <c r="T368" s="32"/>
      <c r="U368" s="32"/>
    </row>
    <row r="369" ht="16.5" customHeight="1">
      <c r="A369" s="1"/>
      <c r="B369" s="23" t="str">
        <f t="shared" si="1"/>
        <v/>
      </c>
      <c r="C369" s="24"/>
      <c r="D369" s="25"/>
      <c r="E369" s="33" t="str">
        <f t="array" ref="E369">IFERROR(INDEX('03 Budget'!$C$7:$C$300,MATCH($D369,'03 Budget'!$B$7:$B$300,0)),IF($D369="","","** ID not found **"))</f>
        <v/>
      </c>
      <c r="F369" s="33" t="str">
        <f t="array" ref="F369">IFERROR(INDEX('03 Budget'!$D$7:$D$300,MATCH($D369,'03 Budget'!$B$7:$B$300,0)),IF($D369="","","** ID not found **"))</f>
        <v/>
      </c>
      <c r="G369" s="32"/>
      <c r="H369" s="32"/>
      <c r="I369" s="38"/>
      <c r="J369" s="24"/>
      <c r="K369" s="38"/>
      <c r="L369" s="24"/>
      <c r="M369" s="41" t="str">
        <f t="shared" si="2"/>
        <v/>
      </c>
      <c r="N369" s="32"/>
      <c r="O369" s="32"/>
      <c r="P369" s="32"/>
      <c r="Q369" s="32"/>
      <c r="R369" s="32"/>
      <c r="S369" s="32" t="str">
        <f t="shared" si="3"/>
        <v/>
      </c>
      <c r="T369" s="32"/>
      <c r="U369" s="32"/>
    </row>
    <row r="370" ht="16.5" customHeight="1">
      <c r="A370" s="1"/>
      <c r="B370" s="23" t="str">
        <f t="shared" si="1"/>
        <v/>
      </c>
      <c r="C370" s="24"/>
      <c r="D370" s="25"/>
      <c r="E370" s="33" t="str">
        <f t="array" ref="E370">IFERROR(INDEX('03 Budget'!$C$7:$C$300,MATCH($D370,'03 Budget'!$B$7:$B$300,0)),IF($D370="","","** ID not found **"))</f>
        <v/>
      </c>
      <c r="F370" s="33" t="str">
        <f t="array" ref="F370">IFERROR(INDEX('03 Budget'!$D$7:$D$300,MATCH($D370,'03 Budget'!$B$7:$B$300,0)),IF($D370="","","** ID not found **"))</f>
        <v/>
      </c>
      <c r="G370" s="32"/>
      <c r="H370" s="32"/>
      <c r="I370" s="38"/>
      <c r="J370" s="24"/>
      <c r="K370" s="38"/>
      <c r="L370" s="24"/>
      <c r="M370" s="41" t="str">
        <f t="shared" si="2"/>
        <v/>
      </c>
      <c r="N370" s="32"/>
      <c r="O370" s="32"/>
      <c r="P370" s="32"/>
      <c r="Q370" s="32"/>
      <c r="R370" s="32"/>
      <c r="S370" s="32" t="str">
        <f t="shared" si="3"/>
        <v/>
      </c>
      <c r="T370" s="32"/>
      <c r="U370" s="32"/>
    </row>
    <row r="371" ht="16.5" customHeight="1">
      <c r="A371" s="1"/>
      <c r="B371" s="23" t="str">
        <f t="shared" si="1"/>
        <v/>
      </c>
      <c r="C371" s="24"/>
      <c r="D371" s="25"/>
      <c r="E371" s="33" t="str">
        <f t="array" ref="E371">IFERROR(INDEX('03 Budget'!$C$7:$C$300,MATCH($D371,'03 Budget'!$B$7:$B$300,0)),IF($D371="","","** ID not found **"))</f>
        <v/>
      </c>
      <c r="F371" s="33" t="str">
        <f t="array" ref="F371">IFERROR(INDEX('03 Budget'!$D$7:$D$300,MATCH($D371,'03 Budget'!$B$7:$B$300,0)),IF($D371="","","** ID not found **"))</f>
        <v/>
      </c>
      <c r="G371" s="32"/>
      <c r="H371" s="32"/>
      <c r="I371" s="38"/>
      <c r="J371" s="24"/>
      <c r="K371" s="38"/>
      <c r="L371" s="24"/>
      <c r="M371" s="41" t="str">
        <f t="shared" si="2"/>
        <v/>
      </c>
      <c r="N371" s="32"/>
      <c r="O371" s="32"/>
      <c r="P371" s="32"/>
      <c r="Q371" s="32"/>
      <c r="R371" s="32"/>
      <c r="S371" s="32" t="str">
        <f t="shared" si="3"/>
        <v/>
      </c>
      <c r="T371" s="32"/>
      <c r="U371" s="32"/>
    </row>
    <row r="372" ht="16.5" customHeight="1">
      <c r="A372" s="1"/>
      <c r="B372" s="23" t="str">
        <f t="shared" si="1"/>
        <v/>
      </c>
      <c r="C372" s="24"/>
      <c r="D372" s="25"/>
      <c r="E372" s="33" t="str">
        <f t="array" ref="E372">IFERROR(INDEX('03 Budget'!$C$7:$C$300,MATCH($D372,'03 Budget'!$B$7:$B$300,0)),IF($D372="","","** ID not found **"))</f>
        <v/>
      </c>
      <c r="F372" s="33" t="str">
        <f t="array" ref="F372">IFERROR(INDEX('03 Budget'!$D$7:$D$300,MATCH($D372,'03 Budget'!$B$7:$B$300,0)),IF($D372="","","** ID not found **"))</f>
        <v/>
      </c>
      <c r="G372" s="32"/>
      <c r="H372" s="32"/>
      <c r="I372" s="38"/>
      <c r="J372" s="24"/>
      <c r="K372" s="38"/>
      <c r="L372" s="24"/>
      <c r="M372" s="41" t="str">
        <f t="shared" si="2"/>
        <v/>
      </c>
      <c r="N372" s="32"/>
      <c r="O372" s="32"/>
      <c r="P372" s="32"/>
      <c r="Q372" s="32"/>
      <c r="R372" s="32"/>
      <c r="S372" s="32" t="str">
        <f t="shared" si="3"/>
        <v/>
      </c>
      <c r="T372" s="32"/>
      <c r="U372" s="32"/>
    </row>
    <row r="373" ht="16.5" customHeight="1">
      <c r="A373" s="1"/>
      <c r="B373" s="23" t="str">
        <f t="shared" si="1"/>
        <v/>
      </c>
      <c r="C373" s="24"/>
      <c r="D373" s="25"/>
      <c r="E373" s="33" t="str">
        <f t="array" ref="E373">IFERROR(INDEX('03 Budget'!$C$7:$C$300,MATCH($D373,'03 Budget'!$B$7:$B$300,0)),IF($D373="","","** ID not found **"))</f>
        <v/>
      </c>
      <c r="F373" s="33" t="str">
        <f t="array" ref="F373">IFERROR(INDEX('03 Budget'!$D$7:$D$300,MATCH($D373,'03 Budget'!$B$7:$B$300,0)),IF($D373="","","** ID not found **"))</f>
        <v/>
      </c>
      <c r="G373" s="32"/>
      <c r="H373" s="32"/>
      <c r="I373" s="38"/>
      <c r="J373" s="24"/>
      <c r="K373" s="38"/>
      <c r="L373" s="24"/>
      <c r="M373" s="41" t="str">
        <f t="shared" si="2"/>
        <v/>
      </c>
      <c r="N373" s="32"/>
      <c r="O373" s="32"/>
      <c r="P373" s="32"/>
      <c r="Q373" s="32"/>
      <c r="R373" s="32"/>
      <c r="S373" s="32" t="str">
        <f t="shared" si="3"/>
        <v/>
      </c>
      <c r="T373" s="32"/>
      <c r="U373" s="32"/>
    </row>
    <row r="374" ht="16.5" customHeight="1">
      <c r="A374" s="1"/>
      <c r="B374" s="23" t="str">
        <f t="shared" si="1"/>
        <v/>
      </c>
      <c r="C374" s="24"/>
      <c r="D374" s="25"/>
      <c r="E374" s="33" t="str">
        <f t="array" ref="E374">IFERROR(INDEX('03 Budget'!$C$7:$C$300,MATCH($D374,'03 Budget'!$B$7:$B$300,0)),IF($D374="","","** ID not found **"))</f>
        <v/>
      </c>
      <c r="F374" s="33" t="str">
        <f t="array" ref="F374">IFERROR(INDEX('03 Budget'!$D$7:$D$300,MATCH($D374,'03 Budget'!$B$7:$B$300,0)),IF($D374="","","** ID not found **"))</f>
        <v/>
      </c>
      <c r="G374" s="32"/>
      <c r="H374" s="32"/>
      <c r="I374" s="38"/>
      <c r="J374" s="24"/>
      <c r="K374" s="38"/>
      <c r="L374" s="24"/>
      <c r="M374" s="41" t="str">
        <f t="shared" si="2"/>
        <v/>
      </c>
      <c r="N374" s="32"/>
      <c r="O374" s="32"/>
      <c r="P374" s="32"/>
      <c r="Q374" s="32"/>
      <c r="R374" s="32"/>
      <c r="S374" s="32" t="str">
        <f t="shared" si="3"/>
        <v/>
      </c>
      <c r="T374" s="32"/>
      <c r="U374" s="32"/>
    </row>
    <row r="375" ht="16.5" customHeight="1">
      <c r="A375" s="1"/>
      <c r="B375" s="23" t="str">
        <f t="shared" si="1"/>
        <v/>
      </c>
      <c r="C375" s="24"/>
      <c r="D375" s="25"/>
      <c r="E375" s="33" t="str">
        <f t="array" ref="E375">IFERROR(INDEX('03 Budget'!$C$7:$C$300,MATCH($D375,'03 Budget'!$B$7:$B$300,0)),IF($D375="","","** ID not found **"))</f>
        <v/>
      </c>
      <c r="F375" s="33" t="str">
        <f t="array" ref="F375">IFERROR(INDEX('03 Budget'!$D$7:$D$300,MATCH($D375,'03 Budget'!$B$7:$B$300,0)),IF($D375="","","** ID not found **"))</f>
        <v/>
      </c>
      <c r="G375" s="32"/>
      <c r="H375" s="32"/>
      <c r="I375" s="38"/>
      <c r="J375" s="24"/>
      <c r="K375" s="38"/>
      <c r="L375" s="24"/>
      <c r="M375" s="41" t="str">
        <f t="shared" si="2"/>
        <v/>
      </c>
      <c r="N375" s="32"/>
      <c r="O375" s="32"/>
      <c r="P375" s="32"/>
      <c r="Q375" s="32"/>
      <c r="R375" s="32"/>
      <c r="S375" s="32" t="str">
        <f t="shared" si="3"/>
        <v/>
      </c>
      <c r="T375" s="32"/>
      <c r="U375" s="32"/>
    </row>
    <row r="376" ht="16.5" customHeight="1">
      <c r="A376" s="1"/>
      <c r="B376" s="23" t="str">
        <f t="shared" si="1"/>
        <v/>
      </c>
      <c r="C376" s="24"/>
      <c r="D376" s="25"/>
      <c r="E376" s="33" t="str">
        <f t="array" ref="E376">IFERROR(INDEX('03 Budget'!$C$7:$C$300,MATCH($D376,'03 Budget'!$B$7:$B$300,0)),IF($D376="","","** ID not found **"))</f>
        <v/>
      </c>
      <c r="F376" s="33" t="str">
        <f t="array" ref="F376">IFERROR(INDEX('03 Budget'!$D$7:$D$300,MATCH($D376,'03 Budget'!$B$7:$B$300,0)),IF($D376="","","** ID not found **"))</f>
        <v/>
      </c>
      <c r="G376" s="32"/>
      <c r="H376" s="32"/>
      <c r="I376" s="38"/>
      <c r="J376" s="24"/>
      <c r="K376" s="38"/>
      <c r="L376" s="24"/>
      <c r="M376" s="41" t="str">
        <f t="shared" si="2"/>
        <v/>
      </c>
      <c r="N376" s="32"/>
      <c r="O376" s="32"/>
      <c r="P376" s="32"/>
      <c r="Q376" s="32"/>
      <c r="R376" s="32"/>
      <c r="S376" s="32" t="str">
        <f t="shared" si="3"/>
        <v/>
      </c>
      <c r="T376" s="32"/>
      <c r="U376" s="32"/>
    </row>
    <row r="377" ht="16.5" customHeight="1">
      <c r="A377" s="1"/>
      <c r="B377" s="23" t="str">
        <f t="shared" si="1"/>
        <v/>
      </c>
      <c r="C377" s="24"/>
      <c r="D377" s="25"/>
      <c r="E377" s="33" t="str">
        <f t="array" ref="E377">IFERROR(INDEX('03 Budget'!$C$7:$C$300,MATCH($D377,'03 Budget'!$B$7:$B$300,0)),IF($D377="","","** ID not found **"))</f>
        <v/>
      </c>
      <c r="F377" s="33" t="str">
        <f t="array" ref="F377">IFERROR(INDEX('03 Budget'!$D$7:$D$300,MATCH($D377,'03 Budget'!$B$7:$B$300,0)),IF($D377="","","** ID not found **"))</f>
        <v/>
      </c>
      <c r="G377" s="32"/>
      <c r="H377" s="32"/>
      <c r="I377" s="38"/>
      <c r="J377" s="24"/>
      <c r="K377" s="38"/>
      <c r="L377" s="24"/>
      <c r="M377" s="41" t="str">
        <f t="shared" si="2"/>
        <v/>
      </c>
      <c r="N377" s="32"/>
      <c r="O377" s="32"/>
      <c r="P377" s="32"/>
      <c r="Q377" s="32"/>
      <c r="R377" s="32"/>
      <c r="S377" s="32" t="str">
        <f t="shared" si="3"/>
        <v/>
      </c>
      <c r="T377" s="32"/>
      <c r="U377" s="32"/>
    </row>
    <row r="378" ht="16.5" customHeight="1">
      <c r="A378" s="1"/>
      <c r="B378" s="23" t="str">
        <f t="shared" si="1"/>
        <v/>
      </c>
      <c r="C378" s="24"/>
      <c r="D378" s="25"/>
      <c r="E378" s="33" t="str">
        <f t="array" ref="E378">IFERROR(INDEX('03 Budget'!$C$7:$C$300,MATCH($D378,'03 Budget'!$B$7:$B$300,0)),IF($D378="","","** ID not found **"))</f>
        <v/>
      </c>
      <c r="F378" s="33" t="str">
        <f t="array" ref="F378">IFERROR(INDEX('03 Budget'!$D$7:$D$300,MATCH($D378,'03 Budget'!$B$7:$B$300,0)),IF($D378="","","** ID not found **"))</f>
        <v/>
      </c>
      <c r="G378" s="32"/>
      <c r="H378" s="32"/>
      <c r="I378" s="38"/>
      <c r="J378" s="24"/>
      <c r="K378" s="38"/>
      <c r="L378" s="24"/>
      <c r="M378" s="41" t="str">
        <f t="shared" si="2"/>
        <v/>
      </c>
      <c r="N378" s="32"/>
      <c r="O378" s="32"/>
      <c r="P378" s="32"/>
      <c r="Q378" s="32"/>
      <c r="R378" s="32"/>
      <c r="S378" s="32" t="str">
        <f t="shared" si="3"/>
        <v/>
      </c>
      <c r="T378" s="32"/>
      <c r="U378" s="32"/>
    </row>
    <row r="379" ht="16.5" customHeight="1">
      <c r="A379" s="1"/>
      <c r="B379" s="23" t="str">
        <f t="shared" si="1"/>
        <v/>
      </c>
      <c r="C379" s="24"/>
      <c r="D379" s="25"/>
      <c r="E379" s="33" t="str">
        <f t="array" ref="E379">IFERROR(INDEX('03 Budget'!$C$7:$C$300,MATCH($D379,'03 Budget'!$B$7:$B$300,0)),IF($D379="","","** ID not found **"))</f>
        <v/>
      </c>
      <c r="F379" s="33" t="str">
        <f t="array" ref="F379">IFERROR(INDEX('03 Budget'!$D$7:$D$300,MATCH($D379,'03 Budget'!$B$7:$B$300,0)),IF($D379="","","** ID not found **"))</f>
        <v/>
      </c>
      <c r="G379" s="32"/>
      <c r="H379" s="32"/>
      <c r="I379" s="38"/>
      <c r="J379" s="24"/>
      <c r="K379" s="38"/>
      <c r="L379" s="24"/>
      <c r="M379" s="41" t="str">
        <f t="shared" si="2"/>
        <v/>
      </c>
      <c r="N379" s="32"/>
      <c r="O379" s="32"/>
      <c r="P379" s="32"/>
      <c r="Q379" s="32"/>
      <c r="R379" s="32"/>
      <c r="S379" s="32" t="str">
        <f t="shared" si="3"/>
        <v/>
      </c>
      <c r="T379" s="32"/>
      <c r="U379" s="32"/>
    </row>
    <row r="380" ht="16.5" customHeight="1">
      <c r="A380" s="1"/>
      <c r="B380" s="23" t="str">
        <f t="shared" si="1"/>
        <v/>
      </c>
      <c r="C380" s="24"/>
      <c r="D380" s="25"/>
      <c r="E380" s="33" t="str">
        <f t="array" ref="E380">IFERROR(INDEX('03 Budget'!$C$7:$C$300,MATCH($D380,'03 Budget'!$B$7:$B$300,0)),IF($D380="","","** ID not found **"))</f>
        <v/>
      </c>
      <c r="F380" s="33" t="str">
        <f t="array" ref="F380">IFERROR(INDEX('03 Budget'!$D$7:$D$300,MATCH($D380,'03 Budget'!$B$7:$B$300,0)),IF($D380="","","** ID not found **"))</f>
        <v/>
      </c>
      <c r="G380" s="32"/>
      <c r="H380" s="32"/>
      <c r="I380" s="38"/>
      <c r="J380" s="24"/>
      <c r="K380" s="38"/>
      <c r="L380" s="24"/>
      <c r="M380" s="41" t="str">
        <f t="shared" si="2"/>
        <v/>
      </c>
      <c r="N380" s="32"/>
      <c r="O380" s="32"/>
      <c r="P380" s="32"/>
      <c r="Q380" s="32"/>
      <c r="R380" s="32"/>
      <c r="S380" s="32" t="str">
        <f t="shared" si="3"/>
        <v/>
      </c>
      <c r="T380" s="32"/>
      <c r="U380" s="32"/>
    </row>
    <row r="381" ht="16.5" customHeight="1">
      <c r="A381" s="1"/>
      <c r="B381" s="23" t="str">
        <f t="shared" si="1"/>
        <v/>
      </c>
      <c r="C381" s="24"/>
      <c r="D381" s="25"/>
      <c r="E381" s="33" t="str">
        <f t="array" ref="E381">IFERROR(INDEX('03 Budget'!$C$7:$C$300,MATCH($D381,'03 Budget'!$B$7:$B$300,0)),IF($D381="","","** ID not found **"))</f>
        <v/>
      </c>
      <c r="F381" s="33" t="str">
        <f t="array" ref="F381">IFERROR(INDEX('03 Budget'!$D$7:$D$300,MATCH($D381,'03 Budget'!$B$7:$B$300,0)),IF($D381="","","** ID not found **"))</f>
        <v/>
      </c>
      <c r="G381" s="32"/>
      <c r="H381" s="32"/>
      <c r="I381" s="38"/>
      <c r="J381" s="24"/>
      <c r="K381" s="38"/>
      <c r="L381" s="24"/>
      <c r="M381" s="41" t="str">
        <f t="shared" si="2"/>
        <v/>
      </c>
      <c r="N381" s="32"/>
      <c r="O381" s="32"/>
      <c r="P381" s="32"/>
      <c r="Q381" s="32"/>
      <c r="R381" s="32"/>
      <c r="S381" s="32" t="str">
        <f t="shared" si="3"/>
        <v/>
      </c>
      <c r="T381" s="32"/>
      <c r="U381" s="32"/>
    </row>
    <row r="382" ht="16.5" customHeight="1">
      <c r="A382" s="1"/>
      <c r="B382" s="23" t="str">
        <f t="shared" si="1"/>
        <v/>
      </c>
      <c r="C382" s="24"/>
      <c r="D382" s="25"/>
      <c r="E382" s="33" t="str">
        <f t="array" ref="E382">IFERROR(INDEX('03 Budget'!$C$7:$C$300,MATCH($D382,'03 Budget'!$B$7:$B$300,0)),IF($D382="","","** ID not found **"))</f>
        <v/>
      </c>
      <c r="F382" s="33" t="str">
        <f t="array" ref="F382">IFERROR(INDEX('03 Budget'!$D$7:$D$300,MATCH($D382,'03 Budget'!$B$7:$B$300,0)),IF($D382="","","** ID not found **"))</f>
        <v/>
      </c>
      <c r="G382" s="32"/>
      <c r="H382" s="32"/>
      <c r="I382" s="38"/>
      <c r="J382" s="24"/>
      <c r="K382" s="38"/>
      <c r="L382" s="24"/>
      <c r="M382" s="41" t="str">
        <f t="shared" si="2"/>
        <v/>
      </c>
      <c r="N382" s="32"/>
      <c r="O382" s="32"/>
      <c r="P382" s="32"/>
      <c r="Q382" s="32"/>
      <c r="R382" s="32"/>
      <c r="S382" s="32" t="str">
        <f t="shared" si="3"/>
        <v/>
      </c>
      <c r="T382" s="32"/>
      <c r="U382" s="32"/>
    </row>
    <row r="383" ht="16.5" customHeight="1">
      <c r="A383" s="1"/>
      <c r="B383" s="23" t="str">
        <f t="shared" si="1"/>
        <v/>
      </c>
      <c r="C383" s="24"/>
      <c r="D383" s="25"/>
      <c r="E383" s="33" t="str">
        <f t="array" ref="E383">IFERROR(INDEX('03 Budget'!$C$7:$C$300,MATCH($D383,'03 Budget'!$B$7:$B$300,0)),IF($D383="","","** ID not found **"))</f>
        <v/>
      </c>
      <c r="F383" s="33" t="str">
        <f t="array" ref="F383">IFERROR(INDEX('03 Budget'!$D$7:$D$300,MATCH($D383,'03 Budget'!$B$7:$B$300,0)),IF($D383="","","** ID not found **"))</f>
        <v/>
      </c>
      <c r="G383" s="32"/>
      <c r="H383" s="32"/>
      <c r="I383" s="38"/>
      <c r="J383" s="24"/>
      <c r="K383" s="38"/>
      <c r="L383" s="24"/>
      <c r="M383" s="41" t="str">
        <f t="shared" si="2"/>
        <v/>
      </c>
      <c r="N383" s="32"/>
      <c r="O383" s="32"/>
      <c r="P383" s="32"/>
      <c r="Q383" s="32"/>
      <c r="R383" s="32"/>
      <c r="S383" s="32" t="str">
        <f t="shared" si="3"/>
        <v/>
      </c>
      <c r="T383" s="32"/>
      <c r="U383" s="32"/>
    </row>
    <row r="384" ht="16.5" customHeight="1">
      <c r="A384" s="1"/>
      <c r="B384" s="23" t="str">
        <f t="shared" si="1"/>
        <v/>
      </c>
      <c r="C384" s="24"/>
      <c r="D384" s="25"/>
      <c r="E384" s="33" t="str">
        <f t="array" ref="E384">IFERROR(INDEX('03 Budget'!$C$7:$C$300,MATCH($D384,'03 Budget'!$B$7:$B$300,0)),IF($D384="","","** ID not found **"))</f>
        <v/>
      </c>
      <c r="F384" s="33" t="str">
        <f t="array" ref="F384">IFERROR(INDEX('03 Budget'!$D$7:$D$300,MATCH($D384,'03 Budget'!$B$7:$B$300,0)),IF($D384="","","** ID not found **"))</f>
        <v/>
      </c>
      <c r="G384" s="32"/>
      <c r="H384" s="32"/>
      <c r="I384" s="38"/>
      <c r="J384" s="24"/>
      <c r="K384" s="38"/>
      <c r="L384" s="24"/>
      <c r="M384" s="41" t="str">
        <f t="shared" si="2"/>
        <v/>
      </c>
      <c r="N384" s="32"/>
      <c r="O384" s="32"/>
      <c r="P384" s="32"/>
      <c r="Q384" s="32"/>
      <c r="R384" s="32"/>
      <c r="S384" s="32" t="str">
        <f t="shared" si="3"/>
        <v/>
      </c>
      <c r="T384" s="32"/>
      <c r="U384" s="32"/>
    </row>
    <row r="385" ht="16.5" customHeight="1">
      <c r="A385" s="1"/>
      <c r="B385" s="23" t="str">
        <f t="shared" si="1"/>
        <v/>
      </c>
      <c r="C385" s="24"/>
      <c r="D385" s="25"/>
      <c r="E385" s="33" t="str">
        <f t="array" ref="E385">IFERROR(INDEX('03 Budget'!$C$7:$C$300,MATCH($D385,'03 Budget'!$B$7:$B$300,0)),IF($D385="","","** ID not found **"))</f>
        <v/>
      </c>
      <c r="F385" s="33" t="str">
        <f t="array" ref="F385">IFERROR(INDEX('03 Budget'!$D$7:$D$300,MATCH($D385,'03 Budget'!$B$7:$B$300,0)),IF($D385="","","** ID not found **"))</f>
        <v/>
      </c>
      <c r="G385" s="32"/>
      <c r="H385" s="32"/>
      <c r="I385" s="38"/>
      <c r="J385" s="24"/>
      <c r="K385" s="38"/>
      <c r="L385" s="24"/>
      <c r="M385" s="41" t="str">
        <f t="shared" si="2"/>
        <v/>
      </c>
      <c r="N385" s="32"/>
      <c r="O385" s="32"/>
      <c r="P385" s="32"/>
      <c r="Q385" s="32"/>
      <c r="R385" s="32"/>
      <c r="S385" s="32" t="str">
        <f t="shared" si="3"/>
        <v/>
      </c>
      <c r="T385" s="32"/>
      <c r="U385" s="32"/>
    </row>
    <row r="386" ht="16.5" customHeight="1">
      <c r="A386" s="1"/>
      <c r="B386" s="23" t="str">
        <f t="shared" si="1"/>
        <v/>
      </c>
      <c r="C386" s="24"/>
      <c r="D386" s="25"/>
      <c r="E386" s="33" t="str">
        <f t="array" ref="E386">IFERROR(INDEX('03 Budget'!$C$7:$C$300,MATCH($D386,'03 Budget'!$B$7:$B$300,0)),IF($D386="","","** ID not found **"))</f>
        <v/>
      </c>
      <c r="F386" s="33" t="str">
        <f t="array" ref="F386">IFERROR(INDEX('03 Budget'!$D$7:$D$300,MATCH($D386,'03 Budget'!$B$7:$B$300,0)),IF($D386="","","** ID not found **"))</f>
        <v/>
      </c>
      <c r="G386" s="32"/>
      <c r="H386" s="32"/>
      <c r="I386" s="38"/>
      <c r="J386" s="24"/>
      <c r="K386" s="38"/>
      <c r="L386" s="24"/>
      <c r="M386" s="41" t="str">
        <f t="shared" si="2"/>
        <v/>
      </c>
      <c r="N386" s="32"/>
      <c r="O386" s="32"/>
      <c r="P386" s="32"/>
      <c r="Q386" s="32"/>
      <c r="R386" s="32"/>
      <c r="S386" s="32" t="str">
        <f t="shared" si="3"/>
        <v/>
      </c>
      <c r="T386" s="32"/>
      <c r="U386" s="32"/>
    </row>
    <row r="387" ht="16.5" customHeight="1">
      <c r="A387" s="1"/>
      <c r="B387" s="23" t="str">
        <f t="shared" si="1"/>
        <v/>
      </c>
      <c r="C387" s="24"/>
      <c r="D387" s="25"/>
      <c r="E387" s="33" t="str">
        <f t="array" ref="E387">IFERROR(INDEX('03 Budget'!$C$7:$C$300,MATCH($D387,'03 Budget'!$B$7:$B$300,0)),IF($D387="","","** ID not found **"))</f>
        <v/>
      </c>
      <c r="F387" s="33" t="str">
        <f t="array" ref="F387">IFERROR(INDEX('03 Budget'!$D$7:$D$300,MATCH($D387,'03 Budget'!$B$7:$B$300,0)),IF($D387="","","** ID not found **"))</f>
        <v/>
      </c>
      <c r="G387" s="32"/>
      <c r="H387" s="32"/>
      <c r="I387" s="38"/>
      <c r="J387" s="24"/>
      <c r="K387" s="38"/>
      <c r="L387" s="24"/>
      <c r="M387" s="41" t="str">
        <f t="shared" si="2"/>
        <v/>
      </c>
      <c r="N387" s="32"/>
      <c r="O387" s="32"/>
      <c r="P387" s="32"/>
      <c r="Q387" s="32"/>
      <c r="R387" s="32"/>
      <c r="S387" s="32" t="str">
        <f t="shared" si="3"/>
        <v/>
      </c>
      <c r="T387" s="32"/>
      <c r="U387" s="32"/>
    </row>
    <row r="388" ht="16.5" customHeight="1">
      <c r="A388" s="1"/>
      <c r="B388" s="23" t="str">
        <f t="shared" si="1"/>
        <v/>
      </c>
      <c r="C388" s="24"/>
      <c r="D388" s="25"/>
      <c r="E388" s="33" t="str">
        <f t="array" ref="E388">IFERROR(INDEX('03 Budget'!$C$7:$C$300,MATCH($D388,'03 Budget'!$B$7:$B$300,0)),IF($D388="","","** ID not found **"))</f>
        <v/>
      </c>
      <c r="F388" s="33" t="str">
        <f t="array" ref="F388">IFERROR(INDEX('03 Budget'!$D$7:$D$300,MATCH($D388,'03 Budget'!$B$7:$B$300,0)),IF($D388="","","** ID not found **"))</f>
        <v/>
      </c>
      <c r="G388" s="32"/>
      <c r="H388" s="32"/>
      <c r="I388" s="38"/>
      <c r="J388" s="24"/>
      <c r="K388" s="38"/>
      <c r="L388" s="24"/>
      <c r="M388" s="41" t="str">
        <f t="shared" si="2"/>
        <v/>
      </c>
      <c r="N388" s="32"/>
      <c r="O388" s="32"/>
      <c r="P388" s="32"/>
      <c r="Q388" s="32"/>
      <c r="R388" s="32"/>
      <c r="S388" s="32" t="str">
        <f t="shared" si="3"/>
        <v/>
      </c>
      <c r="T388" s="32"/>
      <c r="U388" s="32"/>
    </row>
    <row r="389" ht="16.5" customHeight="1">
      <c r="A389" s="1"/>
      <c r="B389" s="23" t="str">
        <f t="shared" si="1"/>
        <v/>
      </c>
      <c r="C389" s="24"/>
      <c r="D389" s="25"/>
      <c r="E389" s="33" t="str">
        <f t="array" ref="E389">IFERROR(INDEX('03 Budget'!$C$7:$C$300,MATCH($D389,'03 Budget'!$B$7:$B$300,0)),IF($D389="","","** ID not found **"))</f>
        <v/>
      </c>
      <c r="F389" s="33" t="str">
        <f t="array" ref="F389">IFERROR(INDEX('03 Budget'!$D$7:$D$300,MATCH($D389,'03 Budget'!$B$7:$B$300,0)),IF($D389="","","** ID not found **"))</f>
        <v/>
      </c>
      <c r="G389" s="32"/>
      <c r="H389" s="32"/>
      <c r="I389" s="38"/>
      <c r="J389" s="24"/>
      <c r="K389" s="38"/>
      <c r="L389" s="24"/>
      <c r="M389" s="41" t="str">
        <f t="shared" si="2"/>
        <v/>
      </c>
      <c r="N389" s="32"/>
      <c r="O389" s="32"/>
      <c r="P389" s="32"/>
      <c r="Q389" s="32"/>
      <c r="R389" s="32"/>
      <c r="S389" s="32" t="str">
        <f t="shared" si="3"/>
        <v/>
      </c>
      <c r="T389" s="32"/>
      <c r="U389" s="32"/>
    </row>
    <row r="390" ht="16.5" customHeight="1">
      <c r="A390" s="1"/>
      <c r="B390" s="23" t="str">
        <f t="shared" si="1"/>
        <v/>
      </c>
      <c r="C390" s="24"/>
      <c r="D390" s="25"/>
      <c r="E390" s="33" t="str">
        <f t="array" ref="E390">IFERROR(INDEX('03 Budget'!$C$7:$C$300,MATCH($D390,'03 Budget'!$B$7:$B$300,0)),IF($D390="","","** ID not found **"))</f>
        <v/>
      </c>
      <c r="F390" s="33" t="str">
        <f t="array" ref="F390">IFERROR(INDEX('03 Budget'!$D$7:$D$300,MATCH($D390,'03 Budget'!$B$7:$B$300,0)),IF($D390="","","** ID not found **"))</f>
        <v/>
      </c>
      <c r="G390" s="32"/>
      <c r="H390" s="32"/>
      <c r="I390" s="38"/>
      <c r="J390" s="24"/>
      <c r="K390" s="38"/>
      <c r="L390" s="24"/>
      <c r="M390" s="41" t="str">
        <f t="shared" si="2"/>
        <v/>
      </c>
      <c r="N390" s="32"/>
      <c r="O390" s="32"/>
      <c r="P390" s="32"/>
      <c r="Q390" s="32"/>
      <c r="R390" s="32"/>
      <c r="S390" s="32" t="str">
        <f t="shared" si="3"/>
        <v/>
      </c>
      <c r="T390" s="32"/>
      <c r="U390" s="32"/>
    </row>
    <row r="391" ht="16.5" customHeight="1">
      <c r="A391" s="1"/>
      <c r="B391" s="23" t="str">
        <f t="shared" si="1"/>
        <v/>
      </c>
      <c r="C391" s="24"/>
      <c r="D391" s="25"/>
      <c r="E391" s="33" t="str">
        <f t="array" ref="E391">IFERROR(INDEX('03 Budget'!$C$7:$C$300,MATCH($D391,'03 Budget'!$B$7:$B$300,0)),IF($D391="","","** ID not found **"))</f>
        <v/>
      </c>
      <c r="F391" s="33" t="str">
        <f t="array" ref="F391">IFERROR(INDEX('03 Budget'!$D$7:$D$300,MATCH($D391,'03 Budget'!$B$7:$B$300,0)),IF($D391="","","** ID not found **"))</f>
        <v/>
      </c>
      <c r="G391" s="32"/>
      <c r="H391" s="32"/>
      <c r="I391" s="38"/>
      <c r="J391" s="24"/>
      <c r="K391" s="38"/>
      <c r="L391" s="24"/>
      <c r="M391" s="41" t="str">
        <f t="shared" si="2"/>
        <v/>
      </c>
      <c r="N391" s="32"/>
      <c r="O391" s="32"/>
      <c r="P391" s="32"/>
      <c r="Q391" s="32"/>
      <c r="R391" s="32"/>
      <c r="S391" s="32" t="str">
        <f t="shared" si="3"/>
        <v/>
      </c>
      <c r="T391" s="32"/>
      <c r="U391" s="32"/>
    </row>
    <row r="392" ht="16.5" customHeight="1">
      <c r="A392" s="1"/>
      <c r="B392" s="23" t="str">
        <f t="shared" si="1"/>
        <v/>
      </c>
      <c r="C392" s="24"/>
      <c r="D392" s="25"/>
      <c r="E392" s="33" t="str">
        <f t="array" ref="E392">IFERROR(INDEX('03 Budget'!$C$7:$C$300,MATCH($D392,'03 Budget'!$B$7:$B$300,0)),IF($D392="","","** ID not found **"))</f>
        <v/>
      </c>
      <c r="F392" s="33" t="str">
        <f t="array" ref="F392">IFERROR(INDEX('03 Budget'!$D$7:$D$300,MATCH($D392,'03 Budget'!$B$7:$B$300,0)),IF($D392="","","** ID not found **"))</f>
        <v/>
      </c>
      <c r="G392" s="32"/>
      <c r="H392" s="32"/>
      <c r="I392" s="38"/>
      <c r="J392" s="24"/>
      <c r="K392" s="38"/>
      <c r="L392" s="24"/>
      <c r="M392" s="41" t="str">
        <f t="shared" si="2"/>
        <v/>
      </c>
      <c r="N392" s="32"/>
      <c r="O392" s="32"/>
      <c r="P392" s="32"/>
      <c r="Q392" s="32"/>
      <c r="R392" s="32"/>
      <c r="S392" s="32" t="str">
        <f t="shared" si="3"/>
        <v/>
      </c>
      <c r="T392" s="32"/>
      <c r="U392" s="32"/>
    </row>
    <row r="393" ht="16.5" customHeight="1">
      <c r="A393" s="1"/>
      <c r="B393" s="23" t="str">
        <f t="shared" si="1"/>
        <v/>
      </c>
      <c r="C393" s="24"/>
      <c r="D393" s="25"/>
      <c r="E393" s="33" t="str">
        <f t="array" ref="E393">IFERROR(INDEX('03 Budget'!$C$7:$C$300,MATCH($D393,'03 Budget'!$B$7:$B$300,0)),IF($D393="","","** ID not found **"))</f>
        <v/>
      </c>
      <c r="F393" s="33" t="str">
        <f t="array" ref="F393">IFERROR(INDEX('03 Budget'!$D$7:$D$300,MATCH($D393,'03 Budget'!$B$7:$B$300,0)),IF($D393="","","** ID not found **"))</f>
        <v/>
      </c>
      <c r="G393" s="32"/>
      <c r="H393" s="32"/>
      <c r="I393" s="38"/>
      <c r="J393" s="24"/>
      <c r="K393" s="38"/>
      <c r="L393" s="24"/>
      <c r="M393" s="41" t="str">
        <f t="shared" si="2"/>
        <v/>
      </c>
      <c r="N393" s="32"/>
      <c r="O393" s="32"/>
      <c r="P393" s="32"/>
      <c r="Q393" s="32"/>
      <c r="R393" s="32"/>
      <c r="S393" s="32" t="str">
        <f t="shared" si="3"/>
        <v/>
      </c>
      <c r="T393" s="32"/>
      <c r="U393" s="32"/>
    </row>
    <row r="394" ht="16.5" customHeight="1">
      <c r="A394" s="1"/>
      <c r="B394" s="23" t="str">
        <f t="shared" si="1"/>
        <v/>
      </c>
      <c r="C394" s="24"/>
      <c r="D394" s="25"/>
      <c r="E394" s="33" t="str">
        <f t="array" ref="E394">IFERROR(INDEX('03 Budget'!$C$7:$C$300,MATCH($D394,'03 Budget'!$B$7:$B$300,0)),IF($D394="","","** ID not found **"))</f>
        <v/>
      </c>
      <c r="F394" s="33" t="str">
        <f t="array" ref="F394">IFERROR(INDEX('03 Budget'!$D$7:$D$300,MATCH($D394,'03 Budget'!$B$7:$B$300,0)),IF($D394="","","** ID not found **"))</f>
        <v/>
      </c>
      <c r="G394" s="32"/>
      <c r="H394" s="32"/>
      <c r="I394" s="38"/>
      <c r="J394" s="24"/>
      <c r="K394" s="38"/>
      <c r="L394" s="24"/>
      <c r="M394" s="41" t="str">
        <f t="shared" si="2"/>
        <v/>
      </c>
      <c r="N394" s="32"/>
      <c r="O394" s="32"/>
      <c r="P394" s="32"/>
      <c r="Q394" s="32"/>
      <c r="R394" s="32"/>
      <c r="S394" s="32" t="str">
        <f t="shared" si="3"/>
        <v/>
      </c>
      <c r="T394" s="32"/>
      <c r="U394" s="32"/>
    </row>
    <row r="395" ht="16.5" customHeight="1">
      <c r="A395" s="1"/>
      <c r="B395" s="23" t="str">
        <f t="shared" si="1"/>
        <v/>
      </c>
      <c r="C395" s="24"/>
      <c r="D395" s="25"/>
      <c r="E395" s="33" t="str">
        <f t="array" ref="E395">IFERROR(INDEX('03 Budget'!$C$7:$C$300,MATCH($D395,'03 Budget'!$B$7:$B$300,0)),IF($D395="","","** ID not found **"))</f>
        <v/>
      </c>
      <c r="F395" s="33" t="str">
        <f t="array" ref="F395">IFERROR(INDEX('03 Budget'!$D$7:$D$300,MATCH($D395,'03 Budget'!$B$7:$B$300,0)),IF($D395="","","** ID not found **"))</f>
        <v/>
      </c>
      <c r="G395" s="32"/>
      <c r="H395" s="32"/>
      <c r="I395" s="38"/>
      <c r="J395" s="24"/>
      <c r="K395" s="38"/>
      <c r="L395" s="24"/>
      <c r="M395" s="41" t="str">
        <f t="shared" si="2"/>
        <v/>
      </c>
      <c r="N395" s="32"/>
      <c r="O395" s="32"/>
      <c r="P395" s="32"/>
      <c r="Q395" s="32"/>
      <c r="R395" s="32"/>
      <c r="S395" s="32" t="str">
        <f t="shared" si="3"/>
        <v/>
      </c>
      <c r="T395" s="32"/>
      <c r="U395" s="32"/>
    </row>
    <row r="396" ht="16.5" customHeight="1">
      <c r="A396" s="1"/>
      <c r="B396" s="23" t="str">
        <f t="shared" si="1"/>
        <v/>
      </c>
      <c r="C396" s="24"/>
      <c r="D396" s="25"/>
      <c r="E396" s="33" t="str">
        <f t="array" ref="E396">IFERROR(INDEX('03 Budget'!$C$7:$C$300,MATCH($D396,'03 Budget'!$B$7:$B$300,0)),IF($D396="","","** ID not found **"))</f>
        <v/>
      </c>
      <c r="F396" s="33" t="str">
        <f t="array" ref="F396">IFERROR(INDEX('03 Budget'!$D$7:$D$300,MATCH($D396,'03 Budget'!$B$7:$B$300,0)),IF($D396="","","** ID not found **"))</f>
        <v/>
      </c>
      <c r="G396" s="32"/>
      <c r="H396" s="32"/>
      <c r="I396" s="38"/>
      <c r="J396" s="24"/>
      <c r="K396" s="38"/>
      <c r="L396" s="24"/>
      <c r="M396" s="41" t="str">
        <f t="shared" si="2"/>
        <v/>
      </c>
      <c r="N396" s="32"/>
      <c r="O396" s="32"/>
      <c r="P396" s="32"/>
      <c r="Q396" s="32"/>
      <c r="R396" s="32"/>
      <c r="S396" s="32" t="str">
        <f t="shared" si="3"/>
        <v/>
      </c>
      <c r="T396" s="32"/>
      <c r="U396" s="32"/>
    </row>
    <row r="397" ht="16.5" customHeight="1">
      <c r="A397" s="1"/>
      <c r="B397" s="23" t="str">
        <f t="shared" si="1"/>
        <v/>
      </c>
      <c r="C397" s="24"/>
      <c r="D397" s="25"/>
      <c r="E397" s="33" t="str">
        <f t="array" ref="E397">IFERROR(INDEX('03 Budget'!$C$7:$C$300,MATCH($D397,'03 Budget'!$B$7:$B$300,0)),IF($D397="","","** ID not found **"))</f>
        <v/>
      </c>
      <c r="F397" s="33" t="str">
        <f t="array" ref="F397">IFERROR(INDEX('03 Budget'!$D$7:$D$300,MATCH($D397,'03 Budget'!$B$7:$B$300,0)),IF($D397="","","** ID not found **"))</f>
        <v/>
      </c>
      <c r="G397" s="32"/>
      <c r="H397" s="32"/>
      <c r="I397" s="38"/>
      <c r="J397" s="24"/>
      <c r="K397" s="38"/>
      <c r="L397" s="24"/>
      <c r="M397" s="41" t="str">
        <f t="shared" si="2"/>
        <v/>
      </c>
      <c r="N397" s="32"/>
      <c r="O397" s="32"/>
      <c r="P397" s="32"/>
      <c r="Q397" s="32"/>
      <c r="R397" s="32"/>
      <c r="S397" s="32" t="str">
        <f t="shared" si="3"/>
        <v/>
      </c>
      <c r="T397" s="32"/>
      <c r="U397" s="32"/>
    </row>
    <row r="398" ht="16.5" customHeight="1">
      <c r="A398" s="1"/>
      <c r="B398" s="23" t="str">
        <f t="shared" si="1"/>
        <v/>
      </c>
      <c r="C398" s="24"/>
      <c r="D398" s="25"/>
      <c r="E398" s="33" t="str">
        <f t="array" ref="E398">IFERROR(INDEX('03 Budget'!$C$7:$C$300,MATCH($D398,'03 Budget'!$B$7:$B$300,0)),IF($D398="","","** ID not found **"))</f>
        <v/>
      </c>
      <c r="F398" s="33" t="str">
        <f t="array" ref="F398">IFERROR(INDEX('03 Budget'!$D$7:$D$300,MATCH($D398,'03 Budget'!$B$7:$B$300,0)),IF($D398="","","** ID not found **"))</f>
        <v/>
      </c>
      <c r="G398" s="32"/>
      <c r="H398" s="32"/>
      <c r="I398" s="38"/>
      <c r="J398" s="24"/>
      <c r="K398" s="38"/>
      <c r="L398" s="24"/>
      <c r="M398" s="41" t="str">
        <f t="shared" si="2"/>
        <v/>
      </c>
      <c r="N398" s="32"/>
      <c r="O398" s="32"/>
      <c r="P398" s="32"/>
      <c r="Q398" s="32"/>
      <c r="R398" s="32"/>
      <c r="S398" s="32" t="str">
        <f t="shared" si="3"/>
        <v/>
      </c>
      <c r="T398" s="32"/>
      <c r="U398" s="32"/>
    </row>
    <row r="399" ht="16.5" customHeight="1">
      <c r="A399" s="1"/>
      <c r="B399" s="23" t="str">
        <f t="shared" si="1"/>
        <v/>
      </c>
      <c r="C399" s="24"/>
      <c r="D399" s="25"/>
      <c r="E399" s="33" t="str">
        <f t="array" ref="E399">IFERROR(INDEX('03 Budget'!$C$7:$C$300,MATCH($D399,'03 Budget'!$B$7:$B$300,0)),IF($D399="","","** ID not found **"))</f>
        <v/>
      </c>
      <c r="F399" s="33" t="str">
        <f t="array" ref="F399">IFERROR(INDEX('03 Budget'!$D$7:$D$300,MATCH($D399,'03 Budget'!$B$7:$B$300,0)),IF($D399="","","** ID not found **"))</f>
        <v/>
      </c>
      <c r="G399" s="32"/>
      <c r="H399" s="32"/>
      <c r="I399" s="38"/>
      <c r="J399" s="24"/>
      <c r="K399" s="38"/>
      <c r="L399" s="24"/>
      <c r="M399" s="41" t="str">
        <f t="shared" si="2"/>
        <v/>
      </c>
      <c r="N399" s="32"/>
      <c r="O399" s="32"/>
      <c r="P399" s="32"/>
      <c r="Q399" s="32"/>
      <c r="R399" s="32"/>
      <c r="S399" s="32" t="str">
        <f t="shared" si="3"/>
        <v/>
      </c>
      <c r="T399" s="32"/>
      <c r="U399" s="32"/>
    </row>
    <row r="400" ht="16.5" customHeight="1">
      <c r="A400" s="1"/>
      <c r="B400" s="23" t="str">
        <f t="shared" si="1"/>
        <v/>
      </c>
      <c r="C400" s="24"/>
      <c r="D400" s="25"/>
      <c r="E400" s="33" t="str">
        <f t="array" ref="E400">IFERROR(INDEX('03 Budget'!$C$7:$C$300,MATCH($D400,'03 Budget'!$B$7:$B$300,0)),IF($D400="","","** ID not found **"))</f>
        <v/>
      </c>
      <c r="F400" s="33" t="str">
        <f t="array" ref="F400">IFERROR(INDEX('03 Budget'!$D$7:$D$300,MATCH($D400,'03 Budget'!$B$7:$B$300,0)),IF($D400="","","** ID not found **"))</f>
        <v/>
      </c>
      <c r="G400" s="32"/>
      <c r="H400" s="32"/>
      <c r="I400" s="38"/>
      <c r="J400" s="24"/>
      <c r="K400" s="38"/>
      <c r="L400" s="24"/>
      <c r="M400" s="41" t="str">
        <f t="shared" si="2"/>
        <v/>
      </c>
      <c r="N400" s="32"/>
      <c r="O400" s="32"/>
      <c r="P400" s="32"/>
      <c r="Q400" s="32"/>
      <c r="R400" s="32"/>
      <c r="S400" s="32" t="str">
        <f t="shared" si="3"/>
        <v/>
      </c>
      <c r="T400" s="32"/>
      <c r="U400" s="32"/>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U$400"/>
  <conditionalFormatting sqref="G7:G9 I7:I9 K7:K9">
    <cfRule type="expression" dxfId="11" priority="1" stopIfTrue="1">
      <formula>$F7="Not Applicable"</formula>
    </cfRule>
  </conditionalFormatting>
  <conditionalFormatting sqref="G7:G9 I7:I9 K7:K9">
    <cfRule type="expression" dxfId="3" priority="2">
      <formula>$Q7="Completed"</formula>
    </cfRule>
  </conditionalFormatting>
  <conditionalFormatting sqref="B7:U400">
    <cfRule type="expression" dxfId="2" priority="3">
      <formula>$S7="Overdue"</formula>
    </cfRule>
  </conditionalFormatting>
  <conditionalFormatting sqref="B7:U400">
    <cfRule type="expression" dxfId="6" priority="4">
      <formula>$S7="Due"</formula>
    </cfRule>
  </conditionalFormatting>
  <conditionalFormatting sqref="B7:U400">
    <cfRule type="expression" dxfId="3" priority="5">
      <formula>$S7="Paid"</formula>
    </cfRule>
  </conditionalFormatting>
  <conditionalFormatting sqref="Q7:Q400">
    <cfRule type="expression" dxfId="6" priority="6">
      <formula>AND($S7="Paid",$Q7&lt;&gt;"Yes")</formula>
    </cfRule>
  </conditionalFormatting>
  <dataValidations>
    <dataValidation type="list" allowBlank="1" sqref="H7:H400">
      <formula1>"Booking Deposit,Advance,Progress Payment,Final Payment,Extra / Overtime,Refundable Deposit,Refund Received"</formula1>
    </dataValidation>
    <dataValidation type="list" allowBlank="1" sqref="N7:N400">
      <formula1>"Cash,Bank Transfer,Cheque,Card,Online,Other"</formula1>
    </dataValidation>
    <dataValidation type="list" allowBlank="1" sqref="P7:Q400">
      <formula1>"Yes,No"</formula1>
    </dataValidation>
    <dataValidation type="list" allowBlank="1" sqref="T7:T400">
      <formula1>"Bride,Groom,Couple,Bride's Family,Groom's Family,Coordinator,Vendor,Shared"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4E"/>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0"/>
    <col customWidth="1" min="2" max="2" width="7.43"/>
    <col customWidth="1" min="3" max="3" width="21.43"/>
    <col customWidth="1" min="4" max="4" width="27.86"/>
    <col customWidth="1" min="5" max="5" width="19.29"/>
    <col customWidth="1" min="6" max="7" width="16.14"/>
    <col customWidth="1" min="8" max="8" width="23.57"/>
    <col customWidth="1" min="9" max="9" width="25.86"/>
    <col customWidth="1" min="10" max="10" width="32.14"/>
    <col customWidth="1" min="11" max="15" width="14.57"/>
    <col customWidth="1" min="16" max="16" width="11.86"/>
    <col customWidth="1" min="17" max="17" width="12.86"/>
    <col customWidth="1" min="18" max="18" width="17.14"/>
    <col customWidth="1" min="19" max="19" width="19.29"/>
    <col customWidth="1" min="20" max="22" width="11.86"/>
    <col customWidth="1" min="23" max="23" width="14.57"/>
    <col customWidth="1" min="24" max="24" width="30.0"/>
    <col customWidth="1" min="25" max="25" width="15.0"/>
    <col customWidth="1" min="26" max="26" width="11.86"/>
    <col customWidth="1" min="27" max="27" width="30.0"/>
  </cols>
  <sheetData>
    <row r="1" ht="16.5" customHeight="1">
      <c r="A1" s="1"/>
      <c r="B1" s="1"/>
      <c r="C1" s="1"/>
      <c r="D1" s="1"/>
      <c r="E1" s="1"/>
      <c r="F1" s="1"/>
      <c r="G1" s="1"/>
      <c r="H1" s="1"/>
      <c r="I1" s="1"/>
      <c r="J1" s="1"/>
      <c r="K1" s="1"/>
      <c r="L1" s="1"/>
      <c r="M1" s="1"/>
      <c r="N1" s="1"/>
      <c r="O1" s="1"/>
      <c r="P1" s="1"/>
      <c r="Q1" s="1"/>
      <c r="R1" s="1"/>
      <c r="S1" s="1"/>
      <c r="T1" s="1"/>
      <c r="U1" s="1"/>
      <c r="V1" s="1"/>
      <c r="W1" s="1"/>
      <c r="X1" s="1"/>
      <c r="Y1" s="1"/>
      <c r="Z1" s="1"/>
      <c r="AA1" s="1"/>
    </row>
    <row r="2" ht="33.75" customHeight="1">
      <c r="A2" s="2"/>
      <c r="B2" s="2" t="s">
        <v>174</v>
      </c>
      <c r="C2" s="2"/>
      <c r="D2" s="2"/>
      <c r="E2" s="2"/>
      <c r="F2" s="2"/>
      <c r="G2" s="2"/>
      <c r="H2" s="2"/>
      <c r="I2" s="2"/>
      <c r="J2" s="2"/>
      <c r="K2" s="2"/>
      <c r="L2" s="2"/>
      <c r="M2" s="2"/>
      <c r="N2" s="2"/>
      <c r="O2" s="2"/>
      <c r="P2" s="2"/>
      <c r="Q2" s="2"/>
      <c r="R2" s="2"/>
      <c r="S2" s="2"/>
      <c r="T2" s="2"/>
      <c r="U2" s="2"/>
      <c r="V2" s="2"/>
      <c r="W2" s="2"/>
      <c r="X2" s="2"/>
      <c r="Y2" s="2"/>
      <c r="Z2" s="2"/>
      <c r="AA2" s="2"/>
    </row>
    <row r="3" ht="15.75" customHeight="1">
      <c r="A3" s="3"/>
      <c r="B3" s="3" t="s">
        <v>176</v>
      </c>
      <c r="C3" s="3"/>
      <c r="D3" s="3"/>
      <c r="E3" s="3"/>
      <c r="F3" s="3"/>
      <c r="G3" s="3"/>
      <c r="H3" s="3"/>
      <c r="I3" s="3"/>
      <c r="J3" s="3"/>
      <c r="K3" s="3"/>
      <c r="L3" s="3"/>
      <c r="M3" s="3"/>
      <c r="N3" s="3"/>
      <c r="O3" s="3"/>
      <c r="P3" s="3"/>
      <c r="Q3" s="3"/>
      <c r="R3" s="3"/>
      <c r="S3" s="3"/>
      <c r="T3" s="3"/>
      <c r="U3" s="3"/>
      <c r="V3" s="3"/>
      <c r="W3" s="3"/>
      <c r="X3" s="3"/>
      <c r="Y3" s="3"/>
      <c r="Z3" s="3"/>
      <c r="AA3" s="3"/>
    </row>
    <row r="4" ht="16.5" customHeight="1">
      <c r="A4" s="1"/>
      <c r="B4" s="1"/>
      <c r="C4" s="1"/>
      <c r="D4" s="1"/>
      <c r="E4" s="1"/>
      <c r="F4" s="1"/>
      <c r="G4" s="1"/>
      <c r="H4" s="1"/>
      <c r="I4" s="1"/>
      <c r="J4" s="1"/>
      <c r="K4" s="1"/>
      <c r="L4" s="1"/>
      <c r="M4" s="1"/>
      <c r="N4" s="1"/>
      <c r="O4" s="1"/>
      <c r="P4" s="1"/>
      <c r="Q4" s="1"/>
      <c r="R4" s="1"/>
      <c r="S4" s="1"/>
      <c r="T4" s="1"/>
      <c r="U4" s="1"/>
      <c r="V4" s="1"/>
      <c r="W4" s="1"/>
      <c r="X4" s="1"/>
      <c r="Y4" s="1"/>
      <c r="Z4" s="1"/>
      <c r="AA4" s="1"/>
    </row>
    <row r="5" ht="16.5" customHeight="1">
      <c r="A5" s="1"/>
      <c r="B5" s="1"/>
      <c r="C5" s="1"/>
      <c r="D5" s="1"/>
      <c r="E5" s="1"/>
      <c r="F5" s="1"/>
      <c r="G5" s="1"/>
      <c r="H5" s="1"/>
      <c r="I5" s="1"/>
      <c r="J5" s="1"/>
      <c r="K5" s="1"/>
      <c r="L5" s="1"/>
      <c r="M5" s="1"/>
      <c r="N5" s="1"/>
      <c r="O5" s="1"/>
      <c r="P5" s="1"/>
      <c r="Q5" s="1"/>
      <c r="R5" s="1"/>
      <c r="S5" s="1"/>
      <c r="T5" s="1"/>
      <c r="U5" s="1"/>
      <c r="V5" s="1"/>
      <c r="W5" s="1"/>
      <c r="X5" s="1"/>
      <c r="Y5" s="1"/>
      <c r="Z5" s="1"/>
      <c r="AA5" s="1"/>
    </row>
    <row r="6" ht="30.0" customHeight="1">
      <c r="A6" s="16"/>
      <c r="B6" s="17" t="s">
        <v>24</v>
      </c>
      <c r="C6" s="17" t="s">
        <v>55</v>
      </c>
      <c r="D6" s="17" t="s">
        <v>181</v>
      </c>
      <c r="E6" s="17" t="s">
        <v>182</v>
      </c>
      <c r="F6" s="17" t="s">
        <v>183</v>
      </c>
      <c r="G6" s="17" t="s">
        <v>184</v>
      </c>
      <c r="H6" s="17" t="s">
        <v>185</v>
      </c>
      <c r="I6" s="17" t="s">
        <v>186</v>
      </c>
      <c r="J6" s="17" t="s">
        <v>187</v>
      </c>
      <c r="K6" s="17" t="s">
        <v>68</v>
      </c>
      <c r="L6" s="17" t="s">
        <v>72</v>
      </c>
      <c r="M6" s="17" t="s">
        <v>190</v>
      </c>
      <c r="N6" s="17" t="s">
        <v>192</v>
      </c>
      <c r="O6" s="17" t="s">
        <v>193</v>
      </c>
      <c r="P6" s="17" t="s">
        <v>194</v>
      </c>
      <c r="Q6" s="17" t="s">
        <v>195</v>
      </c>
      <c r="R6" s="17" t="s">
        <v>196</v>
      </c>
      <c r="S6" s="17" t="s">
        <v>197</v>
      </c>
      <c r="T6" s="17" t="s">
        <v>198</v>
      </c>
      <c r="U6" s="17" t="s">
        <v>199</v>
      </c>
      <c r="V6" s="17" t="s">
        <v>200</v>
      </c>
      <c r="W6" s="17" t="s">
        <v>201</v>
      </c>
      <c r="X6" s="17" t="s">
        <v>202</v>
      </c>
      <c r="Y6" s="17" t="s">
        <v>203</v>
      </c>
      <c r="Z6" s="17" t="s">
        <v>204</v>
      </c>
      <c r="AA6" s="17" t="s">
        <v>50</v>
      </c>
    </row>
    <row r="7" ht="16.5" customHeight="1">
      <c r="A7" s="1"/>
      <c r="B7" s="31" t="s">
        <v>205</v>
      </c>
      <c r="C7" s="32" t="s">
        <v>206</v>
      </c>
      <c r="D7" s="32" t="s">
        <v>207</v>
      </c>
      <c r="E7" s="32"/>
      <c r="F7" s="32"/>
      <c r="G7" s="32"/>
      <c r="H7" s="32"/>
      <c r="I7" s="32"/>
      <c r="J7" s="32"/>
      <c r="K7" s="38"/>
      <c r="L7" s="38"/>
      <c r="M7" s="41">
        <f>SUMIFS('04 Payments'!$K$7:$K$400,'04 Payments'!$G$7:$G$400,$D7,'04 Payments'!$H$7:$H$400,"Booking Deposit")</f>
        <v>0</v>
      </c>
      <c r="N7" s="41">
        <f>SUMIFS('04 Payments'!$K$7:$K$400,'04 Payments'!$G$7:$G$400,$D7)</f>
        <v>0</v>
      </c>
      <c r="O7" s="41">
        <f t="shared" ref="O7:O200" si="1">IF(L7&gt;0,L7-N7,IF(K7&gt;0,K7-N7,0))</f>
        <v>0</v>
      </c>
      <c r="P7" s="54">
        <f>COUNTIFS('04 Payments'!$G$7:$G$400,$D7,'04 Payments'!$S$7:$S$400,"Overdue")</f>
        <v>0</v>
      </c>
      <c r="Q7" s="32"/>
      <c r="R7" s="32"/>
      <c r="S7" s="32" t="s">
        <v>216</v>
      </c>
      <c r="T7" s="55"/>
      <c r="U7" s="55"/>
      <c r="V7" s="55"/>
      <c r="W7" s="38"/>
      <c r="X7" s="32"/>
      <c r="Y7" s="24"/>
      <c r="Z7" s="32"/>
      <c r="AA7" s="32"/>
    </row>
    <row r="8" ht="16.5" customHeight="1">
      <c r="A8" s="1"/>
      <c r="B8" s="31" t="s">
        <v>218</v>
      </c>
      <c r="C8" s="32" t="s">
        <v>219</v>
      </c>
      <c r="D8" s="32" t="s">
        <v>220</v>
      </c>
      <c r="E8" s="32"/>
      <c r="F8" s="32"/>
      <c r="G8" s="32"/>
      <c r="H8" s="32"/>
      <c r="I8" s="32"/>
      <c r="J8" s="32"/>
      <c r="K8" s="38"/>
      <c r="L8" s="38"/>
      <c r="M8" s="41">
        <f>SUMIFS('04 Payments'!$K$7:$K$400,'04 Payments'!$G$7:$G$400,$D8,'04 Payments'!$H$7:$H$400,"Booking Deposit")</f>
        <v>0</v>
      </c>
      <c r="N8" s="41">
        <f>SUMIFS('04 Payments'!$K$7:$K$400,'04 Payments'!$G$7:$G$400,$D8)</f>
        <v>0</v>
      </c>
      <c r="O8" s="41">
        <f t="shared" si="1"/>
        <v>0</v>
      </c>
      <c r="P8" s="54">
        <f>COUNTIFS('04 Payments'!$G$7:$G$400,$D8,'04 Payments'!$S$7:$S$400,"Overdue")</f>
        <v>0</v>
      </c>
      <c r="Q8" s="32"/>
      <c r="R8" s="32"/>
      <c r="S8" s="32" t="s">
        <v>216</v>
      </c>
      <c r="T8" s="55"/>
      <c r="U8" s="55"/>
      <c r="V8" s="55"/>
      <c r="W8" s="38"/>
      <c r="X8" s="32"/>
      <c r="Y8" s="24"/>
      <c r="Z8" s="32"/>
      <c r="AA8" s="32"/>
    </row>
    <row r="9" ht="16.5" customHeight="1">
      <c r="A9" s="1"/>
      <c r="B9" s="31" t="s">
        <v>226</v>
      </c>
      <c r="C9" s="32" t="s">
        <v>228</v>
      </c>
      <c r="D9" s="32" t="s">
        <v>229</v>
      </c>
      <c r="E9" s="32"/>
      <c r="F9" s="32"/>
      <c r="G9" s="32"/>
      <c r="H9" s="32"/>
      <c r="I9" s="32"/>
      <c r="J9" s="32"/>
      <c r="K9" s="38"/>
      <c r="L9" s="38"/>
      <c r="M9" s="41">
        <f>SUMIFS('04 Payments'!$K$7:$K$400,'04 Payments'!$G$7:$G$400,$D9,'04 Payments'!$H$7:$H$400,"Booking Deposit")</f>
        <v>0</v>
      </c>
      <c r="N9" s="41">
        <f>SUMIFS('04 Payments'!$K$7:$K$400,'04 Payments'!$G$7:$G$400,$D9)</f>
        <v>0</v>
      </c>
      <c r="O9" s="41">
        <f t="shared" si="1"/>
        <v>0</v>
      </c>
      <c r="P9" s="54">
        <f>COUNTIFS('04 Payments'!$G$7:$G$400,$D9,'04 Payments'!$S$7:$S$400,"Overdue")</f>
        <v>0</v>
      </c>
      <c r="Q9" s="32"/>
      <c r="R9" s="32"/>
      <c r="S9" s="32" t="s">
        <v>235</v>
      </c>
      <c r="T9" s="55"/>
      <c r="U9" s="55"/>
      <c r="V9" s="55"/>
      <c r="W9" s="38"/>
      <c r="X9" s="32"/>
      <c r="Y9" s="24"/>
      <c r="Z9" s="32"/>
      <c r="AA9" s="32"/>
    </row>
    <row r="10" ht="16.5" customHeight="1">
      <c r="A10" s="1"/>
      <c r="B10" s="31" t="s">
        <v>236</v>
      </c>
      <c r="C10" s="32" t="s">
        <v>237</v>
      </c>
      <c r="D10" s="32" t="s">
        <v>229</v>
      </c>
      <c r="E10" s="32"/>
      <c r="F10" s="32"/>
      <c r="G10" s="32"/>
      <c r="H10" s="32"/>
      <c r="I10" s="32"/>
      <c r="J10" s="32"/>
      <c r="K10" s="38"/>
      <c r="L10" s="38"/>
      <c r="M10" s="41">
        <f>SUMIFS('04 Payments'!$K$7:$K$400,'04 Payments'!$G$7:$G$400,$D10,'04 Payments'!$H$7:$H$400,"Booking Deposit")</f>
        <v>0</v>
      </c>
      <c r="N10" s="41">
        <f>SUMIFS('04 Payments'!$K$7:$K$400,'04 Payments'!$G$7:$G$400,$D10)</f>
        <v>0</v>
      </c>
      <c r="O10" s="41">
        <f t="shared" si="1"/>
        <v>0</v>
      </c>
      <c r="P10" s="54">
        <f>COUNTIFS('04 Payments'!$G$7:$G$400,$D10,'04 Payments'!$S$7:$S$400,"Overdue")</f>
        <v>0</v>
      </c>
      <c r="Q10" s="32"/>
      <c r="R10" s="32"/>
      <c r="S10" s="32" t="s">
        <v>235</v>
      </c>
      <c r="T10" s="55"/>
      <c r="U10" s="55"/>
      <c r="V10" s="55"/>
      <c r="W10" s="38"/>
      <c r="X10" s="32"/>
      <c r="Y10" s="24"/>
      <c r="Z10" s="32"/>
      <c r="AA10" s="32"/>
    </row>
    <row r="11" ht="16.5" customHeight="1">
      <c r="A11" s="1"/>
      <c r="B11" s="31" t="s">
        <v>244</v>
      </c>
      <c r="C11" s="32" t="s">
        <v>245</v>
      </c>
      <c r="D11" s="32" t="s">
        <v>246</v>
      </c>
      <c r="E11" s="32"/>
      <c r="F11" s="32"/>
      <c r="G11" s="32"/>
      <c r="H11" s="32"/>
      <c r="I11" s="32"/>
      <c r="J11" s="32"/>
      <c r="K11" s="38"/>
      <c r="L11" s="38"/>
      <c r="M11" s="41">
        <f>SUMIFS('04 Payments'!$K$7:$K$400,'04 Payments'!$G$7:$G$400,$D11,'04 Payments'!$H$7:$H$400,"Booking Deposit")</f>
        <v>0</v>
      </c>
      <c r="N11" s="41">
        <f>SUMIFS('04 Payments'!$K$7:$K$400,'04 Payments'!$G$7:$G$400,$D11)</f>
        <v>0</v>
      </c>
      <c r="O11" s="41">
        <f t="shared" si="1"/>
        <v>0</v>
      </c>
      <c r="P11" s="54">
        <f>COUNTIFS('04 Payments'!$G$7:$G$400,$D11,'04 Payments'!$S$7:$S$400,"Overdue")</f>
        <v>0</v>
      </c>
      <c r="Q11" s="32"/>
      <c r="R11" s="32"/>
      <c r="S11" s="32" t="s">
        <v>235</v>
      </c>
      <c r="T11" s="55"/>
      <c r="U11" s="55"/>
      <c r="V11" s="55"/>
      <c r="W11" s="38"/>
      <c r="X11" s="32"/>
      <c r="Y11" s="24"/>
      <c r="Z11" s="32"/>
      <c r="AA11" s="32"/>
    </row>
    <row r="12" ht="16.5" customHeight="1">
      <c r="A12" s="1"/>
      <c r="B12" s="31" t="s">
        <v>252</v>
      </c>
      <c r="C12" s="32" t="s">
        <v>253</v>
      </c>
      <c r="D12" s="32" t="s">
        <v>255</v>
      </c>
      <c r="E12" s="32"/>
      <c r="F12" s="32"/>
      <c r="G12" s="32"/>
      <c r="H12" s="32"/>
      <c r="I12" s="32"/>
      <c r="J12" s="32"/>
      <c r="K12" s="38"/>
      <c r="L12" s="38"/>
      <c r="M12" s="41">
        <f>SUMIFS('04 Payments'!$K$7:$K$400,'04 Payments'!$G$7:$G$400,$D12,'04 Payments'!$H$7:$H$400,"Booking Deposit")</f>
        <v>0</v>
      </c>
      <c r="N12" s="41">
        <f>SUMIFS('04 Payments'!$K$7:$K$400,'04 Payments'!$G$7:$G$400,$D12)</f>
        <v>0</v>
      </c>
      <c r="O12" s="41">
        <f t="shared" si="1"/>
        <v>0</v>
      </c>
      <c r="P12" s="54">
        <f>COUNTIFS('04 Payments'!$G$7:$G$400,$D12,'04 Payments'!$S$7:$S$400,"Overdue")</f>
        <v>0</v>
      </c>
      <c r="Q12" s="32"/>
      <c r="R12" s="32"/>
      <c r="S12" s="32" t="s">
        <v>259</v>
      </c>
      <c r="T12" s="55"/>
      <c r="U12" s="55"/>
      <c r="V12" s="55"/>
      <c r="W12" s="38"/>
      <c r="X12" s="32"/>
      <c r="Y12" s="24"/>
      <c r="Z12" s="32"/>
      <c r="AA12" s="32"/>
    </row>
    <row r="13" ht="16.5" customHeight="1">
      <c r="A13" s="1"/>
      <c r="B13" s="31" t="s">
        <v>263</v>
      </c>
      <c r="C13" s="32" t="s">
        <v>264</v>
      </c>
      <c r="D13" s="36" t="s">
        <v>265</v>
      </c>
      <c r="E13" s="36" t="s">
        <v>266</v>
      </c>
      <c r="F13" s="36">
        <v>7.05116588E8</v>
      </c>
      <c r="G13" s="36">
        <v>7.65816588E8</v>
      </c>
      <c r="H13" s="36" t="s">
        <v>267</v>
      </c>
      <c r="I13" s="36" t="s">
        <v>268</v>
      </c>
      <c r="J13" s="32"/>
      <c r="K13" s="34">
        <v>900000.0</v>
      </c>
      <c r="L13" s="34">
        <v>896000.0</v>
      </c>
      <c r="M13" s="41">
        <f>SUMIFS('04 Payments'!$K$7:$K$400,'04 Payments'!$G$7:$G$400,$D13,'04 Payments'!$H$7:$H$400,"Booking Deposit")</f>
        <v>0</v>
      </c>
      <c r="N13" s="56">
        <v>896000.0</v>
      </c>
      <c r="O13" s="41">
        <f t="shared" si="1"/>
        <v>0</v>
      </c>
      <c r="P13" s="54">
        <f>COUNTIFS('04 Payments'!$G$7:$G$400,$D13,'04 Payments'!$S$7:$S$400,"Overdue")</f>
        <v>0</v>
      </c>
      <c r="Q13" s="36" t="s">
        <v>114</v>
      </c>
      <c r="R13" s="36" t="s">
        <v>272</v>
      </c>
      <c r="S13" s="36" t="s">
        <v>273</v>
      </c>
      <c r="T13" s="57">
        <v>46295.0</v>
      </c>
      <c r="U13" s="55"/>
      <c r="V13" s="55"/>
      <c r="W13" s="38"/>
      <c r="X13" s="32"/>
      <c r="Y13" s="57">
        <v>46295.0</v>
      </c>
      <c r="Z13" s="36">
        <v>5.0</v>
      </c>
      <c r="AA13" s="32"/>
    </row>
    <row r="14" ht="16.5" customHeight="1">
      <c r="A14" s="1"/>
      <c r="B14" s="31" t="s">
        <v>276</v>
      </c>
      <c r="C14" s="32" t="s">
        <v>278</v>
      </c>
      <c r="D14" s="32" t="s">
        <v>279</v>
      </c>
      <c r="E14" s="32"/>
      <c r="F14" s="32"/>
      <c r="G14" s="32"/>
      <c r="H14" s="32"/>
      <c r="I14" s="32"/>
      <c r="J14" s="32"/>
      <c r="K14" s="38"/>
      <c r="L14" s="38"/>
      <c r="M14" s="41">
        <f>SUMIFS('04 Payments'!$K$7:$K$400,'04 Payments'!$G$7:$G$400,$D14,'04 Payments'!$H$7:$H$400,"Booking Deposit")</f>
        <v>0</v>
      </c>
      <c r="N14" s="41">
        <f>SUMIFS('04 Payments'!$K$7:$K$400,'04 Payments'!$G$7:$G$400,$D14)</f>
        <v>0</v>
      </c>
      <c r="O14" s="41">
        <f t="shared" si="1"/>
        <v>0</v>
      </c>
      <c r="P14" s="54">
        <f>COUNTIFS('04 Payments'!$G$7:$G$400,$D14,'04 Payments'!$S$7:$S$400,"Overdue")</f>
        <v>0</v>
      </c>
      <c r="Q14" s="32"/>
      <c r="R14" s="32"/>
      <c r="S14" s="32" t="s">
        <v>259</v>
      </c>
      <c r="T14" s="55"/>
      <c r="U14" s="55"/>
      <c r="V14" s="55"/>
      <c r="W14" s="38"/>
      <c r="X14" s="32"/>
      <c r="Y14" s="24"/>
      <c r="Z14" s="32"/>
      <c r="AA14" s="32"/>
    </row>
    <row r="15" ht="16.5" customHeight="1">
      <c r="A15" s="1"/>
      <c r="B15" s="31" t="s">
        <v>282</v>
      </c>
      <c r="C15" s="32" t="s">
        <v>284</v>
      </c>
      <c r="D15" s="32" t="s">
        <v>285</v>
      </c>
      <c r="E15" s="32"/>
      <c r="F15" s="32"/>
      <c r="G15" s="32"/>
      <c r="H15" s="32"/>
      <c r="I15" s="32"/>
      <c r="J15" s="32"/>
      <c r="K15" s="38"/>
      <c r="L15" s="38"/>
      <c r="M15" s="41">
        <f>SUMIFS('04 Payments'!$K$7:$K$400,'04 Payments'!$G$7:$G$400,$D15,'04 Payments'!$H$7:$H$400,"Booking Deposit")</f>
        <v>0</v>
      </c>
      <c r="N15" s="41">
        <f>SUMIFS('04 Payments'!$K$7:$K$400,'04 Payments'!$G$7:$G$400,$D15)</f>
        <v>0</v>
      </c>
      <c r="O15" s="41">
        <f t="shared" si="1"/>
        <v>0</v>
      </c>
      <c r="P15" s="54">
        <f>COUNTIFS('04 Payments'!$G$7:$G$400,$D15,'04 Payments'!$S$7:$S$400,"Overdue")</f>
        <v>0</v>
      </c>
      <c r="Q15" s="32"/>
      <c r="R15" s="32"/>
      <c r="S15" s="32" t="s">
        <v>259</v>
      </c>
      <c r="T15" s="55"/>
      <c r="U15" s="55"/>
      <c r="V15" s="55"/>
      <c r="W15" s="38"/>
      <c r="X15" s="32"/>
      <c r="Y15" s="24"/>
      <c r="Z15" s="32"/>
      <c r="AA15" s="32"/>
    </row>
    <row r="16" ht="16.5" customHeight="1">
      <c r="A16" s="1"/>
      <c r="B16" s="31" t="s">
        <v>296</v>
      </c>
      <c r="C16" s="32" t="s">
        <v>297</v>
      </c>
      <c r="D16" s="32" t="s">
        <v>298</v>
      </c>
      <c r="E16" s="32"/>
      <c r="F16" s="32"/>
      <c r="G16" s="32"/>
      <c r="H16" s="32"/>
      <c r="I16" s="32"/>
      <c r="J16" s="32"/>
      <c r="K16" s="38"/>
      <c r="L16" s="38"/>
      <c r="M16" s="41">
        <f>SUMIFS('04 Payments'!$K$7:$K$400,'04 Payments'!$G$7:$G$400,$D16,'04 Payments'!$H$7:$H$400,"Booking Deposit")</f>
        <v>0</v>
      </c>
      <c r="N16" s="41">
        <f>SUMIFS('04 Payments'!$K$7:$K$400,'04 Payments'!$G$7:$G$400,$D16)</f>
        <v>0</v>
      </c>
      <c r="O16" s="41">
        <f t="shared" si="1"/>
        <v>0</v>
      </c>
      <c r="P16" s="54">
        <f>COUNTIFS('04 Payments'!$G$7:$G$400,$D16,'04 Payments'!$S$7:$S$400,"Overdue")</f>
        <v>0</v>
      </c>
      <c r="Q16" s="32"/>
      <c r="R16" s="32"/>
      <c r="S16" s="32" t="s">
        <v>259</v>
      </c>
      <c r="T16" s="55"/>
      <c r="U16" s="55"/>
      <c r="V16" s="55"/>
      <c r="W16" s="38"/>
      <c r="X16" s="32"/>
      <c r="Y16" s="24"/>
      <c r="Z16" s="32"/>
      <c r="AA16" s="32"/>
    </row>
    <row r="17" ht="16.5" customHeight="1">
      <c r="A17" s="1"/>
      <c r="B17" s="31" t="s">
        <v>304</v>
      </c>
      <c r="C17" s="32" t="s">
        <v>305</v>
      </c>
      <c r="D17" s="32" t="s">
        <v>306</v>
      </c>
      <c r="E17" s="32"/>
      <c r="F17" s="32"/>
      <c r="G17" s="32"/>
      <c r="H17" s="32"/>
      <c r="I17" s="32"/>
      <c r="J17" s="32"/>
      <c r="K17" s="38"/>
      <c r="L17" s="38"/>
      <c r="M17" s="41">
        <f>SUMIFS('04 Payments'!$K$7:$K$400,'04 Payments'!$G$7:$G$400,$D17,'04 Payments'!$H$7:$H$400,"Booking Deposit")</f>
        <v>0</v>
      </c>
      <c r="N17" s="41">
        <f>SUMIFS('04 Payments'!$K$7:$K$400,'04 Payments'!$G$7:$G$400,$D17)</f>
        <v>0</v>
      </c>
      <c r="O17" s="41">
        <f t="shared" si="1"/>
        <v>0</v>
      </c>
      <c r="P17" s="54">
        <f>COUNTIFS('04 Payments'!$G$7:$G$400,$D17,'04 Payments'!$S$7:$S$400,"Overdue")</f>
        <v>0</v>
      </c>
      <c r="Q17" s="32"/>
      <c r="R17" s="32"/>
      <c r="S17" s="32" t="s">
        <v>259</v>
      </c>
      <c r="T17" s="55"/>
      <c r="U17" s="55"/>
      <c r="V17" s="55"/>
      <c r="W17" s="38"/>
      <c r="X17" s="32"/>
      <c r="Y17" s="24"/>
      <c r="Z17" s="32"/>
      <c r="AA17" s="32"/>
    </row>
    <row r="18" ht="16.5" customHeight="1">
      <c r="A18" s="1"/>
      <c r="B18" s="31" t="s">
        <v>312</v>
      </c>
      <c r="C18" s="32" t="s">
        <v>313</v>
      </c>
      <c r="D18" s="32" t="s">
        <v>314</v>
      </c>
      <c r="E18" s="32"/>
      <c r="F18" s="32"/>
      <c r="G18" s="32"/>
      <c r="H18" s="32"/>
      <c r="I18" s="32"/>
      <c r="J18" s="32"/>
      <c r="K18" s="38"/>
      <c r="L18" s="38"/>
      <c r="M18" s="41">
        <f>SUMIFS('04 Payments'!$K$7:$K$400,'04 Payments'!$G$7:$G$400,$D18,'04 Payments'!$H$7:$H$400,"Booking Deposit")</f>
        <v>0</v>
      </c>
      <c r="N18" s="41">
        <f>SUMIFS('04 Payments'!$K$7:$K$400,'04 Payments'!$G$7:$G$400,$D18)</f>
        <v>0</v>
      </c>
      <c r="O18" s="41">
        <f t="shared" si="1"/>
        <v>0</v>
      </c>
      <c r="P18" s="54">
        <f>COUNTIFS('04 Payments'!$G$7:$G$400,$D18,'04 Payments'!$S$7:$S$400,"Overdue")</f>
        <v>0</v>
      </c>
      <c r="Q18" s="32"/>
      <c r="R18" s="32"/>
      <c r="S18" s="32" t="s">
        <v>259</v>
      </c>
      <c r="T18" s="55"/>
      <c r="U18" s="55"/>
      <c r="V18" s="55"/>
      <c r="W18" s="38"/>
      <c r="X18" s="32"/>
      <c r="Y18" s="24"/>
      <c r="Z18" s="32"/>
      <c r="AA18" s="32"/>
    </row>
    <row r="19" ht="16.5" customHeight="1">
      <c r="A19" s="1"/>
      <c r="B19" s="31" t="s">
        <v>320</v>
      </c>
      <c r="C19" s="32" t="s">
        <v>322</v>
      </c>
      <c r="D19" s="32" t="s">
        <v>323</v>
      </c>
      <c r="E19" s="32"/>
      <c r="F19" s="32"/>
      <c r="G19" s="32"/>
      <c r="H19" s="32"/>
      <c r="I19" s="32"/>
      <c r="J19" s="32"/>
      <c r="K19" s="38"/>
      <c r="L19" s="38"/>
      <c r="M19" s="41">
        <f>SUMIFS('04 Payments'!$K$7:$K$400,'04 Payments'!$G$7:$G$400,$D19,'04 Payments'!$H$7:$H$400,"Booking Deposit")</f>
        <v>0</v>
      </c>
      <c r="N19" s="41">
        <f>SUMIFS('04 Payments'!$K$7:$K$400,'04 Payments'!$G$7:$G$400,$D19)</f>
        <v>0</v>
      </c>
      <c r="O19" s="41">
        <f t="shared" si="1"/>
        <v>0</v>
      </c>
      <c r="P19" s="54">
        <f>COUNTIFS('04 Payments'!$G$7:$G$400,$D19,'04 Payments'!$S$7:$S$400,"Overdue")</f>
        <v>0</v>
      </c>
      <c r="Q19" s="32"/>
      <c r="R19" s="32"/>
      <c r="S19" s="32" t="s">
        <v>259</v>
      </c>
      <c r="T19" s="55"/>
      <c r="U19" s="55"/>
      <c r="V19" s="55"/>
      <c r="W19" s="38"/>
      <c r="X19" s="32"/>
      <c r="Y19" s="24"/>
      <c r="Z19" s="32"/>
      <c r="AA19" s="32"/>
    </row>
    <row r="20" ht="16.5" customHeight="1">
      <c r="A20" s="1"/>
      <c r="B20" s="31" t="s">
        <v>328</v>
      </c>
      <c r="C20" s="32" t="s">
        <v>329</v>
      </c>
      <c r="D20" s="32" t="s">
        <v>330</v>
      </c>
      <c r="E20" s="32"/>
      <c r="F20" s="32"/>
      <c r="G20" s="32"/>
      <c r="H20" s="32"/>
      <c r="I20" s="32"/>
      <c r="J20" s="32"/>
      <c r="K20" s="38"/>
      <c r="L20" s="38"/>
      <c r="M20" s="41">
        <f>SUMIFS('04 Payments'!$K$7:$K$400,'04 Payments'!$G$7:$G$400,$D20,'04 Payments'!$H$7:$H$400,"Booking Deposit")</f>
        <v>0</v>
      </c>
      <c r="N20" s="41">
        <f>SUMIFS('04 Payments'!$K$7:$K$400,'04 Payments'!$G$7:$G$400,$D20)</f>
        <v>0</v>
      </c>
      <c r="O20" s="41">
        <f t="shared" si="1"/>
        <v>0</v>
      </c>
      <c r="P20" s="54">
        <f>COUNTIFS('04 Payments'!$G$7:$G$400,$D20,'04 Payments'!$S$7:$S$400,"Overdue")</f>
        <v>0</v>
      </c>
      <c r="Q20" s="32"/>
      <c r="R20" s="32"/>
      <c r="S20" s="32" t="s">
        <v>259</v>
      </c>
      <c r="T20" s="55"/>
      <c r="U20" s="55"/>
      <c r="V20" s="55"/>
      <c r="W20" s="38"/>
      <c r="X20" s="32"/>
      <c r="Y20" s="24"/>
      <c r="Z20" s="32"/>
      <c r="AA20" s="32"/>
    </row>
    <row r="21" ht="16.5" customHeight="1">
      <c r="A21" s="1"/>
      <c r="B21" s="31" t="s">
        <v>337</v>
      </c>
      <c r="C21" s="32" t="s">
        <v>338</v>
      </c>
      <c r="D21" s="32" t="s">
        <v>339</v>
      </c>
      <c r="E21" s="32"/>
      <c r="F21" s="32"/>
      <c r="G21" s="32"/>
      <c r="H21" s="32"/>
      <c r="I21" s="32"/>
      <c r="J21" s="32"/>
      <c r="K21" s="38"/>
      <c r="L21" s="38"/>
      <c r="M21" s="41">
        <f>SUMIFS('04 Payments'!$K$7:$K$400,'04 Payments'!$G$7:$G$400,$D21,'04 Payments'!$H$7:$H$400,"Booking Deposit")</f>
        <v>0</v>
      </c>
      <c r="N21" s="41">
        <f>SUMIFS('04 Payments'!$K$7:$K$400,'04 Payments'!$G$7:$G$400,$D21)</f>
        <v>0</v>
      </c>
      <c r="O21" s="41">
        <f t="shared" si="1"/>
        <v>0</v>
      </c>
      <c r="P21" s="54">
        <f>COUNTIFS('04 Payments'!$G$7:$G$400,$D21,'04 Payments'!$S$7:$S$400,"Overdue")</f>
        <v>0</v>
      </c>
      <c r="Q21" s="32"/>
      <c r="R21" s="32"/>
      <c r="S21" s="32" t="s">
        <v>259</v>
      </c>
      <c r="T21" s="55"/>
      <c r="U21" s="55"/>
      <c r="V21" s="55"/>
      <c r="W21" s="38"/>
      <c r="X21" s="32"/>
      <c r="Y21" s="24"/>
      <c r="Z21" s="32"/>
      <c r="AA21" s="32"/>
    </row>
    <row r="22" ht="16.5" customHeight="1">
      <c r="A22" s="1"/>
      <c r="B22" s="31" t="s">
        <v>344</v>
      </c>
      <c r="C22" s="32" t="s">
        <v>346</v>
      </c>
      <c r="D22" s="32" t="s">
        <v>347</v>
      </c>
      <c r="E22" s="32"/>
      <c r="F22" s="32"/>
      <c r="G22" s="32"/>
      <c r="H22" s="32"/>
      <c r="I22" s="32"/>
      <c r="J22" s="32"/>
      <c r="K22" s="38"/>
      <c r="L22" s="38"/>
      <c r="M22" s="41">
        <f>SUMIFS('04 Payments'!$K$7:$K$400,'04 Payments'!$G$7:$G$400,$D22,'04 Payments'!$H$7:$H$400,"Booking Deposit")</f>
        <v>0</v>
      </c>
      <c r="N22" s="41">
        <f>SUMIFS('04 Payments'!$K$7:$K$400,'04 Payments'!$G$7:$G$400,$D22)</f>
        <v>0</v>
      </c>
      <c r="O22" s="41">
        <f t="shared" si="1"/>
        <v>0</v>
      </c>
      <c r="P22" s="54">
        <f>COUNTIFS('04 Payments'!$G$7:$G$400,$D22,'04 Payments'!$S$7:$S$400,"Overdue")</f>
        <v>0</v>
      </c>
      <c r="Q22" s="32"/>
      <c r="R22" s="32"/>
      <c r="S22" s="32" t="s">
        <v>259</v>
      </c>
      <c r="T22" s="55"/>
      <c r="U22" s="55"/>
      <c r="V22" s="55"/>
      <c r="W22" s="38"/>
      <c r="X22" s="32"/>
      <c r="Y22" s="24"/>
      <c r="Z22" s="32"/>
      <c r="AA22" s="32"/>
    </row>
    <row r="23" ht="16.5" customHeight="1">
      <c r="A23" s="1"/>
      <c r="B23" s="31" t="s">
        <v>352</v>
      </c>
      <c r="C23" s="32" t="s">
        <v>353</v>
      </c>
      <c r="D23" s="32" t="s">
        <v>354</v>
      </c>
      <c r="E23" s="32"/>
      <c r="F23" s="32"/>
      <c r="G23" s="32"/>
      <c r="H23" s="32"/>
      <c r="I23" s="32"/>
      <c r="J23" s="32"/>
      <c r="K23" s="38"/>
      <c r="L23" s="38"/>
      <c r="M23" s="41">
        <f>SUMIFS('04 Payments'!$K$7:$K$400,'04 Payments'!$G$7:$G$400,$D23,'04 Payments'!$H$7:$H$400,"Booking Deposit")</f>
        <v>0</v>
      </c>
      <c r="N23" s="41">
        <f>SUMIFS('04 Payments'!$K$7:$K$400,'04 Payments'!$G$7:$G$400,$D23)</f>
        <v>0</v>
      </c>
      <c r="O23" s="41">
        <f t="shared" si="1"/>
        <v>0</v>
      </c>
      <c r="P23" s="54">
        <f>COUNTIFS('04 Payments'!$G$7:$G$400,$D23,'04 Payments'!$S$7:$S$400,"Overdue")</f>
        <v>0</v>
      </c>
      <c r="Q23" s="32"/>
      <c r="R23" s="32"/>
      <c r="S23" s="32" t="s">
        <v>259</v>
      </c>
      <c r="T23" s="55"/>
      <c r="U23" s="55"/>
      <c r="V23" s="55"/>
      <c r="W23" s="38"/>
      <c r="X23" s="32"/>
      <c r="Y23" s="24"/>
      <c r="Z23" s="32"/>
      <c r="AA23" s="32"/>
    </row>
    <row r="24" ht="16.5" customHeight="1">
      <c r="A24" s="1"/>
      <c r="B24" s="31" t="s">
        <v>359</v>
      </c>
      <c r="C24" s="32" t="s">
        <v>360</v>
      </c>
      <c r="D24" s="32" t="s">
        <v>361</v>
      </c>
      <c r="E24" s="32"/>
      <c r="F24" s="32"/>
      <c r="G24" s="32"/>
      <c r="H24" s="32"/>
      <c r="I24" s="32"/>
      <c r="J24" s="32"/>
      <c r="K24" s="38"/>
      <c r="L24" s="38"/>
      <c r="M24" s="41">
        <f>SUMIFS('04 Payments'!$K$7:$K$400,'04 Payments'!$G$7:$G$400,$D24,'04 Payments'!$H$7:$H$400,"Booking Deposit")</f>
        <v>0</v>
      </c>
      <c r="N24" s="41">
        <f>SUMIFS('04 Payments'!$K$7:$K$400,'04 Payments'!$G$7:$G$400,$D24)</f>
        <v>0</v>
      </c>
      <c r="O24" s="41">
        <f t="shared" si="1"/>
        <v>0</v>
      </c>
      <c r="P24" s="54">
        <f>COUNTIFS('04 Payments'!$G$7:$G$400,$D24,'04 Payments'!$S$7:$S$400,"Overdue")</f>
        <v>0</v>
      </c>
      <c r="Q24" s="32"/>
      <c r="R24" s="32"/>
      <c r="S24" s="32" t="s">
        <v>259</v>
      </c>
      <c r="T24" s="55"/>
      <c r="U24" s="55"/>
      <c r="V24" s="55"/>
      <c r="W24" s="38"/>
      <c r="X24" s="32"/>
      <c r="Y24" s="24"/>
      <c r="Z24" s="32"/>
      <c r="AA24" s="32"/>
    </row>
    <row r="25" ht="16.5" customHeight="1">
      <c r="A25" s="1"/>
      <c r="B25" s="32"/>
      <c r="C25" s="32"/>
      <c r="D25" s="32"/>
      <c r="E25" s="32"/>
      <c r="F25" s="32"/>
      <c r="G25" s="32"/>
      <c r="H25" s="32"/>
      <c r="I25" s="32"/>
      <c r="J25" s="32"/>
      <c r="K25" s="38"/>
      <c r="L25" s="38"/>
      <c r="M25" s="41">
        <f>SUMIFS('04 Payments'!$K$7:$K$400,'04 Payments'!$G$7:$G$400,$D25,'04 Payments'!$H$7:$H$400,"Booking Deposit")</f>
        <v>0</v>
      </c>
      <c r="N25" s="41">
        <f>SUMIFS('04 Payments'!$K$7:$K$400,'04 Payments'!$G$7:$G$400,$D25)</f>
        <v>0</v>
      </c>
      <c r="O25" s="41">
        <f t="shared" si="1"/>
        <v>0</v>
      </c>
      <c r="P25" s="54">
        <f>COUNTIFS('04 Payments'!$G$7:$G$400,$D25,'04 Payments'!$S$7:$S$400,"Overdue")</f>
        <v>0</v>
      </c>
      <c r="Q25" s="32"/>
      <c r="R25" s="32"/>
      <c r="S25" s="32"/>
      <c r="T25" s="55"/>
      <c r="U25" s="55"/>
      <c r="V25" s="55"/>
      <c r="W25" s="38"/>
      <c r="X25" s="32"/>
      <c r="Y25" s="24"/>
      <c r="Z25" s="32"/>
      <c r="AA25" s="32"/>
    </row>
    <row r="26" ht="16.5" customHeight="1">
      <c r="A26" s="1"/>
      <c r="B26" s="32"/>
      <c r="C26" s="32"/>
      <c r="D26" s="32"/>
      <c r="E26" s="32"/>
      <c r="F26" s="32"/>
      <c r="G26" s="32"/>
      <c r="H26" s="32"/>
      <c r="I26" s="32"/>
      <c r="J26" s="32"/>
      <c r="K26" s="38"/>
      <c r="L26" s="38"/>
      <c r="M26" s="41">
        <f>SUMIFS('04 Payments'!$K$7:$K$400,'04 Payments'!$G$7:$G$400,$D26,'04 Payments'!$H$7:$H$400,"Booking Deposit")</f>
        <v>0</v>
      </c>
      <c r="N26" s="41">
        <f>SUMIFS('04 Payments'!$K$7:$K$400,'04 Payments'!$G$7:$G$400,$D26)</f>
        <v>0</v>
      </c>
      <c r="O26" s="41">
        <f t="shared" si="1"/>
        <v>0</v>
      </c>
      <c r="P26" s="54">
        <f>COUNTIFS('04 Payments'!$G$7:$G$400,$D26,'04 Payments'!$S$7:$S$400,"Overdue")</f>
        <v>0</v>
      </c>
      <c r="Q26" s="32"/>
      <c r="R26" s="32"/>
      <c r="S26" s="32"/>
      <c r="T26" s="55"/>
      <c r="U26" s="55"/>
      <c r="V26" s="55"/>
      <c r="W26" s="38"/>
      <c r="X26" s="32"/>
      <c r="Y26" s="24"/>
      <c r="Z26" s="32"/>
      <c r="AA26" s="32"/>
    </row>
    <row r="27" ht="16.5" customHeight="1">
      <c r="A27" s="1"/>
      <c r="B27" s="32"/>
      <c r="C27" s="32"/>
      <c r="D27" s="32"/>
      <c r="E27" s="32"/>
      <c r="F27" s="32"/>
      <c r="G27" s="32"/>
      <c r="H27" s="32"/>
      <c r="I27" s="32"/>
      <c r="J27" s="32"/>
      <c r="K27" s="38"/>
      <c r="L27" s="38"/>
      <c r="M27" s="41">
        <f>SUMIFS('04 Payments'!$K$7:$K$400,'04 Payments'!$G$7:$G$400,$D27,'04 Payments'!$H$7:$H$400,"Booking Deposit")</f>
        <v>0</v>
      </c>
      <c r="N27" s="41">
        <f>SUMIFS('04 Payments'!$K$7:$K$400,'04 Payments'!$G$7:$G$400,$D27)</f>
        <v>0</v>
      </c>
      <c r="O27" s="41">
        <f t="shared" si="1"/>
        <v>0</v>
      </c>
      <c r="P27" s="54">
        <f>COUNTIFS('04 Payments'!$G$7:$G$400,$D27,'04 Payments'!$S$7:$S$400,"Overdue")</f>
        <v>0</v>
      </c>
      <c r="Q27" s="32"/>
      <c r="R27" s="32"/>
      <c r="S27" s="32"/>
      <c r="T27" s="55"/>
      <c r="U27" s="55"/>
      <c r="V27" s="55"/>
      <c r="W27" s="38"/>
      <c r="X27" s="32"/>
      <c r="Y27" s="24"/>
      <c r="Z27" s="32"/>
      <c r="AA27" s="32"/>
    </row>
    <row r="28" ht="16.5" customHeight="1">
      <c r="A28" s="1"/>
      <c r="B28" s="32"/>
      <c r="C28" s="32"/>
      <c r="D28" s="32"/>
      <c r="E28" s="32"/>
      <c r="F28" s="32"/>
      <c r="G28" s="32"/>
      <c r="H28" s="32"/>
      <c r="I28" s="32"/>
      <c r="J28" s="32"/>
      <c r="K28" s="38"/>
      <c r="L28" s="38"/>
      <c r="M28" s="41">
        <f>SUMIFS('04 Payments'!$K$7:$K$400,'04 Payments'!$G$7:$G$400,$D28,'04 Payments'!$H$7:$H$400,"Booking Deposit")</f>
        <v>0</v>
      </c>
      <c r="N28" s="41">
        <f>SUMIFS('04 Payments'!$K$7:$K$400,'04 Payments'!$G$7:$G$400,$D28)</f>
        <v>0</v>
      </c>
      <c r="O28" s="41">
        <f t="shared" si="1"/>
        <v>0</v>
      </c>
      <c r="P28" s="54">
        <f>COUNTIFS('04 Payments'!$G$7:$G$400,$D28,'04 Payments'!$S$7:$S$400,"Overdue")</f>
        <v>0</v>
      </c>
      <c r="Q28" s="32"/>
      <c r="R28" s="32"/>
      <c r="S28" s="32"/>
      <c r="T28" s="55"/>
      <c r="U28" s="55"/>
      <c r="V28" s="55"/>
      <c r="W28" s="38"/>
      <c r="X28" s="32"/>
      <c r="Y28" s="24"/>
      <c r="Z28" s="32"/>
      <c r="AA28" s="32"/>
    </row>
    <row r="29" ht="16.5" customHeight="1">
      <c r="A29" s="1"/>
      <c r="B29" s="32"/>
      <c r="C29" s="32"/>
      <c r="D29" s="32"/>
      <c r="E29" s="32"/>
      <c r="F29" s="32"/>
      <c r="G29" s="32"/>
      <c r="H29" s="32"/>
      <c r="I29" s="32"/>
      <c r="J29" s="32"/>
      <c r="K29" s="38"/>
      <c r="L29" s="38"/>
      <c r="M29" s="41">
        <f>SUMIFS('04 Payments'!$K$7:$K$400,'04 Payments'!$G$7:$G$400,$D29,'04 Payments'!$H$7:$H$400,"Booking Deposit")</f>
        <v>0</v>
      </c>
      <c r="N29" s="41">
        <f>SUMIFS('04 Payments'!$K$7:$K$400,'04 Payments'!$G$7:$G$400,$D29)</f>
        <v>0</v>
      </c>
      <c r="O29" s="41">
        <f t="shared" si="1"/>
        <v>0</v>
      </c>
      <c r="P29" s="54">
        <f>COUNTIFS('04 Payments'!$G$7:$G$400,$D29,'04 Payments'!$S$7:$S$400,"Overdue")</f>
        <v>0</v>
      </c>
      <c r="Q29" s="32"/>
      <c r="R29" s="32"/>
      <c r="S29" s="32"/>
      <c r="T29" s="55"/>
      <c r="U29" s="55"/>
      <c r="V29" s="55"/>
      <c r="W29" s="38"/>
      <c r="X29" s="32"/>
      <c r="Y29" s="24"/>
      <c r="Z29" s="32"/>
      <c r="AA29" s="32"/>
    </row>
    <row r="30" ht="16.5" customHeight="1">
      <c r="A30" s="1"/>
      <c r="B30" s="32"/>
      <c r="C30" s="32"/>
      <c r="D30" s="32"/>
      <c r="E30" s="32"/>
      <c r="F30" s="32"/>
      <c r="G30" s="32"/>
      <c r="H30" s="32"/>
      <c r="I30" s="32"/>
      <c r="J30" s="32"/>
      <c r="K30" s="38"/>
      <c r="L30" s="38"/>
      <c r="M30" s="41">
        <f>SUMIFS('04 Payments'!$K$7:$K$400,'04 Payments'!$G$7:$G$400,$D30,'04 Payments'!$H$7:$H$400,"Booking Deposit")</f>
        <v>0</v>
      </c>
      <c r="N30" s="41">
        <f>SUMIFS('04 Payments'!$K$7:$K$400,'04 Payments'!$G$7:$G$400,$D30)</f>
        <v>0</v>
      </c>
      <c r="O30" s="41">
        <f t="shared" si="1"/>
        <v>0</v>
      </c>
      <c r="P30" s="54">
        <f>COUNTIFS('04 Payments'!$G$7:$G$400,$D30,'04 Payments'!$S$7:$S$400,"Overdue")</f>
        <v>0</v>
      </c>
      <c r="Q30" s="32"/>
      <c r="R30" s="32"/>
      <c r="S30" s="32"/>
      <c r="T30" s="55"/>
      <c r="U30" s="55"/>
      <c r="V30" s="55"/>
      <c r="W30" s="38"/>
      <c r="X30" s="32"/>
      <c r="Y30" s="24"/>
      <c r="Z30" s="32"/>
      <c r="AA30" s="32"/>
    </row>
    <row r="31" ht="16.5" customHeight="1">
      <c r="A31" s="1"/>
      <c r="B31" s="32"/>
      <c r="C31" s="32"/>
      <c r="D31" s="32"/>
      <c r="E31" s="32"/>
      <c r="F31" s="32"/>
      <c r="G31" s="32"/>
      <c r="H31" s="32"/>
      <c r="I31" s="32"/>
      <c r="J31" s="32"/>
      <c r="K31" s="38"/>
      <c r="L31" s="38"/>
      <c r="M31" s="41">
        <f>SUMIFS('04 Payments'!$K$7:$K$400,'04 Payments'!$G$7:$G$400,$D31,'04 Payments'!$H$7:$H$400,"Booking Deposit")</f>
        <v>0</v>
      </c>
      <c r="N31" s="41">
        <f>SUMIFS('04 Payments'!$K$7:$K$400,'04 Payments'!$G$7:$G$400,$D31)</f>
        <v>0</v>
      </c>
      <c r="O31" s="41">
        <f t="shared" si="1"/>
        <v>0</v>
      </c>
      <c r="P31" s="54">
        <f>COUNTIFS('04 Payments'!$G$7:$G$400,$D31,'04 Payments'!$S$7:$S$400,"Overdue")</f>
        <v>0</v>
      </c>
      <c r="Q31" s="32"/>
      <c r="R31" s="32"/>
      <c r="S31" s="32"/>
      <c r="T31" s="55"/>
      <c r="U31" s="55"/>
      <c r="V31" s="55"/>
      <c r="W31" s="38"/>
      <c r="X31" s="32"/>
      <c r="Y31" s="24"/>
      <c r="Z31" s="32"/>
      <c r="AA31" s="32"/>
    </row>
    <row r="32" ht="16.5" customHeight="1">
      <c r="A32" s="1"/>
      <c r="B32" s="32"/>
      <c r="C32" s="32"/>
      <c r="D32" s="32"/>
      <c r="E32" s="32"/>
      <c r="F32" s="32"/>
      <c r="G32" s="32"/>
      <c r="H32" s="32"/>
      <c r="I32" s="32"/>
      <c r="J32" s="32"/>
      <c r="K32" s="38"/>
      <c r="L32" s="38"/>
      <c r="M32" s="41">
        <f>SUMIFS('04 Payments'!$K$7:$K$400,'04 Payments'!$G$7:$G$400,$D32,'04 Payments'!$H$7:$H$400,"Booking Deposit")</f>
        <v>0</v>
      </c>
      <c r="N32" s="41">
        <f>SUMIFS('04 Payments'!$K$7:$K$400,'04 Payments'!$G$7:$G$400,$D32)</f>
        <v>0</v>
      </c>
      <c r="O32" s="41">
        <f t="shared" si="1"/>
        <v>0</v>
      </c>
      <c r="P32" s="54">
        <f>COUNTIFS('04 Payments'!$G$7:$G$400,$D32,'04 Payments'!$S$7:$S$400,"Overdue")</f>
        <v>0</v>
      </c>
      <c r="Q32" s="32"/>
      <c r="R32" s="32"/>
      <c r="S32" s="32"/>
      <c r="T32" s="55"/>
      <c r="U32" s="55"/>
      <c r="V32" s="55"/>
      <c r="W32" s="38"/>
      <c r="X32" s="32"/>
      <c r="Y32" s="24"/>
      <c r="Z32" s="32"/>
      <c r="AA32" s="32"/>
    </row>
    <row r="33" ht="16.5" customHeight="1">
      <c r="A33" s="1"/>
      <c r="B33" s="32"/>
      <c r="C33" s="32"/>
      <c r="D33" s="32"/>
      <c r="E33" s="32"/>
      <c r="F33" s="32"/>
      <c r="G33" s="32"/>
      <c r="H33" s="32"/>
      <c r="I33" s="32"/>
      <c r="J33" s="32"/>
      <c r="K33" s="38"/>
      <c r="L33" s="38"/>
      <c r="M33" s="41">
        <f>SUMIFS('04 Payments'!$K$7:$K$400,'04 Payments'!$G$7:$G$400,$D33,'04 Payments'!$H$7:$H$400,"Booking Deposit")</f>
        <v>0</v>
      </c>
      <c r="N33" s="41">
        <f>SUMIFS('04 Payments'!$K$7:$K$400,'04 Payments'!$G$7:$G$400,$D33)</f>
        <v>0</v>
      </c>
      <c r="O33" s="41">
        <f t="shared" si="1"/>
        <v>0</v>
      </c>
      <c r="P33" s="54">
        <f>COUNTIFS('04 Payments'!$G$7:$G$400,$D33,'04 Payments'!$S$7:$S$400,"Overdue")</f>
        <v>0</v>
      </c>
      <c r="Q33" s="32"/>
      <c r="R33" s="32"/>
      <c r="S33" s="32"/>
      <c r="T33" s="55"/>
      <c r="U33" s="55"/>
      <c r="V33" s="55"/>
      <c r="W33" s="38"/>
      <c r="X33" s="32"/>
      <c r="Y33" s="24"/>
      <c r="Z33" s="32"/>
      <c r="AA33" s="32"/>
    </row>
    <row r="34" ht="16.5" customHeight="1">
      <c r="A34" s="1"/>
      <c r="B34" s="32"/>
      <c r="C34" s="32"/>
      <c r="D34" s="32"/>
      <c r="E34" s="32"/>
      <c r="F34" s="32"/>
      <c r="G34" s="32"/>
      <c r="H34" s="32"/>
      <c r="I34" s="32"/>
      <c r="J34" s="32"/>
      <c r="K34" s="38"/>
      <c r="L34" s="38"/>
      <c r="M34" s="41">
        <f>SUMIFS('04 Payments'!$K$7:$K$400,'04 Payments'!$G$7:$G$400,$D34,'04 Payments'!$H$7:$H$400,"Booking Deposit")</f>
        <v>0</v>
      </c>
      <c r="N34" s="41">
        <f>SUMIFS('04 Payments'!$K$7:$K$400,'04 Payments'!$G$7:$G$400,$D34)</f>
        <v>0</v>
      </c>
      <c r="O34" s="41">
        <f t="shared" si="1"/>
        <v>0</v>
      </c>
      <c r="P34" s="54">
        <f>COUNTIFS('04 Payments'!$G$7:$G$400,$D34,'04 Payments'!$S$7:$S$400,"Overdue")</f>
        <v>0</v>
      </c>
      <c r="Q34" s="32"/>
      <c r="R34" s="32"/>
      <c r="S34" s="32"/>
      <c r="T34" s="55"/>
      <c r="U34" s="55"/>
      <c r="V34" s="55"/>
      <c r="W34" s="38"/>
      <c r="X34" s="32"/>
      <c r="Y34" s="24"/>
      <c r="Z34" s="32"/>
      <c r="AA34" s="32"/>
    </row>
    <row r="35" ht="16.5" customHeight="1">
      <c r="A35" s="1"/>
      <c r="B35" s="32"/>
      <c r="C35" s="32"/>
      <c r="D35" s="32"/>
      <c r="E35" s="32"/>
      <c r="F35" s="32"/>
      <c r="G35" s="32"/>
      <c r="H35" s="32"/>
      <c r="I35" s="32"/>
      <c r="J35" s="32"/>
      <c r="K35" s="38"/>
      <c r="L35" s="38"/>
      <c r="M35" s="41">
        <f>SUMIFS('04 Payments'!$K$7:$K$400,'04 Payments'!$G$7:$G$400,$D35,'04 Payments'!$H$7:$H$400,"Booking Deposit")</f>
        <v>0</v>
      </c>
      <c r="N35" s="41">
        <f>SUMIFS('04 Payments'!$K$7:$K$400,'04 Payments'!$G$7:$G$400,$D35)</f>
        <v>0</v>
      </c>
      <c r="O35" s="41">
        <f t="shared" si="1"/>
        <v>0</v>
      </c>
      <c r="P35" s="54">
        <f>COUNTIFS('04 Payments'!$G$7:$G$400,$D35,'04 Payments'!$S$7:$S$400,"Overdue")</f>
        <v>0</v>
      </c>
      <c r="Q35" s="32"/>
      <c r="R35" s="32"/>
      <c r="S35" s="32"/>
      <c r="T35" s="55"/>
      <c r="U35" s="55"/>
      <c r="V35" s="55"/>
      <c r="W35" s="38"/>
      <c r="X35" s="32"/>
      <c r="Y35" s="24"/>
      <c r="Z35" s="32"/>
      <c r="AA35" s="32"/>
    </row>
    <row r="36" ht="16.5" customHeight="1">
      <c r="A36" s="1"/>
      <c r="B36" s="32"/>
      <c r="C36" s="32"/>
      <c r="D36" s="32"/>
      <c r="E36" s="32"/>
      <c r="F36" s="32"/>
      <c r="G36" s="32"/>
      <c r="H36" s="32"/>
      <c r="I36" s="32"/>
      <c r="J36" s="32"/>
      <c r="K36" s="38"/>
      <c r="L36" s="38"/>
      <c r="M36" s="41">
        <f>SUMIFS('04 Payments'!$K$7:$K$400,'04 Payments'!$G$7:$G$400,$D36,'04 Payments'!$H$7:$H$400,"Booking Deposit")</f>
        <v>0</v>
      </c>
      <c r="N36" s="41">
        <f>SUMIFS('04 Payments'!$K$7:$K$400,'04 Payments'!$G$7:$G$400,$D36)</f>
        <v>0</v>
      </c>
      <c r="O36" s="41">
        <f t="shared" si="1"/>
        <v>0</v>
      </c>
      <c r="P36" s="54">
        <f>COUNTIFS('04 Payments'!$G$7:$G$400,$D36,'04 Payments'!$S$7:$S$400,"Overdue")</f>
        <v>0</v>
      </c>
      <c r="Q36" s="32"/>
      <c r="R36" s="32"/>
      <c r="S36" s="32"/>
      <c r="T36" s="55"/>
      <c r="U36" s="55"/>
      <c r="V36" s="55"/>
      <c r="W36" s="38"/>
      <c r="X36" s="32"/>
      <c r="Y36" s="24"/>
      <c r="Z36" s="32"/>
      <c r="AA36" s="32"/>
    </row>
    <row r="37" ht="16.5" customHeight="1">
      <c r="A37" s="1"/>
      <c r="B37" s="32"/>
      <c r="C37" s="32"/>
      <c r="D37" s="32"/>
      <c r="E37" s="32"/>
      <c r="F37" s="32"/>
      <c r="G37" s="32"/>
      <c r="H37" s="32"/>
      <c r="I37" s="32"/>
      <c r="J37" s="32"/>
      <c r="K37" s="38"/>
      <c r="L37" s="38"/>
      <c r="M37" s="41">
        <f>SUMIFS('04 Payments'!$K$7:$K$400,'04 Payments'!$G$7:$G$400,$D37,'04 Payments'!$H$7:$H$400,"Booking Deposit")</f>
        <v>0</v>
      </c>
      <c r="N37" s="41">
        <f>SUMIFS('04 Payments'!$K$7:$K$400,'04 Payments'!$G$7:$G$400,$D37)</f>
        <v>0</v>
      </c>
      <c r="O37" s="41">
        <f t="shared" si="1"/>
        <v>0</v>
      </c>
      <c r="P37" s="54">
        <f>COUNTIFS('04 Payments'!$G$7:$G$400,$D37,'04 Payments'!$S$7:$S$400,"Overdue")</f>
        <v>0</v>
      </c>
      <c r="Q37" s="32"/>
      <c r="R37" s="32"/>
      <c r="S37" s="32"/>
      <c r="T37" s="55"/>
      <c r="U37" s="55"/>
      <c r="V37" s="55"/>
      <c r="W37" s="38"/>
      <c r="X37" s="32"/>
      <c r="Y37" s="24"/>
      <c r="Z37" s="32"/>
      <c r="AA37" s="32"/>
    </row>
    <row r="38" ht="16.5" customHeight="1">
      <c r="A38" s="1"/>
      <c r="B38" s="32"/>
      <c r="C38" s="32"/>
      <c r="D38" s="32"/>
      <c r="E38" s="32"/>
      <c r="F38" s="32"/>
      <c r="G38" s="32"/>
      <c r="H38" s="32"/>
      <c r="I38" s="32"/>
      <c r="J38" s="32"/>
      <c r="K38" s="38"/>
      <c r="L38" s="38"/>
      <c r="M38" s="41">
        <f>SUMIFS('04 Payments'!$K$7:$K$400,'04 Payments'!$G$7:$G$400,$D38,'04 Payments'!$H$7:$H$400,"Booking Deposit")</f>
        <v>0</v>
      </c>
      <c r="N38" s="41">
        <f>SUMIFS('04 Payments'!$K$7:$K$400,'04 Payments'!$G$7:$G$400,$D38)</f>
        <v>0</v>
      </c>
      <c r="O38" s="41">
        <f t="shared" si="1"/>
        <v>0</v>
      </c>
      <c r="P38" s="54">
        <f>COUNTIFS('04 Payments'!$G$7:$G$400,$D38,'04 Payments'!$S$7:$S$400,"Overdue")</f>
        <v>0</v>
      </c>
      <c r="Q38" s="32"/>
      <c r="R38" s="32"/>
      <c r="S38" s="32"/>
      <c r="T38" s="55"/>
      <c r="U38" s="55"/>
      <c r="V38" s="55"/>
      <c r="W38" s="38"/>
      <c r="X38" s="32"/>
      <c r="Y38" s="24"/>
      <c r="Z38" s="32"/>
      <c r="AA38" s="32"/>
    </row>
    <row r="39" ht="16.5" customHeight="1">
      <c r="A39" s="1"/>
      <c r="B39" s="32"/>
      <c r="C39" s="32"/>
      <c r="D39" s="32"/>
      <c r="E39" s="32"/>
      <c r="F39" s="32"/>
      <c r="G39" s="32"/>
      <c r="H39" s="32"/>
      <c r="I39" s="32"/>
      <c r="J39" s="32"/>
      <c r="K39" s="38"/>
      <c r="L39" s="38"/>
      <c r="M39" s="41">
        <f>SUMIFS('04 Payments'!$K$7:$K$400,'04 Payments'!$G$7:$G$400,$D39,'04 Payments'!$H$7:$H$400,"Booking Deposit")</f>
        <v>0</v>
      </c>
      <c r="N39" s="41">
        <f>SUMIFS('04 Payments'!$K$7:$K$400,'04 Payments'!$G$7:$G$400,$D39)</f>
        <v>0</v>
      </c>
      <c r="O39" s="41">
        <f t="shared" si="1"/>
        <v>0</v>
      </c>
      <c r="P39" s="54">
        <f>COUNTIFS('04 Payments'!$G$7:$G$400,$D39,'04 Payments'!$S$7:$S$400,"Overdue")</f>
        <v>0</v>
      </c>
      <c r="Q39" s="32"/>
      <c r="R39" s="32"/>
      <c r="S39" s="32"/>
      <c r="T39" s="55"/>
      <c r="U39" s="55"/>
      <c r="V39" s="55"/>
      <c r="W39" s="38"/>
      <c r="X39" s="32"/>
      <c r="Y39" s="24"/>
      <c r="Z39" s="32"/>
      <c r="AA39" s="32"/>
    </row>
    <row r="40" ht="16.5" customHeight="1">
      <c r="A40" s="1"/>
      <c r="B40" s="32"/>
      <c r="C40" s="32"/>
      <c r="D40" s="32"/>
      <c r="E40" s="32"/>
      <c r="F40" s="32"/>
      <c r="G40" s="32"/>
      <c r="H40" s="32"/>
      <c r="I40" s="32"/>
      <c r="J40" s="32"/>
      <c r="K40" s="38"/>
      <c r="L40" s="38"/>
      <c r="M40" s="41">
        <f>SUMIFS('04 Payments'!$K$7:$K$400,'04 Payments'!$G$7:$G$400,$D40,'04 Payments'!$H$7:$H$400,"Booking Deposit")</f>
        <v>0</v>
      </c>
      <c r="N40" s="41">
        <f>SUMIFS('04 Payments'!$K$7:$K$400,'04 Payments'!$G$7:$G$400,$D40)</f>
        <v>0</v>
      </c>
      <c r="O40" s="41">
        <f t="shared" si="1"/>
        <v>0</v>
      </c>
      <c r="P40" s="54">
        <f>COUNTIFS('04 Payments'!$G$7:$G$400,$D40,'04 Payments'!$S$7:$S$400,"Overdue")</f>
        <v>0</v>
      </c>
      <c r="Q40" s="32"/>
      <c r="R40" s="32"/>
      <c r="S40" s="32"/>
      <c r="T40" s="55"/>
      <c r="U40" s="55"/>
      <c r="V40" s="55"/>
      <c r="W40" s="38"/>
      <c r="X40" s="32"/>
      <c r="Y40" s="24"/>
      <c r="Z40" s="32"/>
      <c r="AA40" s="32"/>
    </row>
    <row r="41" ht="16.5" customHeight="1">
      <c r="A41" s="1"/>
      <c r="B41" s="32"/>
      <c r="C41" s="32"/>
      <c r="D41" s="32"/>
      <c r="E41" s="32"/>
      <c r="F41" s="32"/>
      <c r="G41" s="32"/>
      <c r="H41" s="32"/>
      <c r="I41" s="32"/>
      <c r="J41" s="32"/>
      <c r="K41" s="38"/>
      <c r="L41" s="38"/>
      <c r="M41" s="41">
        <f>SUMIFS('04 Payments'!$K$7:$K$400,'04 Payments'!$G$7:$G$400,$D41,'04 Payments'!$H$7:$H$400,"Booking Deposit")</f>
        <v>0</v>
      </c>
      <c r="N41" s="41">
        <f>SUMIFS('04 Payments'!$K$7:$K$400,'04 Payments'!$G$7:$G$400,$D41)</f>
        <v>0</v>
      </c>
      <c r="O41" s="41">
        <f t="shared" si="1"/>
        <v>0</v>
      </c>
      <c r="P41" s="54">
        <f>COUNTIFS('04 Payments'!$G$7:$G$400,$D41,'04 Payments'!$S$7:$S$400,"Overdue")</f>
        <v>0</v>
      </c>
      <c r="Q41" s="32"/>
      <c r="R41" s="32"/>
      <c r="S41" s="32"/>
      <c r="T41" s="55"/>
      <c r="U41" s="55"/>
      <c r="V41" s="55"/>
      <c r="W41" s="38"/>
      <c r="X41" s="32"/>
      <c r="Y41" s="24"/>
      <c r="Z41" s="32"/>
      <c r="AA41" s="32"/>
    </row>
    <row r="42" ht="16.5" customHeight="1">
      <c r="A42" s="1"/>
      <c r="B42" s="32"/>
      <c r="C42" s="32"/>
      <c r="D42" s="32"/>
      <c r="E42" s="32"/>
      <c r="F42" s="32"/>
      <c r="G42" s="32"/>
      <c r="H42" s="32"/>
      <c r="I42" s="32"/>
      <c r="J42" s="32"/>
      <c r="K42" s="38"/>
      <c r="L42" s="38"/>
      <c r="M42" s="41">
        <f>SUMIFS('04 Payments'!$K$7:$K$400,'04 Payments'!$G$7:$G$400,$D42,'04 Payments'!$H$7:$H$400,"Booking Deposit")</f>
        <v>0</v>
      </c>
      <c r="N42" s="41">
        <f>SUMIFS('04 Payments'!$K$7:$K$400,'04 Payments'!$G$7:$G$400,$D42)</f>
        <v>0</v>
      </c>
      <c r="O42" s="41">
        <f t="shared" si="1"/>
        <v>0</v>
      </c>
      <c r="P42" s="54">
        <f>COUNTIFS('04 Payments'!$G$7:$G$400,$D42,'04 Payments'!$S$7:$S$400,"Overdue")</f>
        <v>0</v>
      </c>
      <c r="Q42" s="32"/>
      <c r="R42" s="32"/>
      <c r="S42" s="32"/>
      <c r="T42" s="55"/>
      <c r="U42" s="55"/>
      <c r="V42" s="55"/>
      <c r="W42" s="38"/>
      <c r="X42" s="32"/>
      <c r="Y42" s="24"/>
      <c r="Z42" s="32"/>
      <c r="AA42" s="32"/>
    </row>
    <row r="43" ht="16.5" customHeight="1">
      <c r="A43" s="1"/>
      <c r="B43" s="32"/>
      <c r="C43" s="32"/>
      <c r="D43" s="32"/>
      <c r="E43" s="32"/>
      <c r="F43" s="32"/>
      <c r="G43" s="32"/>
      <c r="H43" s="32"/>
      <c r="I43" s="32"/>
      <c r="J43" s="32"/>
      <c r="K43" s="38"/>
      <c r="L43" s="38"/>
      <c r="M43" s="41">
        <f>SUMIFS('04 Payments'!$K$7:$K$400,'04 Payments'!$G$7:$G$400,$D43,'04 Payments'!$H$7:$H$400,"Booking Deposit")</f>
        <v>0</v>
      </c>
      <c r="N43" s="41">
        <f>SUMIFS('04 Payments'!$K$7:$K$400,'04 Payments'!$G$7:$G$400,$D43)</f>
        <v>0</v>
      </c>
      <c r="O43" s="41">
        <f t="shared" si="1"/>
        <v>0</v>
      </c>
      <c r="P43" s="54">
        <f>COUNTIFS('04 Payments'!$G$7:$G$400,$D43,'04 Payments'!$S$7:$S$400,"Overdue")</f>
        <v>0</v>
      </c>
      <c r="Q43" s="32"/>
      <c r="R43" s="32"/>
      <c r="S43" s="32"/>
      <c r="T43" s="55"/>
      <c r="U43" s="55"/>
      <c r="V43" s="55"/>
      <c r="W43" s="38"/>
      <c r="X43" s="32"/>
      <c r="Y43" s="24"/>
      <c r="Z43" s="32"/>
      <c r="AA43" s="32"/>
    </row>
    <row r="44" ht="16.5" customHeight="1">
      <c r="A44" s="1"/>
      <c r="B44" s="32"/>
      <c r="C44" s="32"/>
      <c r="D44" s="32"/>
      <c r="E44" s="32"/>
      <c r="F44" s="32"/>
      <c r="G44" s="32"/>
      <c r="H44" s="32"/>
      <c r="I44" s="32"/>
      <c r="J44" s="32"/>
      <c r="K44" s="38"/>
      <c r="L44" s="38"/>
      <c r="M44" s="41">
        <f>SUMIFS('04 Payments'!$K$7:$K$400,'04 Payments'!$G$7:$G$400,$D44,'04 Payments'!$H$7:$H$400,"Booking Deposit")</f>
        <v>0</v>
      </c>
      <c r="N44" s="41">
        <f>SUMIFS('04 Payments'!$K$7:$K$400,'04 Payments'!$G$7:$G$400,$D44)</f>
        <v>0</v>
      </c>
      <c r="O44" s="41">
        <f t="shared" si="1"/>
        <v>0</v>
      </c>
      <c r="P44" s="54">
        <f>COUNTIFS('04 Payments'!$G$7:$G$400,$D44,'04 Payments'!$S$7:$S$400,"Overdue")</f>
        <v>0</v>
      </c>
      <c r="Q44" s="32"/>
      <c r="R44" s="32"/>
      <c r="S44" s="32"/>
      <c r="T44" s="55"/>
      <c r="U44" s="55"/>
      <c r="V44" s="55"/>
      <c r="W44" s="38"/>
      <c r="X44" s="32"/>
      <c r="Y44" s="24"/>
      <c r="Z44" s="32"/>
      <c r="AA44" s="32"/>
    </row>
    <row r="45" ht="16.5" customHeight="1">
      <c r="A45" s="1"/>
      <c r="B45" s="32"/>
      <c r="C45" s="32"/>
      <c r="D45" s="32"/>
      <c r="E45" s="32"/>
      <c r="F45" s="32"/>
      <c r="G45" s="32"/>
      <c r="H45" s="32"/>
      <c r="I45" s="32"/>
      <c r="J45" s="32"/>
      <c r="K45" s="38"/>
      <c r="L45" s="38"/>
      <c r="M45" s="41">
        <f>SUMIFS('04 Payments'!$K$7:$K$400,'04 Payments'!$G$7:$G$400,$D45,'04 Payments'!$H$7:$H$400,"Booking Deposit")</f>
        <v>0</v>
      </c>
      <c r="N45" s="41">
        <f>SUMIFS('04 Payments'!$K$7:$K$400,'04 Payments'!$G$7:$G$400,$D45)</f>
        <v>0</v>
      </c>
      <c r="O45" s="41">
        <f t="shared" si="1"/>
        <v>0</v>
      </c>
      <c r="P45" s="54">
        <f>COUNTIFS('04 Payments'!$G$7:$G$400,$D45,'04 Payments'!$S$7:$S$400,"Overdue")</f>
        <v>0</v>
      </c>
      <c r="Q45" s="32"/>
      <c r="R45" s="32"/>
      <c r="S45" s="32"/>
      <c r="T45" s="55"/>
      <c r="U45" s="55"/>
      <c r="V45" s="55"/>
      <c r="W45" s="38"/>
      <c r="X45" s="32"/>
      <c r="Y45" s="24"/>
      <c r="Z45" s="32"/>
      <c r="AA45" s="32"/>
    </row>
    <row r="46" ht="16.5" customHeight="1">
      <c r="A46" s="1"/>
      <c r="B46" s="32"/>
      <c r="C46" s="32"/>
      <c r="D46" s="32"/>
      <c r="E46" s="32"/>
      <c r="F46" s="32"/>
      <c r="G46" s="32"/>
      <c r="H46" s="32"/>
      <c r="I46" s="32"/>
      <c r="J46" s="32"/>
      <c r="K46" s="38"/>
      <c r="L46" s="38"/>
      <c r="M46" s="41">
        <f>SUMIFS('04 Payments'!$K$7:$K$400,'04 Payments'!$G$7:$G$400,$D46,'04 Payments'!$H$7:$H$400,"Booking Deposit")</f>
        <v>0</v>
      </c>
      <c r="N46" s="41">
        <f>SUMIFS('04 Payments'!$K$7:$K$400,'04 Payments'!$G$7:$G$400,$D46)</f>
        <v>0</v>
      </c>
      <c r="O46" s="41">
        <f t="shared" si="1"/>
        <v>0</v>
      </c>
      <c r="P46" s="54">
        <f>COUNTIFS('04 Payments'!$G$7:$G$400,$D46,'04 Payments'!$S$7:$S$400,"Overdue")</f>
        <v>0</v>
      </c>
      <c r="Q46" s="32"/>
      <c r="R46" s="32"/>
      <c r="S46" s="32"/>
      <c r="T46" s="55"/>
      <c r="U46" s="55"/>
      <c r="V46" s="55"/>
      <c r="W46" s="38"/>
      <c r="X46" s="32"/>
      <c r="Y46" s="24"/>
      <c r="Z46" s="32"/>
      <c r="AA46" s="32"/>
    </row>
    <row r="47" ht="16.5" customHeight="1">
      <c r="A47" s="1"/>
      <c r="B47" s="32"/>
      <c r="C47" s="32"/>
      <c r="D47" s="32"/>
      <c r="E47" s="32"/>
      <c r="F47" s="32"/>
      <c r="G47" s="32"/>
      <c r="H47" s="32"/>
      <c r="I47" s="32"/>
      <c r="J47" s="32"/>
      <c r="K47" s="38"/>
      <c r="L47" s="38"/>
      <c r="M47" s="41">
        <f>SUMIFS('04 Payments'!$K$7:$K$400,'04 Payments'!$G$7:$G$400,$D47,'04 Payments'!$H$7:$H$400,"Booking Deposit")</f>
        <v>0</v>
      </c>
      <c r="N47" s="41">
        <f>SUMIFS('04 Payments'!$K$7:$K$400,'04 Payments'!$G$7:$G$400,$D47)</f>
        <v>0</v>
      </c>
      <c r="O47" s="41">
        <f t="shared" si="1"/>
        <v>0</v>
      </c>
      <c r="P47" s="54">
        <f>COUNTIFS('04 Payments'!$G$7:$G$400,$D47,'04 Payments'!$S$7:$S$400,"Overdue")</f>
        <v>0</v>
      </c>
      <c r="Q47" s="32"/>
      <c r="R47" s="32"/>
      <c r="S47" s="32"/>
      <c r="T47" s="55"/>
      <c r="U47" s="55"/>
      <c r="V47" s="55"/>
      <c r="W47" s="38"/>
      <c r="X47" s="32"/>
      <c r="Y47" s="24"/>
      <c r="Z47" s="32"/>
      <c r="AA47" s="32"/>
    </row>
    <row r="48" ht="16.5" customHeight="1">
      <c r="A48" s="1"/>
      <c r="B48" s="32"/>
      <c r="C48" s="32"/>
      <c r="D48" s="32"/>
      <c r="E48" s="32"/>
      <c r="F48" s="32"/>
      <c r="G48" s="32"/>
      <c r="H48" s="32"/>
      <c r="I48" s="32"/>
      <c r="J48" s="32"/>
      <c r="K48" s="38"/>
      <c r="L48" s="38"/>
      <c r="M48" s="41">
        <f>SUMIFS('04 Payments'!$K$7:$K$400,'04 Payments'!$G$7:$G$400,$D48,'04 Payments'!$H$7:$H$400,"Booking Deposit")</f>
        <v>0</v>
      </c>
      <c r="N48" s="41">
        <f>SUMIFS('04 Payments'!$K$7:$K$400,'04 Payments'!$G$7:$G$400,$D48)</f>
        <v>0</v>
      </c>
      <c r="O48" s="41">
        <f t="shared" si="1"/>
        <v>0</v>
      </c>
      <c r="P48" s="54">
        <f>COUNTIFS('04 Payments'!$G$7:$G$400,$D48,'04 Payments'!$S$7:$S$400,"Overdue")</f>
        <v>0</v>
      </c>
      <c r="Q48" s="32"/>
      <c r="R48" s="32"/>
      <c r="S48" s="32"/>
      <c r="T48" s="55"/>
      <c r="U48" s="55"/>
      <c r="V48" s="55"/>
      <c r="W48" s="38"/>
      <c r="X48" s="32"/>
      <c r="Y48" s="24"/>
      <c r="Z48" s="32"/>
      <c r="AA48" s="32"/>
    </row>
    <row r="49" ht="16.5" customHeight="1">
      <c r="A49" s="1"/>
      <c r="B49" s="32"/>
      <c r="C49" s="32"/>
      <c r="D49" s="32"/>
      <c r="E49" s="32"/>
      <c r="F49" s="32"/>
      <c r="G49" s="32"/>
      <c r="H49" s="32"/>
      <c r="I49" s="32"/>
      <c r="J49" s="32"/>
      <c r="K49" s="38"/>
      <c r="L49" s="38"/>
      <c r="M49" s="41">
        <f>SUMIFS('04 Payments'!$K$7:$K$400,'04 Payments'!$G$7:$G$400,$D49,'04 Payments'!$H$7:$H$400,"Booking Deposit")</f>
        <v>0</v>
      </c>
      <c r="N49" s="41">
        <f>SUMIFS('04 Payments'!$K$7:$K$400,'04 Payments'!$G$7:$G$400,$D49)</f>
        <v>0</v>
      </c>
      <c r="O49" s="41">
        <f t="shared" si="1"/>
        <v>0</v>
      </c>
      <c r="P49" s="54">
        <f>COUNTIFS('04 Payments'!$G$7:$G$400,$D49,'04 Payments'!$S$7:$S$400,"Overdue")</f>
        <v>0</v>
      </c>
      <c r="Q49" s="32"/>
      <c r="R49" s="32"/>
      <c r="S49" s="32"/>
      <c r="T49" s="55"/>
      <c r="U49" s="55"/>
      <c r="V49" s="55"/>
      <c r="W49" s="38"/>
      <c r="X49" s="32"/>
      <c r="Y49" s="24"/>
      <c r="Z49" s="32"/>
      <c r="AA49" s="32"/>
    </row>
    <row r="50" ht="16.5" customHeight="1">
      <c r="A50" s="1"/>
      <c r="B50" s="32"/>
      <c r="C50" s="32"/>
      <c r="D50" s="32"/>
      <c r="E50" s="32"/>
      <c r="F50" s="32"/>
      <c r="G50" s="32"/>
      <c r="H50" s="32"/>
      <c r="I50" s="32"/>
      <c r="J50" s="32"/>
      <c r="K50" s="38"/>
      <c r="L50" s="38"/>
      <c r="M50" s="41">
        <f>SUMIFS('04 Payments'!$K$7:$K$400,'04 Payments'!$G$7:$G$400,$D50,'04 Payments'!$H$7:$H$400,"Booking Deposit")</f>
        <v>0</v>
      </c>
      <c r="N50" s="41">
        <f>SUMIFS('04 Payments'!$K$7:$K$400,'04 Payments'!$G$7:$G$400,$D50)</f>
        <v>0</v>
      </c>
      <c r="O50" s="41">
        <f t="shared" si="1"/>
        <v>0</v>
      </c>
      <c r="P50" s="54">
        <f>COUNTIFS('04 Payments'!$G$7:$G$400,$D50,'04 Payments'!$S$7:$S$400,"Overdue")</f>
        <v>0</v>
      </c>
      <c r="Q50" s="32"/>
      <c r="R50" s="32"/>
      <c r="S50" s="32"/>
      <c r="T50" s="55"/>
      <c r="U50" s="55"/>
      <c r="V50" s="55"/>
      <c r="W50" s="38"/>
      <c r="X50" s="32"/>
      <c r="Y50" s="24"/>
      <c r="Z50" s="32"/>
      <c r="AA50" s="32"/>
    </row>
    <row r="51" ht="16.5" customHeight="1">
      <c r="A51" s="1"/>
      <c r="B51" s="32"/>
      <c r="C51" s="32"/>
      <c r="D51" s="32"/>
      <c r="E51" s="32"/>
      <c r="F51" s="32"/>
      <c r="G51" s="32"/>
      <c r="H51" s="32"/>
      <c r="I51" s="32"/>
      <c r="J51" s="32"/>
      <c r="K51" s="38"/>
      <c r="L51" s="38"/>
      <c r="M51" s="41">
        <f>SUMIFS('04 Payments'!$K$7:$K$400,'04 Payments'!$G$7:$G$400,$D51,'04 Payments'!$H$7:$H$400,"Booking Deposit")</f>
        <v>0</v>
      </c>
      <c r="N51" s="41">
        <f>SUMIFS('04 Payments'!$K$7:$K$400,'04 Payments'!$G$7:$G$400,$D51)</f>
        <v>0</v>
      </c>
      <c r="O51" s="41">
        <f t="shared" si="1"/>
        <v>0</v>
      </c>
      <c r="P51" s="54">
        <f>COUNTIFS('04 Payments'!$G$7:$G$400,$D51,'04 Payments'!$S$7:$S$400,"Overdue")</f>
        <v>0</v>
      </c>
      <c r="Q51" s="32"/>
      <c r="R51" s="32"/>
      <c r="S51" s="32"/>
      <c r="T51" s="55"/>
      <c r="U51" s="55"/>
      <c r="V51" s="55"/>
      <c r="W51" s="38"/>
      <c r="X51" s="32"/>
      <c r="Y51" s="24"/>
      <c r="Z51" s="32"/>
      <c r="AA51" s="32"/>
    </row>
    <row r="52" ht="16.5" customHeight="1">
      <c r="A52" s="1"/>
      <c r="B52" s="32"/>
      <c r="C52" s="32"/>
      <c r="D52" s="32"/>
      <c r="E52" s="32"/>
      <c r="F52" s="32"/>
      <c r="G52" s="32"/>
      <c r="H52" s="32"/>
      <c r="I52" s="32"/>
      <c r="J52" s="32"/>
      <c r="K52" s="38"/>
      <c r="L52" s="38"/>
      <c r="M52" s="41">
        <f>SUMIFS('04 Payments'!$K$7:$K$400,'04 Payments'!$G$7:$G$400,$D52,'04 Payments'!$H$7:$H$400,"Booking Deposit")</f>
        <v>0</v>
      </c>
      <c r="N52" s="41">
        <f>SUMIFS('04 Payments'!$K$7:$K$400,'04 Payments'!$G$7:$G$400,$D52)</f>
        <v>0</v>
      </c>
      <c r="O52" s="41">
        <f t="shared" si="1"/>
        <v>0</v>
      </c>
      <c r="P52" s="54">
        <f>COUNTIFS('04 Payments'!$G$7:$G$400,$D52,'04 Payments'!$S$7:$S$400,"Overdue")</f>
        <v>0</v>
      </c>
      <c r="Q52" s="32"/>
      <c r="R52" s="32"/>
      <c r="S52" s="32"/>
      <c r="T52" s="55"/>
      <c r="U52" s="55"/>
      <c r="V52" s="55"/>
      <c r="W52" s="38"/>
      <c r="X52" s="32"/>
      <c r="Y52" s="24"/>
      <c r="Z52" s="32"/>
      <c r="AA52" s="32"/>
    </row>
    <row r="53" ht="16.5" customHeight="1">
      <c r="A53" s="1"/>
      <c r="B53" s="32"/>
      <c r="C53" s="32"/>
      <c r="D53" s="32"/>
      <c r="E53" s="32"/>
      <c r="F53" s="32"/>
      <c r="G53" s="32"/>
      <c r="H53" s="32"/>
      <c r="I53" s="32"/>
      <c r="J53" s="32"/>
      <c r="K53" s="38"/>
      <c r="L53" s="38"/>
      <c r="M53" s="41">
        <f>SUMIFS('04 Payments'!$K$7:$K$400,'04 Payments'!$G$7:$G$400,$D53,'04 Payments'!$H$7:$H$400,"Booking Deposit")</f>
        <v>0</v>
      </c>
      <c r="N53" s="41">
        <f>SUMIFS('04 Payments'!$K$7:$K$400,'04 Payments'!$G$7:$G$400,$D53)</f>
        <v>0</v>
      </c>
      <c r="O53" s="41">
        <f t="shared" si="1"/>
        <v>0</v>
      </c>
      <c r="P53" s="54">
        <f>COUNTIFS('04 Payments'!$G$7:$G$400,$D53,'04 Payments'!$S$7:$S$400,"Overdue")</f>
        <v>0</v>
      </c>
      <c r="Q53" s="32"/>
      <c r="R53" s="32"/>
      <c r="S53" s="32"/>
      <c r="T53" s="55"/>
      <c r="U53" s="55"/>
      <c r="V53" s="55"/>
      <c r="W53" s="38"/>
      <c r="X53" s="32"/>
      <c r="Y53" s="24"/>
      <c r="Z53" s="32"/>
      <c r="AA53" s="32"/>
    </row>
    <row r="54" ht="16.5" customHeight="1">
      <c r="A54" s="1"/>
      <c r="B54" s="32"/>
      <c r="C54" s="32"/>
      <c r="D54" s="32"/>
      <c r="E54" s="32"/>
      <c r="F54" s="32"/>
      <c r="G54" s="32"/>
      <c r="H54" s="32"/>
      <c r="I54" s="32"/>
      <c r="J54" s="32"/>
      <c r="K54" s="38"/>
      <c r="L54" s="38"/>
      <c r="M54" s="41">
        <f>SUMIFS('04 Payments'!$K$7:$K$400,'04 Payments'!$G$7:$G$400,$D54,'04 Payments'!$H$7:$H$400,"Booking Deposit")</f>
        <v>0</v>
      </c>
      <c r="N54" s="41">
        <f>SUMIFS('04 Payments'!$K$7:$K$400,'04 Payments'!$G$7:$G$400,$D54)</f>
        <v>0</v>
      </c>
      <c r="O54" s="41">
        <f t="shared" si="1"/>
        <v>0</v>
      </c>
      <c r="P54" s="54">
        <f>COUNTIFS('04 Payments'!$G$7:$G$400,$D54,'04 Payments'!$S$7:$S$400,"Overdue")</f>
        <v>0</v>
      </c>
      <c r="Q54" s="32"/>
      <c r="R54" s="32"/>
      <c r="S54" s="32"/>
      <c r="T54" s="55"/>
      <c r="U54" s="55"/>
      <c r="V54" s="55"/>
      <c r="W54" s="38"/>
      <c r="X54" s="32"/>
      <c r="Y54" s="24"/>
      <c r="Z54" s="32"/>
      <c r="AA54" s="32"/>
    </row>
    <row r="55" ht="16.5" customHeight="1">
      <c r="A55" s="1"/>
      <c r="B55" s="32"/>
      <c r="C55" s="32"/>
      <c r="D55" s="32"/>
      <c r="E55" s="32"/>
      <c r="F55" s="32"/>
      <c r="G55" s="32"/>
      <c r="H55" s="32"/>
      <c r="I55" s="32"/>
      <c r="J55" s="32"/>
      <c r="K55" s="38"/>
      <c r="L55" s="38"/>
      <c r="M55" s="41">
        <f>SUMIFS('04 Payments'!$K$7:$K$400,'04 Payments'!$G$7:$G$400,$D55,'04 Payments'!$H$7:$H$400,"Booking Deposit")</f>
        <v>0</v>
      </c>
      <c r="N55" s="41">
        <f>SUMIFS('04 Payments'!$K$7:$K$400,'04 Payments'!$G$7:$G$400,$D55)</f>
        <v>0</v>
      </c>
      <c r="O55" s="41">
        <f t="shared" si="1"/>
        <v>0</v>
      </c>
      <c r="P55" s="54">
        <f>COUNTIFS('04 Payments'!$G$7:$G$400,$D55,'04 Payments'!$S$7:$S$400,"Overdue")</f>
        <v>0</v>
      </c>
      <c r="Q55" s="32"/>
      <c r="R55" s="32"/>
      <c r="S55" s="32"/>
      <c r="T55" s="55"/>
      <c r="U55" s="55"/>
      <c r="V55" s="55"/>
      <c r="W55" s="38"/>
      <c r="X55" s="32"/>
      <c r="Y55" s="24"/>
      <c r="Z55" s="32"/>
      <c r="AA55" s="32"/>
    </row>
    <row r="56" ht="16.5" customHeight="1">
      <c r="A56" s="1"/>
      <c r="B56" s="32"/>
      <c r="C56" s="32"/>
      <c r="D56" s="32"/>
      <c r="E56" s="32"/>
      <c r="F56" s="32"/>
      <c r="G56" s="32"/>
      <c r="H56" s="32"/>
      <c r="I56" s="32"/>
      <c r="J56" s="32"/>
      <c r="K56" s="38"/>
      <c r="L56" s="38"/>
      <c r="M56" s="41">
        <f>SUMIFS('04 Payments'!$K$7:$K$400,'04 Payments'!$G$7:$G$400,$D56,'04 Payments'!$H$7:$H$400,"Booking Deposit")</f>
        <v>0</v>
      </c>
      <c r="N56" s="41">
        <f>SUMIFS('04 Payments'!$K$7:$K$400,'04 Payments'!$G$7:$G$400,$D56)</f>
        <v>0</v>
      </c>
      <c r="O56" s="41">
        <f t="shared" si="1"/>
        <v>0</v>
      </c>
      <c r="P56" s="54">
        <f>COUNTIFS('04 Payments'!$G$7:$G$400,$D56,'04 Payments'!$S$7:$S$400,"Overdue")</f>
        <v>0</v>
      </c>
      <c r="Q56" s="32"/>
      <c r="R56" s="32"/>
      <c r="S56" s="32"/>
      <c r="T56" s="55"/>
      <c r="U56" s="55"/>
      <c r="V56" s="55"/>
      <c r="W56" s="38"/>
      <c r="X56" s="32"/>
      <c r="Y56" s="24"/>
      <c r="Z56" s="32"/>
      <c r="AA56" s="32"/>
    </row>
    <row r="57" ht="16.5" customHeight="1">
      <c r="A57" s="1"/>
      <c r="B57" s="32"/>
      <c r="C57" s="32"/>
      <c r="D57" s="32"/>
      <c r="E57" s="32"/>
      <c r="F57" s="32"/>
      <c r="G57" s="32"/>
      <c r="H57" s="32"/>
      <c r="I57" s="32"/>
      <c r="J57" s="32"/>
      <c r="K57" s="38"/>
      <c r="L57" s="38"/>
      <c r="M57" s="41">
        <f>SUMIFS('04 Payments'!$K$7:$K$400,'04 Payments'!$G$7:$G$400,$D57,'04 Payments'!$H$7:$H$400,"Booking Deposit")</f>
        <v>0</v>
      </c>
      <c r="N57" s="41">
        <f>SUMIFS('04 Payments'!$K$7:$K$400,'04 Payments'!$G$7:$G$400,$D57)</f>
        <v>0</v>
      </c>
      <c r="O57" s="41">
        <f t="shared" si="1"/>
        <v>0</v>
      </c>
      <c r="P57" s="54">
        <f>COUNTIFS('04 Payments'!$G$7:$G$400,$D57,'04 Payments'!$S$7:$S$400,"Overdue")</f>
        <v>0</v>
      </c>
      <c r="Q57" s="32"/>
      <c r="R57" s="32"/>
      <c r="S57" s="32"/>
      <c r="T57" s="55"/>
      <c r="U57" s="55"/>
      <c r="V57" s="55"/>
      <c r="W57" s="38"/>
      <c r="X57" s="32"/>
      <c r="Y57" s="24"/>
      <c r="Z57" s="32"/>
      <c r="AA57" s="32"/>
    </row>
    <row r="58" ht="16.5" customHeight="1">
      <c r="A58" s="1"/>
      <c r="B58" s="32"/>
      <c r="C58" s="32"/>
      <c r="D58" s="32"/>
      <c r="E58" s="32"/>
      <c r="F58" s="32"/>
      <c r="G58" s="32"/>
      <c r="H58" s="32"/>
      <c r="I58" s="32"/>
      <c r="J58" s="32"/>
      <c r="K58" s="38"/>
      <c r="L58" s="38"/>
      <c r="M58" s="41">
        <f>SUMIFS('04 Payments'!$K$7:$K$400,'04 Payments'!$G$7:$G$400,$D58,'04 Payments'!$H$7:$H$400,"Booking Deposit")</f>
        <v>0</v>
      </c>
      <c r="N58" s="41">
        <f>SUMIFS('04 Payments'!$K$7:$K$400,'04 Payments'!$G$7:$G$400,$D58)</f>
        <v>0</v>
      </c>
      <c r="O58" s="41">
        <f t="shared" si="1"/>
        <v>0</v>
      </c>
      <c r="P58" s="54">
        <f>COUNTIFS('04 Payments'!$G$7:$G$400,$D58,'04 Payments'!$S$7:$S$400,"Overdue")</f>
        <v>0</v>
      </c>
      <c r="Q58" s="32"/>
      <c r="R58" s="32"/>
      <c r="S58" s="32"/>
      <c r="T58" s="55"/>
      <c r="U58" s="55"/>
      <c r="V58" s="55"/>
      <c r="W58" s="38"/>
      <c r="X58" s="32"/>
      <c r="Y58" s="24"/>
      <c r="Z58" s="32"/>
      <c r="AA58" s="32"/>
    </row>
    <row r="59" ht="16.5" customHeight="1">
      <c r="A59" s="1"/>
      <c r="B59" s="32"/>
      <c r="C59" s="32"/>
      <c r="D59" s="32"/>
      <c r="E59" s="32"/>
      <c r="F59" s="32"/>
      <c r="G59" s="32"/>
      <c r="H59" s="32"/>
      <c r="I59" s="32"/>
      <c r="J59" s="32"/>
      <c r="K59" s="38"/>
      <c r="L59" s="38"/>
      <c r="M59" s="41">
        <f>SUMIFS('04 Payments'!$K$7:$K$400,'04 Payments'!$G$7:$G$400,$D59,'04 Payments'!$H$7:$H$400,"Booking Deposit")</f>
        <v>0</v>
      </c>
      <c r="N59" s="41">
        <f>SUMIFS('04 Payments'!$K$7:$K$400,'04 Payments'!$G$7:$G$400,$D59)</f>
        <v>0</v>
      </c>
      <c r="O59" s="41">
        <f t="shared" si="1"/>
        <v>0</v>
      </c>
      <c r="P59" s="54">
        <f>COUNTIFS('04 Payments'!$G$7:$G$400,$D59,'04 Payments'!$S$7:$S$400,"Overdue")</f>
        <v>0</v>
      </c>
      <c r="Q59" s="32"/>
      <c r="R59" s="32"/>
      <c r="S59" s="32"/>
      <c r="T59" s="55"/>
      <c r="U59" s="55"/>
      <c r="V59" s="55"/>
      <c r="W59" s="38"/>
      <c r="X59" s="32"/>
      <c r="Y59" s="24"/>
      <c r="Z59" s="32"/>
      <c r="AA59" s="32"/>
    </row>
    <row r="60" ht="16.5" customHeight="1">
      <c r="A60" s="1"/>
      <c r="B60" s="32"/>
      <c r="C60" s="32"/>
      <c r="D60" s="32"/>
      <c r="E60" s="32"/>
      <c r="F60" s="32"/>
      <c r="G60" s="32"/>
      <c r="H60" s="32"/>
      <c r="I60" s="32"/>
      <c r="J60" s="32"/>
      <c r="K60" s="38"/>
      <c r="L60" s="38"/>
      <c r="M60" s="41">
        <f>SUMIFS('04 Payments'!$K$7:$K$400,'04 Payments'!$G$7:$G$400,$D60,'04 Payments'!$H$7:$H$400,"Booking Deposit")</f>
        <v>0</v>
      </c>
      <c r="N60" s="41">
        <f>SUMIFS('04 Payments'!$K$7:$K$400,'04 Payments'!$G$7:$G$400,$D60)</f>
        <v>0</v>
      </c>
      <c r="O60" s="41">
        <f t="shared" si="1"/>
        <v>0</v>
      </c>
      <c r="P60" s="54">
        <f>COUNTIFS('04 Payments'!$G$7:$G$400,$D60,'04 Payments'!$S$7:$S$400,"Overdue")</f>
        <v>0</v>
      </c>
      <c r="Q60" s="32"/>
      <c r="R60" s="32"/>
      <c r="S60" s="32"/>
      <c r="T60" s="55"/>
      <c r="U60" s="55"/>
      <c r="V60" s="55"/>
      <c r="W60" s="38"/>
      <c r="X60" s="32"/>
      <c r="Y60" s="24"/>
      <c r="Z60" s="32"/>
      <c r="AA60" s="32"/>
    </row>
    <row r="61" ht="16.5" customHeight="1">
      <c r="A61" s="1"/>
      <c r="B61" s="32"/>
      <c r="C61" s="32"/>
      <c r="D61" s="32"/>
      <c r="E61" s="32"/>
      <c r="F61" s="32"/>
      <c r="G61" s="32"/>
      <c r="H61" s="32"/>
      <c r="I61" s="32"/>
      <c r="J61" s="32"/>
      <c r="K61" s="38"/>
      <c r="L61" s="38"/>
      <c r="M61" s="41">
        <f>SUMIFS('04 Payments'!$K$7:$K$400,'04 Payments'!$G$7:$G$400,$D61,'04 Payments'!$H$7:$H$400,"Booking Deposit")</f>
        <v>0</v>
      </c>
      <c r="N61" s="41">
        <f>SUMIFS('04 Payments'!$K$7:$K$400,'04 Payments'!$G$7:$G$400,$D61)</f>
        <v>0</v>
      </c>
      <c r="O61" s="41">
        <f t="shared" si="1"/>
        <v>0</v>
      </c>
      <c r="P61" s="54">
        <f>COUNTIFS('04 Payments'!$G$7:$G$400,$D61,'04 Payments'!$S$7:$S$400,"Overdue")</f>
        <v>0</v>
      </c>
      <c r="Q61" s="32"/>
      <c r="R61" s="32"/>
      <c r="S61" s="32"/>
      <c r="T61" s="55"/>
      <c r="U61" s="55"/>
      <c r="V61" s="55"/>
      <c r="W61" s="38"/>
      <c r="X61" s="32"/>
      <c r="Y61" s="24"/>
      <c r="Z61" s="32"/>
      <c r="AA61" s="32"/>
    </row>
    <row r="62" ht="16.5" customHeight="1">
      <c r="A62" s="1"/>
      <c r="B62" s="32"/>
      <c r="C62" s="32"/>
      <c r="D62" s="32"/>
      <c r="E62" s="32"/>
      <c r="F62" s="32"/>
      <c r="G62" s="32"/>
      <c r="H62" s="32"/>
      <c r="I62" s="32"/>
      <c r="J62" s="32"/>
      <c r="K62" s="38"/>
      <c r="L62" s="38"/>
      <c r="M62" s="41">
        <f>SUMIFS('04 Payments'!$K$7:$K$400,'04 Payments'!$G$7:$G$400,$D62,'04 Payments'!$H$7:$H$400,"Booking Deposit")</f>
        <v>0</v>
      </c>
      <c r="N62" s="41">
        <f>SUMIFS('04 Payments'!$K$7:$K$400,'04 Payments'!$G$7:$G$400,$D62)</f>
        <v>0</v>
      </c>
      <c r="O62" s="41">
        <f t="shared" si="1"/>
        <v>0</v>
      </c>
      <c r="P62" s="54">
        <f>COUNTIFS('04 Payments'!$G$7:$G$400,$D62,'04 Payments'!$S$7:$S$400,"Overdue")</f>
        <v>0</v>
      </c>
      <c r="Q62" s="32"/>
      <c r="R62" s="32"/>
      <c r="S62" s="32"/>
      <c r="T62" s="55"/>
      <c r="U62" s="55"/>
      <c r="V62" s="55"/>
      <c r="W62" s="38"/>
      <c r="X62" s="32"/>
      <c r="Y62" s="24"/>
      <c r="Z62" s="32"/>
      <c r="AA62" s="32"/>
    </row>
    <row r="63" ht="16.5" customHeight="1">
      <c r="A63" s="1"/>
      <c r="B63" s="32"/>
      <c r="C63" s="32"/>
      <c r="D63" s="32"/>
      <c r="E63" s="32"/>
      <c r="F63" s="32"/>
      <c r="G63" s="32"/>
      <c r="H63" s="32"/>
      <c r="I63" s="32"/>
      <c r="J63" s="32"/>
      <c r="K63" s="38"/>
      <c r="L63" s="38"/>
      <c r="M63" s="41">
        <f>SUMIFS('04 Payments'!$K$7:$K$400,'04 Payments'!$G$7:$G$400,$D63,'04 Payments'!$H$7:$H$400,"Booking Deposit")</f>
        <v>0</v>
      </c>
      <c r="N63" s="41">
        <f>SUMIFS('04 Payments'!$K$7:$K$400,'04 Payments'!$G$7:$G$400,$D63)</f>
        <v>0</v>
      </c>
      <c r="O63" s="41">
        <f t="shared" si="1"/>
        <v>0</v>
      </c>
      <c r="P63" s="54">
        <f>COUNTIFS('04 Payments'!$G$7:$G$400,$D63,'04 Payments'!$S$7:$S$400,"Overdue")</f>
        <v>0</v>
      </c>
      <c r="Q63" s="32"/>
      <c r="R63" s="32"/>
      <c r="S63" s="32"/>
      <c r="T63" s="55"/>
      <c r="U63" s="55"/>
      <c r="V63" s="55"/>
      <c r="W63" s="38"/>
      <c r="X63" s="32"/>
      <c r="Y63" s="24"/>
      <c r="Z63" s="32"/>
      <c r="AA63" s="32"/>
    </row>
    <row r="64" ht="16.5" customHeight="1">
      <c r="A64" s="1"/>
      <c r="B64" s="32"/>
      <c r="C64" s="32"/>
      <c r="D64" s="32"/>
      <c r="E64" s="32"/>
      <c r="F64" s="32"/>
      <c r="G64" s="32"/>
      <c r="H64" s="32"/>
      <c r="I64" s="32"/>
      <c r="J64" s="32"/>
      <c r="K64" s="38"/>
      <c r="L64" s="38"/>
      <c r="M64" s="41">
        <f>SUMIFS('04 Payments'!$K$7:$K$400,'04 Payments'!$G$7:$G$400,$D64,'04 Payments'!$H$7:$H$400,"Booking Deposit")</f>
        <v>0</v>
      </c>
      <c r="N64" s="41">
        <f>SUMIFS('04 Payments'!$K$7:$K$400,'04 Payments'!$G$7:$G$400,$D64)</f>
        <v>0</v>
      </c>
      <c r="O64" s="41">
        <f t="shared" si="1"/>
        <v>0</v>
      </c>
      <c r="P64" s="54">
        <f>COUNTIFS('04 Payments'!$G$7:$G$400,$D64,'04 Payments'!$S$7:$S$400,"Overdue")</f>
        <v>0</v>
      </c>
      <c r="Q64" s="32"/>
      <c r="R64" s="32"/>
      <c r="S64" s="32"/>
      <c r="T64" s="55"/>
      <c r="U64" s="55"/>
      <c r="V64" s="55"/>
      <c r="W64" s="38"/>
      <c r="X64" s="32"/>
      <c r="Y64" s="24"/>
      <c r="Z64" s="32"/>
      <c r="AA64" s="32"/>
    </row>
    <row r="65" ht="16.5" customHeight="1">
      <c r="A65" s="1"/>
      <c r="B65" s="32"/>
      <c r="C65" s="32"/>
      <c r="D65" s="32"/>
      <c r="E65" s="32"/>
      <c r="F65" s="32"/>
      <c r="G65" s="32"/>
      <c r="H65" s="32"/>
      <c r="I65" s="32"/>
      <c r="J65" s="32"/>
      <c r="K65" s="38"/>
      <c r="L65" s="38"/>
      <c r="M65" s="41">
        <f>SUMIFS('04 Payments'!$K$7:$K$400,'04 Payments'!$G$7:$G$400,$D65,'04 Payments'!$H$7:$H$400,"Booking Deposit")</f>
        <v>0</v>
      </c>
      <c r="N65" s="41">
        <f>SUMIFS('04 Payments'!$K$7:$K$400,'04 Payments'!$G$7:$G$400,$D65)</f>
        <v>0</v>
      </c>
      <c r="O65" s="41">
        <f t="shared" si="1"/>
        <v>0</v>
      </c>
      <c r="P65" s="54">
        <f>COUNTIFS('04 Payments'!$G$7:$G$400,$D65,'04 Payments'!$S$7:$S$400,"Overdue")</f>
        <v>0</v>
      </c>
      <c r="Q65" s="32"/>
      <c r="R65" s="32"/>
      <c r="S65" s="32"/>
      <c r="T65" s="55"/>
      <c r="U65" s="55"/>
      <c r="V65" s="55"/>
      <c r="W65" s="38"/>
      <c r="X65" s="32"/>
      <c r="Y65" s="24"/>
      <c r="Z65" s="32"/>
      <c r="AA65" s="32"/>
    </row>
    <row r="66" ht="16.5" customHeight="1">
      <c r="A66" s="1"/>
      <c r="B66" s="32"/>
      <c r="C66" s="32"/>
      <c r="D66" s="32"/>
      <c r="E66" s="32"/>
      <c r="F66" s="32"/>
      <c r="G66" s="32"/>
      <c r="H66" s="32"/>
      <c r="I66" s="32"/>
      <c r="J66" s="32"/>
      <c r="K66" s="38"/>
      <c r="L66" s="38"/>
      <c r="M66" s="41">
        <f>SUMIFS('04 Payments'!$K$7:$K$400,'04 Payments'!$G$7:$G$400,$D66,'04 Payments'!$H$7:$H$400,"Booking Deposit")</f>
        <v>0</v>
      </c>
      <c r="N66" s="41">
        <f>SUMIFS('04 Payments'!$K$7:$K$400,'04 Payments'!$G$7:$G$400,$D66)</f>
        <v>0</v>
      </c>
      <c r="O66" s="41">
        <f t="shared" si="1"/>
        <v>0</v>
      </c>
      <c r="P66" s="54">
        <f>COUNTIFS('04 Payments'!$G$7:$G$400,$D66,'04 Payments'!$S$7:$S$400,"Overdue")</f>
        <v>0</v>
      </c>
      <c r="Q66" s="32"/>
      <c r="R66" s="32"/>
      <c r="S66" s="32"/>
      <c r="T66" s="55"/>
      <c r="U66" s="55"/>
      <c r="V66" s="55"/>
      <c r="W66" s="38"/>
      <c r="X66" s="32"/>
      <c r="Y66" s="24"/>
      <c r="Z66" s="32"/>
      <c r="AA66" s="32"/>
    </row>
    <row r="67" ht="16.5" customHeight="1">
      <c r="A67" s="1"/>
      <c r="B67" s="32"/>
      <c r="C67" s="32"/>
      <c r="D67" s="32"/>
      <c r="E67" s="32"/>
      <c r="F67" s="32"/>
      <c r="G67" s="32"/>
      <c r="H67" s="32"/>
      <c r="I67" s="32"/>
      <c r="J67" s="32"/>
      <c r="K67" s="38"/>
      <c r="L67" s="38"/>
      <c r="M67" s="41">
        <f>SUMIFS('04 Payments'!$K$7:$K$400,'04 Payments'!$G$7:$G$400,$D67,'04 Payments'!$H$7:$H$400,"Booking Deposit")</f>
        <v>0</v>
      </c>
      <c r="N67" s="41">
        <f>SUMIFS('04 Payments'!$K$7:$K$400,'04 Payments'!$G$7:$G$400,$D67)</f>
        <v>0</v>
      </c>
      <c r="O67" s="41">
        <f t="shared" si="1"/>
        <v>0</v>
      </c>
      <c r="P67" s="54">
        <f>COUNTIFS('04 Payments'!$G$7:$G$400,$D67,'04 Payments'!$S$7:$S$400,"Overdue")</f>
        <v>0</v>
      </c>
      <c r="Q67" s="32"/>
      <c r="R67" s="32"/>
      <c r="S67" s="32"/>
      <c r="T67" s="55"/>
      <c r="U67" s="55"/>
      <c r="V67" s="55"/>
      <c r="W67" s="38"/>
      <c r="X67" s="32"/>
      <c r="Y67" s="24"/>
      <c r="Z67" s="32"/>
      <c r="AA67" s="32"/>
    </row>
    <row r="68" ht="16.5" customHeight="1">
      <c r="A68" s="1"/>
      <c r="B68" s="32"/>
      <c r="C68" s="32"/>
      <c r="D68" s="32"/>
      <c r="E68" s="32"/>
      <c r="F68" s="32"/>
      <c r="G68" s="32"/>
      <c r="H68" s="32"/>
      <c r="I68" s="32"/>
      <c r="J68" s="32"/>
      <c r="K68" s="38"/>
      <c r="L68" s="38"/>
      <c r="M68" s="41">
        <f>SUMIFS('04 Payments'!$K$7:$K$400,'04 Payments'!$G$7:$G$400,$D68,'04 Payments'!$H$7:$H$400,"Booking Deposit")</f>
        <v>0</v>
      </c>
      <c r="N68" s="41">
        <f>SUMIFS('04 Payments'!$K$7:$K$400,'04 Payments'!$G$7:$G$400,$D68)</f>
        <v>0</v>
      </c>
      <c r="O68" s="41">
        <f t="shared" si="1"/>
        <v>0</v>
      </c>
      <c r="P68" s="54">
        <f>COUNTIFS('04 Payments'!$G$7:$G$400,$D68,'04 Payments'!$S$7:$S$400,"Overdue")</f>
        <v>0</v>
      </c>
      <c r="Q68" s="32"/>
      <c r="R68" s="32"/>
      <c r="S68" s="32"/>
      <c r="T68" s="55"/>
      <c r="U68" s="55"/>
      <c r="V68" s="55"/>
      <c r="W68" s="38"/>
      <c r="X68" s="32"/>
      <c r="Y68" s="24"/>
      <c r="Z68" s="32"/>
      <c r="AA68" s="32"/>
    </row>
    <row r="69" ht="16.5" customHeight="1">
      <c r="A69" s="1"/>
      <c r="B69" s="32"/>
      <c r="C69" s="32"/>
      <c r="D69" s="32"/>
      <c r="E69" s="32"/>
      <c r="F69" s="32"/>
      <c r="G69" s="32"/>
      <c r="H69" s="32"/>
      <c r="I69" s="32"/>
      <c r="J69" s="32"/>
      <c r="K69" s="38"/>
      <c r="L69" s="38"/>
      <c r="M69" s="41">
        <f>SUMIFS('04 Payments'!$K$7:$K$400,'04 Payments'!$G$7:$G$400,$D69,'04 Payments'!$H$7:$H$400,"Booking Deposit")</f>
        <v>0</v>
      </c>
      <c r="N69" s="41">
        <f>SUMIFS('04 Payments'!$K$7:$K$400,'04 Payments'!$G$7:$G$400,$D69)</f>
        <v>0</v>
      </c>
      <c r="O69" s="41">
        <f t="shared" si="1"/>
        <v>0</v>
      </c>
      <c r="P69" s="54">
        <f>COUNTIFS('04 Payments'!$G$7:$G$400,$D69,'04 Payments'!$S$7:$S$400,"Overdue")</f>
        <v>0</v>
      </c>
      <c r="Q69" s="32"/>
      <c r="R69" s="32"/>
      <c r="S69" s="32"/>
      <c r="T69" s="55"/>
      <c r="U69" s="55"/>
      <c r="V69" s="55"/>
      <c r="W69" s="38"/>
      <c r="X69" s="32"/>
      <c r="Y69" s="24"/>
      <c r="Z69" s="32"/>
      <c r="AA69" s="32"/>
    </row>
    <row r="70" ht="16.5" customHeight="1">
      <c r="A70" s="1"/>
      <c r="B70" s="32"/>
      <c r="C70" s="32"/>
      <c r="D70" s="32"/>
      <c r="E70" s="32"/>
      <c r="F70" s="32"/>
      <c r="G70" s="32"/>
      <c r="H70" s="32"/>
      <c r="I70" s="32"/>
      <c r="J70" s="32"/>
      <c r="K70" s="38"/>
      <c r="L70" s="38"/>
      <c r="M70" s="41">
        <f>SUMIFS('04 Payments'!$K$7:$K$400,'04 Payments'!$G$7:$G$400,$D70,'04 Payments'!$H$7:$H$400,"Booking Deposit")</f>
        <v>0</v>
      </c>
      <c r="N70" s="41">
        <f>SUMIFS('04 Payments'!$K$7:$K$400,'04 Payments'!$G$7:$G$400,$D70)</f>
        <v>0</v>
      </c>
      <c r="O70" s="41">
        <f t="shared" si="1"/>
        <v>0</v>
      </c>
      <c r="P70" s="54">
        <f>COUNTIFS('04 Payments'!$G$7:$G$400,$D70,'04 Payments'!$S$7:$S$400,"Overdue")</f>
        <v>0</v>
      </c>
      <c r="Q70" s="32"/>
      <c r="R70" s="32"/>
      <c r="S70" s="32"/>
      <c r="T70" s="55"/>
      <c r="U70" s="55"/>
      <c r="V70" s="55"/>
      <c r="W70" s="38"/>
      <c r="X70" s="32"/>
      <c r="Y70" s="24"/>
      <c r="Z70" s="32"/>
      <c r="AA70" s="32"/>
    </row>
    <row r="71" ht="16.5" customHeight="1">
      <c r="A71" s="1"/>
      <c r="B71" s="32"/>
      <c r="C71" s="32"/>
      <c r="D71" s="32"/>
      <c r="E71" s="32"/>
      <c r="F71" s="32"/>
      <c r="G71" s="32"/>
      <c r="H71" s="32"/>
      <c r="I71" s="32"/>
      <c r="J71" s="32"/>
      <c r="K71" s="38"/>
      <c r="L71" s="38"/>
      <c r="M71" s="41">
        <f>SUMIFS('04 Payments'!$K$7:$K$400,'04 Payments'!$G$7:$G$400,$D71,'04 Payments'!$H$7:$H$400,"Booking Deposit")</f>
        <v>0</v>
      </c>
      <c r="N71" s="41">
        <f>SUMIFS('04 Payments'!$K$7:$K$400,'04 Payments'!$G$7:$G$400,$D71)</f>
        <v>0</v>
      </c>
      <c r="O71" s="41">
        <f t="shared" si="1"/>
        <v>0</v>
      </c>
      <c r="P71" s="54">
        <f>COUNTIFS('04 Payments'!$G$7:$G$400,$D71,'04 Payments'!$S$7:$S$400,"Overdue")</f>
        <v>0</v>
      </c>
      <c r="Q71" s="32"/>
      <c r="R71" s="32"/>
      <c r="S71" s="32"/>
      <c r="T71" s="55"/>
      <c r="U71" s="55"/>
      <c r="V71" s="55"/>
      <c r="W71" s="38"/>
      <c r="X71" s="32"/>
      <c r="Y71" s="24"/>
      <c r="Z71" s="32"/>
      <c r="AA71" s="32"/>
    </row>
    <row r="72" ht="16.5" customHeight="1">
      <c r="A72" s="1"/>
      <c r="B72" s="32"/>
      <c r="C72" s="32"/>
      <c r="D72" s="32"/>
      <c r="E72" s="32"/>
      <c r="F72" s="32"/>
      <c r="G72" s="32"/>
      <c r="H72" s="32"/>
      <c r="I72" s="32"/>
      <c r="J72" s="32"/>
      <c r="K72" s="38"/>
      <c r="L72" s="38"/>
      <c r="M72" s="41">
        <f>SUMIFS('04 Payments'!$K$7:$K$400,'04 Payments'!$G$7:$G$400,$D72,'04 Payments'!$H$7:$H$400,"Booking Deposit")</f>
        <v>0</v>
      </c>
      <c r="N72" s="41">
        <f>SUMIFS('04 Payments'!$K$7:$K$400,'04 Payments'!$G$7:$G$400,$D72)</f>
        <v>0</v>
      </c>
      <c r="O72" s="41">
        <f t="shared" si="1"/>
        <v>0</v>
      </c>
      <c r="P72" s="54">
        <f>COUNTIFS('04 Payments'!$G$7:$G$400,$D72,'04 Payments'!$S$7:$S$400,"Overdue")</f>
        <v>0</v>
      </c>
      <c r="Q72" s="32"/>
      <c r="R72" s="32"/>
      <c r="S72" s="32"/>
      <c r="T72" s="55"/>
      <c r="U72" s="55"/>
      <c r="V72" s="55"/>
      <c r="W72" s="38"/>
      <c r="X72" s="32"/>
      <c r="Y72" s="24"/>
      <c r="Z72" s="32"/>
      <c r="AA72" s="32"/>
    </row>
    <row r="73" ht="16.5" customHeight="1">
      <c r="A73" s="1"/>
      <c r="B73" s="32"/>
      <c r="C73" s="32"/>
      <c r="D73" s="32"/>
      <c r="E73" s="32"/>
      <c r="F73" s="32"/>
      <c r="G73" s="32"/>
      <c r="H73" s="32"/>
      <c r="I73" s="32"/>
      <c r="J73" s="32"/>
      <c r="K73" s="38"/>
      <c r="L73" s="38"/>
      <c r="M73" s="41">
        <f>SUMIFS('04 Payments'!$K$7:$K$400,'04 Payments'!$G$7:$G$400,$D73,'04 Payments'!$H$7:$H$400,"Booking Deposit")</f>
        <v>0</v>
      </c>
      <c r="N73" s="41">
        <f>SUMIFS('04 Payments'!$K$7:$K$400,'04 Payments'!$G$7:$G$400,$D73)</f>
        <v>0</v>
      </c>
      <c r="O73" s="41">
        <f t="shared" si="1"/>
        <v>0</v>
      </c>
      <c r="P73" s="54">
        <f>COUNTIFS('04 Payments'!$G$7:$G$400,$D73,'04 Payments'!$S$7:$S$400,"Overdue")</f>
        <v>0</v>
      </c>
      <c r="Q73" s="32"/>
      <c r="R73" s="32"/>
      <c r="S73" s="32"/>
      <c r="T73" s="55"/>
      <c r="U73" s="55"/>
      <c r="V73" s="55"/>
      <c r="W73" s="38"/>
      <c r="X73" s="32"/>
      <c r="Y73" s="24"/>
      <c r="Z73" s="32"/>
      <c r="AA73" s="32"/>
    </row>
    <row r="74" ht="16.5" customHeight="1">
      <c r="A74" s="1"/>
      <c r="B74" s="32"/>
      <c r="C74" s="32"/>
      <c r="D74" s="32"/>
      <c r="E74" s="32"/>
      <c r="F74" s="32"/>
      <c r="G74" s="32"/>
      <c r="H74" s="32"/>
      <c r="I74" s="32"/>
      <c r="J74" s="32"/>
      <c r="K74" s="38"/>
      <c r="L74" s="38"/>
      <c r="M74" s="41">
        <f>SUMIFS('04 Payments'!$K$7:$K$400,'04 Payments'!$G$7:$G$400,$D74,'04 Payments'!$H$7:$H$400,"Booking Deposit")</f>
        <v>0</v>
      </c>
      <c r="N74" s="41">
        <f>SUMIFS('04 Payments'!$K$7:$K$400,'04 Payments'!$G$7:$G$400,$D74)</f>
        <v>0</v>
      </c>
      <c r="O74" s="41">
        <f t="shared" si="1"/>
        <v>0</v>
      </c>
      <c r="P74" s="54">
        <f>COUNTIFS('04 Payments'!$G$7:$G$400,$D74,'04 Payments'!$S$7:$S$400,"Overdue")</f>
        <v>0</v>
      </c>
      <c r="Q74" s="32"/>
      <c r="R74" s="32"/>
      <c r="S74" s="32"/>
      <c r="T74" s="55"/>
      <c r="U74" s="55"/>
      <c r="V74" s="55"/>
      <c r="W74" s="38"/>
      <c r="X74" s="32"/>
      <c r="Y74" s="24"/>
      <c r="Z74" s="32"/>
      <c r="AA74" s="32"/>
    </row>
    <row r="75" ht="16.5" customHeight="1">
      <c r="A75" s="1"/>
      <c r="B75" s="32"/>
      <c r="C75" s="32"/>
      <c r="D75" s="32"/>
      <c r="E75" s="32"/>
      <c r="F75" s="32"/>
      <c r="G75" s="32"/>
      <c r="H75" s="32"/>
      <c r="I75" s="32"/>
      <c r="J75" s="32"/>
      <c r="K75" s="38"/>
      <c r="L75" s="38"/>
      <c r="M75" s="41">
        <f>SUMIFS('04 Payments'!$K$7:$K$400,'04 Payments'!$G$7:$G$400,$D75,'04 Payments'!$H$7:$H$400,"Booking Deposit")</f>
        <v>0</v>
      </c>
      <c r="N75" s="41">
        <f>SUMIFS('04 Payments'!$K$7:$K$400,'04 Payments'!$G$7:$G$400,$D75)</f>
        <v>0</v>
      </c>
      <c r="O75" s="41">
        <f t="shared" si="1"/>
        <v>0</v>
      </c>
      <c r="P75" s="54">
        <f>COUNTIFS('04 Payments'!$G$7:$G$400,$D75,'04 Payments'!$S$7:$S$400,"Overdue")</f>
        <v>0</v>
      </c>
      <c r="Q75" s="32"/>
      <c r="R75" s="32"/>
      <c r="S75" s="32"/>
      <c r="T75" s="55"/>
      <c r="U75" s="55"/>
      <c r="V75" s="55"/>
      <c r="W75" s="38"/>
      <c r="X75" s="32"/>
      <c r="Y75" s="24"/>
      <c r="Z75" s="32"/>
      <c r="AA75" s="32"/>
    </row>
    <row r="76" ht="16.5" customHeight="1">
      <c r="A76" s="1"/>
      <c r="B76" s="32"/>
      <c r="C76" s="32"/>
      <c r="D76" s="32"/>
      <c r="E76" s="32"/>
      <c r="F76" s="32"/>
      <c r="G76" s="32"/>
      <c r="H76" s="32"/>
      <c r="I76" s="32"/>
      <c r="J76" s="32"/>
      <c r="K76" s="38"/>
      <c r="L76" s="38"/>
      <c r="M76" s="41">
        <f>SUMIFS('04 Payments'!$K$7:$K$400,'04 Payments'!$G$7:$G$400,$D76,'04 Payments'!$H$7:$H$400,"Booking Deposit")</f>
        <v>0</v>
      </c>
      <c r="N76" s="41">
        <f>SUMIFS('04 Payments'!$K$7:$K$400,'04 Payments'!$G$7:$G$400,$D76)</f>
        <v>0</v>
      </c>
      <c r="O76" s="41">
        <f t="shared" si="1"/>
        <v>0</v>
      </c>
      <c r="P76" s="54">
        <f>COUNTIFS('04 Payments'!$G$7:$G$400,$D76,'04 Payments'!$S$7:$S$400,"Overdue")</f>
        <v>0</v>
      </c>
      <c r="Q76" s="32"/>
      <c r="R76" s="32"/>
      <c r="S76" s="32"/>
      <c r="T76" s="55"/>
      <c r="U76" s="55"/>
      <c r="V76" s="55"/>
      <c r="W76" s="38"/>
      <c r="X76" s="32"/>
      <c r="Y76" s="24"/>
      <c r="Z76" s="32"/>
      <c r="AA76" s="32"/>
    </row>
    <row r="77" ht="16.5" customHeight="1">
      <c r="A77" s="1"/>
      <c r="B77" s="32"/>
      <c r="C77" s="32"/>
      <c r="D77" s="32"/>
      <c r="E77" s="32"/>
      <c r="F77" s="32"/>
      <c r="G77" s="32"/>
      <c r="H77" s="32"/>
      <c r="I77" s="32"/>
      <c r="J77" s="32"/>
      <c r="K77" s="38"/>
      <c r="L77" s="38"/>
      <c r="M77" s="41">
        <f>SUMIFS('04 Payments'!$K$7:$K$400,'04 Payments'!$G$7:$G$400,$D77,'04 Payments'!$H$7:$H$400,"Booking Deposit")</f>
        <v>0</v>
      </c>
      <c r="N77" s="41">
        <f>SUMIFS('04 Payments'!$K$7:$K$400,'04 Payments'!$G$7:$G$400,$D77)</f>
        <v>0</v>
      </c>
      <c r="O77" s="41">
        <f t="shared" si="1"/>
        <v>0</v>
      </c>
      <c r="P77" s="54">
        <f>COUNTIFS('04 Payments'!$G$7:$G$400,$D77,'04 Payments'!$S$7:$S$400,"Overdue")</f>
        <v>0</v>
      </c>
      <c r="Q77" s="32"/>
      <c r="R77" s="32"/>
      <c r="S77" s="32"/>
      <c r="T77" s="55"/>
      <c r="U77" s="55"/>
      <c r="V77" s="55"/>
      <c r="W77" s="38"/>
      <c r="X77" s="32"/>
      <c r="Y77" s="24"/>
      <c r="Z77" s="32"/>
      <c r="AA77" s="32"/>
    </row>
    <row r="78" ht="16.5" customHeight="1">
      <c r="A78" s="1"/>
      <c r="B78" s="32"/>
      <c r="C78" s="32"/>
      <c r="D78" s="32"/>
      <c r="E78" s="32"/>
      <c r="F78" s="32"/>
      <c r="G78" s="32"/>
      <c r="H78" s="32"/>
      <c r="I78" s="32"/>
      <c r="J78" s="32"/>
      <c r="K78" s="38"/>
      <c r="L78" s="38"/>
      <c r="M78" s="41">
        <f>SUMIFS('04 Payments'!$K$7:$K$400,'04 Payments'!$G$7:$G$400,$D78,'04 Payments'!$H$7:$H$400,"Booking Deposit")</f>
        <v>0</v>
      </c>
      <c r="N78" s="41">
        <f>SUMIFS('04 Payments'!$K$7:$K$400,'04 Payments'!$G$7:$G$400,$D78)</f>
        <v>0</v>
      </c>
      <c r="O78" s="41">
        <f t="shared" si="1"/>
        <v>0</v>
      </c>
      <c r="P78" s="54">
        <f>COUNTIFS('04 Payments'!$G$7:$G$400,$D78,'04 Payments'!$S$7:$S$400,"Overdue")</f>
        <v>0</v>
      </c>
      <c r="Q78" s="32"/>
      <c r="R78" s="32"/>
      <c r="S78" s="32"/>
      <c r="T78" s="55"/>
      <c r="U78" s="55"/>
      <c r="V78" s="55"/>
      <c r="W78" s="38"/>
      <c r="X78" s="32"/>
      <c r="Y78" s="24"/>
      <c r="Z78" s="32"/>
      <c r="AA78" s="32"/>
    </row>
    <row r="79" ht="16.5" customHeight="1">
      <c r="A79" s="1"/>
      <c r="B79" s="32"/>
      <c r="C79" s="32"/>
      <c r="D79" s="32"/>
      <c r="E79" s="32"/>
      <c r="F79" s="32"/>
      <c r="G79" s="32"/>
      <c r="H79" s="32"/>
      <c r="I79" s="32"/>
      <c r="J79" s="32"/>
      <c r="K79" s="38"/>
      <c r="L79" s="38"/>
      <c r="M79" s="41">
        <f>SUMIFS('04 Payments'!$K$7:$K$400,'04 Payments'!$G$7:$G$400,$D79,'04 Payments'!$H$7:$H$400,"Booking Deposit")</f>
        <v>0</v>
      </c>
      <c r="N79" s="41">
        <f>SUMIFS('04 Payments'!$K$7:$K$400,'04 Payments'!$G$7:$G$400,$D79)</f>
        <v>0</v>
      </c>
      <c r="O79" s="41">
        <f t="shared" si="1"/>
        <v>0</v>
      </c>
      <c r="P79" s="54">
        <f>COUNTIFS('04 Payments'!$G$7:$G$400,$D79,'04 Payments'!$S$7:$S$400,"Overdue")</f>
        <v>0</v>
      </c>
      <c r="Q79" s="32"/>
      <c r="R79" s="32"/>
      <c r="S79" s="32"/>
      <c r="T79" s="55"/>
      <c r="U79" s="55"/>
      <c r="V79" s="55"/>
      <c r="W79" s="38"/>
      <c r="X79" s="32"/>
      <c r="Y79" s="24"/>
      <c r="Z79" s="32"/>
      <c r="AA79" s="32"/>
    </row>
    <row r="80" ht="16.5" customHeight="1">
      <c r="A80" s="1"/>
      <c r="B80" s="32"/>
      <c r="C80" s="32"/>
      <c r="D80" s="32"/>
      <c r="E80" s="32"/>
      <c r="F80" s="32"/>
      <c r="G80" s="32"/>
      <c r="H80" s="32"/>
      <c r="I80" s="32"/>
      <c r="J80" s="32"/>
      <c r="K80" s="38"/>
      <c r="L80" s="38"/>
      <c r="M80" s="41">
        <f>SUMIFS('04 Payments'!$K$7:$K$400,'04 Payments'!$G$7:$G$400,$D80,'04 Payments'!$H$7:$H$400,"Booking Deposit")</f>
        <v>0</v>
      </c>
      <c r="N80" s="41">
        <f>SUMIFS('04 Payments'!$K$7:$K$400,'04 Payments'!$G$7:$G$400,$D80)</f>
        <v>0</v>
      </c>
      <c r="O80" s="41">
        <f t="shared" si="1"/>
        <v>0</v>
      </c>
      <c r="P80" s="54">
        <f>COUNTIFS('04 Payments'!$G$7:$G$400,$D80,'04 Payments'!$S$7:$S$400,"Overdue")</f>
        <v>0</v>
      </c>
      <c r="Q80" s="32"/>
      <c r="R80" s="32"/>
      <c r="S80" s="32"/>
      <c r="T80" s="55"/>
      <c r="U80" s="55"/>
      <c r="V80" s="55"/>
      <c r="W80" s="38"/>
      <c r="X80" s="32"/>
      <c r="Y80" s="24"/>
      <c r="Z80" s="32"/>
      <c r="AA80" s="32"/>
    </row>
    <row r="81" ht="16.5" customHeight="1">
      <c r="A81" s="1"/>
      <c r="B81" s="32"/>
      <c r="C81" s="32"/>
      <c r="D81" s="32"/>
      <c r="E81" s="32"/>
      <c r="F81" s="32"/>
      <c r="G81" s="32"/>
      <c r="H81" s="32"/>
      <c r="I81" s="32"/>
      <c r="J81" s="32"/>
      <c r="K81" s="38"/>
      <c r="L81" s="38"/>
      <c r="M81" s="41">
        <f>SUMIFS('04 Payments'!$K$7:$K$400,'04 Payments'!$G$7:$G$400,$D81,'04 Payments'!$H$7:$H$400,"Booking Deposit")</f>
        <v>0</v>
      </c>
      <c r="N81" s="41">
        <f>SUMIFS('04 Payments'!$K$7:$K$400,'04 Payments'!$G$7:$G$400,$D81)</f>
        <v>0</v>
      </c>
      <c r="O81" s="41">
        <f t="shared" si="1"/>
        <v>0</v>
      </c>
      <c r="P81" s="54">
        <f>COUNTIFS('04 Payments'!$G$7:$G$400,$D81,'04 Payments'!$S$7:$S$400,"Overdue")</f>
        <v>0</v>
      </c>
      <c r="Q81" s="32"/>
      <c r="R81" s="32"/>
      <c r="S81" s="32"/>
      <c r="T81" s="55"/>
      <c r="U81" s="55"/>
      <c r="V81" s="55"/>
      <c r="W81" s="38"/>
      <c r="X81" s="32"/>
      <c r="Y81" s="24"/>
      <c r="Z81" s="32"/>
      <c r="AA81" s="32"/>
    </row>
    <row r="82" ht="16.5" customHeight="1">
      <c r="A82" s="1"/>
      <c r="B82" s="32"/>
      <c r="C82" s="32"/>
      <c r="D82" s="32"/>
      <c r="E82" s="32"/>
      <c r="F82" s="32"/>
      <c r="G82" s="32"/>
      <c r="H82" s="32"/>
      <c r="I82" s="32"/>
      <c r="J82" s="32"/>
      <c r="K82" s="38"/>
      <c r="L82" s="38"/>
      <c r="M82" s="41">
        <f>SUMIFS('04 Payments'!$K$7:$K$400,'04 Payments'!$G$7:$G$400,$D82,'04 Payments'!$H$7:$H$400,"Booking Deposit")</f>
        <v>0</v>
      </c>
      <c r="N82" s="41">
        <f>SUMIFS('04 Payments'!$K$7:$K$400,'04 Payments'!$G$7:$G$400,$D82)</f>
        <v>0</v>
      </c>
      <c r="O82" s="41">
        <f t="shared" si="1"/>
        <v>0</v>
      </c>
      <c r="P82" s="54">
        <f>COUNTIFS('04 Payments'!$G$7:$G$400,$D82,'04 Payments'!$S$7:$S$400,"Overdue")</f>
        <v>0</v>
      </c>
      <c r="Q82" s="32"/>
      <c r="R82" s="32"/>
      <c r="S82" s="32"/>
      <c r="T82" s="55"/>
      <c r="U82" s="55"/>
      <c r="V82" s="55"/>
      <c r="W82" s="38"/>
      <c r="X82" s="32"/>
      <c r="Y82" s="24"/>
      <c r="Z82" s="32"/>
      <c r="AA82" s="32"/>
    </row>
    <row r="83" ht="16.5" customHeight="1">
      <c r="A83" s="1"/>
      <c r="B83" s="32"/>
      <c r="C83" s="32"/>
      <c r="D83" s="32"/>
      <c r="E83" s="32"/>
      <c r="F83" s="32"/>
      <c r="G83" s="32"/>
      <c r="H83" s="32"/>
      <c r="I83" s="32"/>
      <c r="J83" s="32"/>
      <c r="K83" s="38"/>
      <c r="L83" s="38"/>
      <c r="M83" s="41">
        <f>SUMIFS('04 Payments'!$K$7:$K$400,'04 Payments'!$G$7:$G$400,$D83,'04 Payments'!$H$7:$H$400,"Booking Deposit")</f>
        <v>0</v>
      </c>
      <c r="N83" s="41">
        <f>SUMIFS('04 Payments'!$K$7:$K$400,'04 Payments'!$G$7:$G$400,$D83)</f>
        <v>0</v>
      </c>
      <c r="O83" s="41">
        <f t="shared" si="1"/>
        <v>0</v>
      </c>
      <c r="P83" s="54">
        <f>COUNTIFS('04 Payments'!$G$7:$G$400,$D83,'04 Payments'!$S$7:$S$400,"Overdue")</f>
        <v>0</v>
      </c>
      <c r="Q83" s="32"/>
      <c r="R83" s="32"/>
      <c r="S83" s="32"/>
      <c r="T83" s="55"/>
      <c r="U83" s="55"/>
      <c r="V83" s="55"/>
      <c r="W83" s="38"/>
      <c r="X83" s="32"/>
      <c r="Y83" s="24"/>
      <c r="Z83" s="32"/>
      <c r="AA83" s="32"/>
    </row>
    <row r="84" ht="16.5" customHeight="1">
      <c r="A84" s="1"/>
      <c r="B84" s="32"/>
      <c r="C84" s="32"/>
      <c r="D84" s="32"/>
      <c r="E84" s="32"/>
      <c r="F84" s="32"/>
      <c r="G84" s="32"/>
      <c r="H84" s="32"/>
      <c r="I84" s="32"/>
      <c r="J84" s="32"/>
      <c r="K84" s="38"/>
      <c r="L84" s="38"/>
      <c r="M84" s="41">
        <f>SUMIFS('04 Payments'!$K$7:$K$400,'04 Payments'!$G$7:$G$400,$D84,'04 Payments'!$H$7:$H$400,"Booking Deposit")</f>
        <v>0</v>
      </c>
      <c r="N84" s="41">
        <f>SUMIFS('04 Payments'!$K$7:$K$400,'04 Payments'!$G$7:$G$400,$D84)</f>
        <v>0</v>
      </c>
      <c r="O84" s="41">
        <f t="shared" si="1"/>
        <v>0</v>
      </c>
      <c r="P84" s="54">
        <f>COUNTIFS('04 Payments'!$G$7:$G$400,$D84,'04 Payments'!$S$7:$S$400,"Overdue")</f>
        <v>0</v>
      </c>
      <c r="Q84" s="32"/>
      <c r="R84" s="32"/>
      <c r="S84" s="32"/>
      <c r="T84" s="55"/>
      <c r="U84" s="55"/>
      <c r="V84" s="55"/>
      <c r="W84" s="38"/>
      <c r="X84" s="32"/>
      <c r="Y84" s="24"/>
      <c r="Z84" s="32"/>
      <c r="AA84" s="32"/>
    </row>
    <row r="85" ht="16.5" customHeight="1">
      <c r="A85" s="1"/>
      <c r="B85" s="32"/>
      <c r="C85" s="32"/>
      <c r="D85" s="32"/>
      <c r="E85" s="32"/>
      <c r="F85" s="32"/>
      <c r="G85" s="32"/>
      <c r="H85" s="32"/>
      <c r="I85" s="32"/>
      <c r="J85" s="32"/>
      <c r="K85" s="38"/>
      <c r="L85" s="38"/>
      <c r="M85" s="41">
        <f>SUMIFS('04 Payments'!$K$7:$K$400,'04 Payments'!$G$7:$G$400,$D85,'04 Payments'!$H$7:$H$400,"Booking Deposit")</f>
        <v>0</v>
      </c>
      <c r="N85" s="41">
        <f>SUMIFS('04 Payments'!$K$7:$K$400,'04 Payments'!$G$7:$G$400,$D85)</f>
        <v>0</v>
      </c>
      <c r="O85" s="41">
        <f t="shared" si="1"/>
        <v>0</v>
      </c>
      <c r="P85" s="54">
        <f>COUNTIFS('04 Payments'!$G$7:$G$400,$D85,'04 Payments'!$S$7:$S$400,"Overdue")</f>
        <v>0</v>
      </c>
      <c r="Q85" s="32"/>
      <c r="R85" s="32"/>
      <c r="S85" s="32"/>
      <c r="T85" s="55"/>
      <c r="U85" s="55"/>
      <c r="V85" s="55"/>
      <c r="W85" s="38"/>
      <c r="X85" s="32"/>
      <c r="Y85" s="24"/>
      <c r="Z85" s="32"/>
      <c r="AA85" s="32"/>
    </row>
    <row r="86" ht="16.5" customHeight="1">
      <c r="A86" s="1"/>
      <c r="B86" s="32"/>
      <c r="C86" s="32"/>
      <c r="D86" s="32"/>
      <c r="E86" s="32"/>
      <c r="F86" s="32"/>
      <c r="G86" s="32"/>
      <c r="H86" s="32"/>
      <c r="I86" s="32"/>
      <c r="J86" s="32"/>
      <c r="K86" s="38"/>
      <c r="L86" s="38"/>
      <c r="M86" s="41">
        <f>SUMIFS('04 Payments'!$K$7:$K$400,'04 Payments'!$G$7:$G$400,$D86,'04 Payments'!$H$7:$H$400,"Booking Deposit")</f>
        <v>0</v>
      </c>
      <c r="N86" s="41">
        <f>SUMIFS('04 Payments'!$K$7:$K$400,'04 Payments'!$G$7:$G$400,$D86)</f>
        <v>0</v>
      </c>
      <c r="O86" s="41">
        <f t="shared" si="1"/>
        <v>0</v>
      </c>
      <c r="P86" s="54">
        <f>COUNTIFS('04 Payments'!$G$7:$G$400,$D86,'04 Payments'!$S$7:$S$400,"Overdue")</f>
        <v>0</v>
      </c>
      <c r="Q86" s="32"/>
      <c r="R86" s="32"/>
      <c r="S86" s="32"/>
      <c r="T86" s="55"/>
      <c r="U86" s="55"/>
      <c r="V86" s="55"/>
      <c r="W86" s="38"/>
      <c r="X86" s="32"/>
      <c r="Y86" s="24"/>
      <c r="Z86" s="32"/>
      <c r="AA86" s="32"/>
    </row>
    <row r="87" ht="16.5" customHeight="1">
      <c r="A87" s="1"/>
      <c r="B87" s="32"/>
      <c r="C87" s="32"/>
      <c r="D87" s="32"/>
      <c r="E87" s="32"/>
      <c r="F87" s="32"/>
      <c r="G87" s="32"/>
      <c r="H87" s="32"/>
      <c r="I87" s="32"/>
      <c r="J87" s="32"/>
      <c r="K87" s="38"/>
      <c r="L87" s="38"/>
      <c r="M87" s="41">
        <f>SUMIFS('04 Payments'!$K$7:$K$400,'04 Payments'!$G$7:$G$400,$D87,'04 Payments'!$H$7:$H$400,"Booking Deposit")</f>
        <v>0</v>
      </c>
      <c r="N87" s="41">
        <f>SUMIFS('04 Payments'!$K$7:$K$400,'04 Payments'!$G$7:$G$400,$D87)</f>
        <v>0</v>
      </c>
      <c r="O87" s="41">
        <f t="shared" si="1"/>
        <v>0</v>
      </c>
      <c r="P87" s="54">
        <f>COUNTIFS('04 Payments'!$G$7:$G$400,$D87,'04 Payments'!$S$7:$S$400,"Overdue")</f>
        <v>0</v>
      </c>
      <c r="Q87" s="32"/>
      <c r="R87" s="32"/>
      <c r="S87" s="32"/>
      <c r="T87" s="55"/>
      <c r="U87" s="55"/>
      <c r="V87" s="55"/>
      <c r="W87" s="38"/>
      <c r="X87" s="32"/>
      <c r="Y87" s="24"/>
      <c r="Z87" s="32"/>
      <c r="AA87" s="32"/>
    </row>
    <row r="88" ht="16.5" customHeight="1">
      <c r="A88" s="1"/>
      <c r="B88" s="32"/>
      <c r="C88" s="32"/>
      <c r="D88" s="32"/>
      <c r="E88" s="32"/>
      <c r="F88" s="32"/>
      <c r="G88" s="32"/>
      <c r="H88" s="32"/>
      <c r="I88" s="32"/>
      <c r="J88" s="32"/>
      <c r="K88" s="38"/>
      <c r="L88" s="38"/>
      <c r="M88" s="41">
        <f>SUMIFS('04 Payments'!$K$7:$K$400,'04 Payments'!$G$7:$G$400,$D88,'04 Payments'!$H$7:$H$400,"Booking Deposit")</f>
        <v>0</v>
      </c>
      <c r="N88" s="41">
        <f>SUMIFS('04 Payments'!$K$7:$K$400,'04 Payments'!$G$7:$G$400,$D88)</f>
        <v>0</v>
      </c>
      <c r="O88" s="41">
        <f t="shared" si="1"/>
        <v>0</v>
      </c>
      <c r="P88" s="54">
        <f>COUNTIFS('04 Payments'!$G$7:$G$400,$D88,'04 Payments'!$S$7:$S$400,"Overdue")</f>
        <v>0</v>
      </c>
      <c r="Q88" s="32"/>
      <c r="R88" s="32"/>
      <c r="S88" s="32"/>
      <c r="T88" s="55"/>
      <c r="U88" s="55"/>
      <c r="V88" s="55"/>
      <c r="W88" s="38"/>
      <c r="X88" s="32"/>
      <c r="Y88" s="24"/>
      <c r="Z88" s="32"/>
      <c r="AA88" s="32"/>
    </row>
    <row r="89" ht="16.5" customHeight="1">
      <c r="A89" s="1"/>
      <c r="B89" s="32"/>
      <c r="C89" s="32"/>
      <c r="D89" s="32"/>
      <c r="E89" s="32"/>
      <c r="F89" s="32"/>
      <c r="G89" s="32"/>
      <c r="H89" s="32"/>
      <c r="I89" s="32"/>
      <c r="J89" s="32"/>
      <c r="K89" s="38"/>
      <c r="L89" s="38"/>
      <c r="M89" s="41">
        <f>SUMIFS('04 Payments'!$K$7:$K$400,'04 Payments'!$G$7:$G$400,$D89,'04 Payments'!$H$7:$H$400,"Booking Deposit")</f>
        <v>0</v>
      </c>
      <c r="N89" s="41">
        <f>SUMIFS('04 Payments'!$K$7:$K$400,'04 Payments'!$G$7:$G$400,$D89)</f>
        <v>0</v>
      </c>
      <c r="O89" s="41">
        <f t="shared" si="1"/>
        <v>0</v>
      </c>
      <c r="P89" s="54">
        <f>COUNTIFS('04 Payments'!$G$7:$G$400,$D89,'04 Payments'!$S$7:$S$400,"Overdue")</f>
        <v>0</v>
      </c>
      <c r="Q89" s="32"/>
      <c r="R89" s="32"/>
      <c r="S89" s="32"/>
      <c r="T89" s="55"/>
      <c r="U89" s="55"/>
      <c r="V89" s="55"/>
      <c r="W89" s="38"/>
      <c r="X89" s="32"/>
      <c r="Y89" s="24"/>
      <c r="Z89" s="32"/>
      <c r="AA89" s="32"/>
    </row>
    <row r="90" ht="16.5" customHeight="1">
      <c r="A90" s="1"/>
      <c r="B90" s="32"/>
      <c r="C90" s="32"/>
      <c r="D90" s="32"/>
      <c r="E90" s="32"/>
      <c r="F90" s="32"/>
      <c r="G90" s="32"/>
      <c r="H90" s="32"/>
      <c r="I90" s="32"/>
      <c r="J90" s="32"/>
      <c r="K90" s="38"/>
      <c r="L90" s="38"/>
      <c r="M90" s="41">
        <f>SUMIFS('04 Payments'!$K$7:$K$400,'04 Payments'!$G$7:$G$400,$D90,'04 Payments'!$H$7:$H$400,"Booking Deposit")</f>
        <v>0</v>
      </c>
      <c r="N90" s="41">
        <f>SUMIFS('04 Payments'!$K$7:$K$400,'04 Payments'!$G$7:$G$400,$D90)</f>
        <v>0</v>
      </c>
      <c r="O90" s="41">
        <f t="shared" si="1"/>
        <v>0</v>
      </c>
      <c r="P90" s="54">
        <f>COUNTIFS('04 Payments'!$G$7:$G$400,$D90,'04 Payments'!$S$7:$S$400,"Overdue")</f>
        <v>0</v>
      </c>
      <c r="Q90" s="32"/>
      <c r="R90" s="32"/>
      <c r="S90" s="32"/>
      <c r="T90" s="55"/>
      <c r="U90" s="55"/>
      <c r="V90" s="55"/>
      <c r="W90" s="38"/>
      <c r="X90" s="32"/>
      <c r="Y90" s="24"/>
      <c r="Z90" s="32"/>
      <c r="AA90" s="32"/>
    </row>
    <row r="91" ht="16.5" customHeight="1">
      <c r="A91" s="1"/>
      <c r="B91" s="32"/>
      <c r="C91" s="32"/>
      <c r="D91" s="32"/>
      <c r="E91" s="32"/>
      <c r="F91" s="32"/>
      <c r="G91" s="32"/>
      <c r="H91" s="32"/>
      <c r="I91" s="32"/>
      <c r="J91" s="32"/>
      <c r="K91" s="38"/>
      <c r="L91" s="38"/>
      <c r="M91" s="41">
        <f>SUMIFS('04 Payments'!$K$7:$K$400,'04 Payments'!$G$7:$G$400,$D91,'04 Payments'!$H$7:$H$400,"Booking Deposit")</f>
        <v>0</v>
      </c>
      <c r="N91" s="41">
        <f>SUMIFS('04 Payments'!$K$7:$K$400,'04 Payments'!$G$7:$G$400,$D91)</f>
        <v>0</v>
      </c>
      <c r="O91" s="41">
        <f t="shared" si="1"/>
        <v>0</v>
      </c>
      <c r="P91" s="54">
        <f>COUNTIFS('04 Payments'!$G$7:$G$400,$D91,'04 Payments'!$S$7:$S$400,"Overdue")</f>
        <v>0</v>
      </c>
      <c r="Q91" s="32"/>
      <c r="R91" s="32"/>
      <c r="S91" s="32"/>
      <c r="T91" s="55"/>
      <c r="U91" s="55"/>
      <c r="V91" s="55"/>
      <c r="W91" s="38"/>
      <c r="X91" s="32"/>
      <c r="Y91" s="24"/>
      <c r="Z91" s="32"/>
      <c r="AA91" s="32"/>
    </row>
    <row r="92" ht="16.5" customHeight="1">
      <c r="A92" s="1"/>
      <c r="B92" s="32"/>
      <c r="C92" s="32"/>
      <c r="D92" s="32"/>
      <c r="E92" s="32"/>
      <c r="F92" s="32"/>
      <c r="G92" s="32"/>
      <c r="H92" s="32"/>
      <c r="I92" s="32"/>
      <c r="J92" s="32"/>
      <c r="K92" s="38"/>
      <c r="L92" s="38"/>
      <c r="M92" s="41">
        <f>SUMIFS('04 Payments'!$K$7:$K$400,'04 Payments'!$G$7:$G$400,$D92,'04 Payments'!$H$7:$H$400,"Booking Deposit")</f>
        <v>0</v>
      </c>
      <c r="N92" s="41">
        <f>SUMIFS('04 Payments'!$K$7:$K$400,'04 Payments'!$G$7:$G$400,$D92)</f>
        <v>0</v>
      </c>
      <c r="O92" s="41">
        <f t="shared" si="1"/>
        <v>0</v>
      </c>
      <c r="P92" s="54">
        <f>COUNTIFS('04 Payments'!$G$7:$G$400,$D92,'04 Payments'!$S$7:$S$400,"Overdue")</f>
        <v>0</v>
      </c>
      <c r="Q92" s="32"/>
      <c r="R92" s="32"/>
      <c r="S92" s="32"/>
      <c r="T92" s="55"/>
      <c r="U92" s="55"/>
      <c r="V92" s="55"/>
      <c r="W92" s="38"/>
      <c r="X92" s="32"/>
      <c r="Y92" s="24"/>
      <c r="Z92" s="32"/>
      <c r="AA92" s="32"/>
    </row>
    <row r="93" ht="16.5" customHeight="1">
      <c r="A93" s="1"/>
      <c r="B93" s="32"/>
      <c r="C93" s="32"/>
      <c r="D93" s="32"/>
      <c r="E93" s="32"/>
      <c r="F93" s="32"/>
      <c r="G93" s="32"/>
      <c r="H93" s="32"/>
      <c r="I93" s="32"/>
      <c r="J93" s="32"/>
      <c r="K93" s="38"/>
      <c r="L93" s="38"/>
      <c r="M93" s="41">
        <f>SUMIFS('04 Payments'!$K$7:$K$400,'04 Payments'!$G$7:$G$400,$D93,'04 Payments'!$H$7:$H$400,"Booking Deposit")</f>
        <v>0</v>
      </c>
      <c r="N93" s="41">
        <f>SUMIFS('04 Payments'!$K$7:$K$400,'04 Payments'!$G$7:$G$400,$D93)</f>
        <v>0</v>
      </c>
      <c r="O93" s="41">
        <f t="shared" si="1"/>
        <v>0</v>
      </c>
      <c r="P93" s="54">
        <f>COUNTIFS('04 Payments'!$G$7:$G$400,$D93,'04 Payments'!$S$7:$S$400,"Overdue")</f>
        <v>0</v>
      </c>
      <c r="Q93" s="32"/>
      <c r="R93" s="32"/>
      <c r="S93" s="32"/>
      <c r="T93" s="55"/>
      <c r="U93" s="55"/>
      <c r="V93" s="55"/>
      <c r="W93" s="38"/>
      <c r="X93" s="32"/>
      <c r="Y93" s="24"/>
      <c r="Z93" s="32"/>
      <c r="AA93" s="32"/>
    </row>
    <row r="94" ht="16.5" customHeight="1">
      <c r="A94" s="1"/>
      <c r="B94" s="32"/>
      <c r="C94" s="32"/>
      <c r="D94" s="32"/>
      <c r="E94" s="32"/>
      <c r="F94" s="32"/>
      <c r="G94" s="32"/>
      <c r="H94" s="32"/>
      <c r="I94" s="32"/>
      <c r="J94" s="32"/>
      <c r="K94" s="38"/>
      <c r="L94" s="38"/>
      <c r="M94" s="41">
        <f>SUMIFS('04 Payments'!$K$7:$K$400,'04 Payments'!$G$7:$G$400,$D94,'04 Payments'!$H$7:$H$400,"Booking Deposit")</f>
        <v>0</v>
      </c>
      <c r="N94" s="41">
        <f>SUMIFS('04 Payments'!$K$7:$K$400,'04 Payments'!$G$7:$G$400,$D94)</f>
        <v>0</v>
      </c>
      <c r="O94" s="41">
        <f t="shared" si="1"/>
        <v>0</v>
      </c>
      <c r="P94" s="54">
        <f>COUNTIFS('04 Payments'!$G$7:$G$400,$D94,'04 Payments'!$S$7:$S$400,"Overdue")</f>
        <v>0</v>
      </c>
      <c r="Q94" s="32"/>
      <c r="R94" s="32"/>
      <c r="S94" s="32"/>
      <c r="T94" s="55"/>
      <c r="U94" s="55"/>
      <c r="V94" s="55"/>
      <c r="W94" s="38"/>
      <c r="X94" s="32"/>
      <c r="Y94" s="24"/>
      <c r="Z94" s="32"/>
      <c r="AA94" s="32"/>
    </row>
    <row r="95" ht="16.5" customHeight="1">
      <c r="A95" s="1"/>
      <c r="B95" s="32"/>
      <c r="C95" s="32"/>
      <c r="D95" s="32"/>
      <c r="E95" s="32"/>
      <c r="F95" s="32"/>
      <c r="G95" s="32"/>
      <c r="H95" s="32"/>
      <c r="I95" s="32"/>
      <c r="J95" s="32"/>
      <c r="K95" s="38"/>
      <c r="L95" s="38"/>
      <c r="M95" s="41">
        <f>SUMIFS('04 Payments'!$K$7:$K$400,'04 Payments'!$G$7:$G$400,$D95,'04 Payments'!$H$7:$H$400,"Booking Deposit")</f>
        <v>0</v>
      </c>
      <c r="N95" s="41">
        <f>SUMIFS('04 Payments'!$K$7:$K$400,'04 Payments'!$G$7:$G$400,$D95)</f>
        <v>0</v>
      </c>
      <c r="O95" s="41">
        <f t="shared" si="1"/>
        <v>0</v>
      </c>
      <c r="P95" s="54">
        <f>COUNTIFS('04 Payments'!$G$7:$G$400,$D95,'04 Payments'!$S$7:$S$400,"Overdue")</f>
        <v>0</v>
      </c>
      <c r="Q95" s="32"/>
      <c r="R95" s="32"/>
      <c r="S95" s="32"/>
      <c r="T95" s="55"/>
      <c r="U95" s="55"/>
      <c r="V95" s="55"/>
      <c r="W95" s="38"/>
      <c r="X95" s="32"/>
      <c r="Y95" s="24"/>
      <c r="Z95" s="32"/>
      <c r="AA95" s="32"/>
    </row>
    <row r="96" ht="16.5" customHeight="1">
      <c r="A96" s="1"/>
      <c r="B96" s="32"/>
      <c r="C96" s="32"/>
      <c r="D96" s="32"/>
      <c r="E96" s="32"/>
      <c r="F96" s="32"/>
      <c r="G96" s="32"/>
      <c r="H96" s="32"/>
      <c r="I96" s="32"/>
      <c r="J96" s="32"/>
      <c r="K96" s="38"/>
      <c r="L96" s="38"/>
      <c r="M96" s="41">
        <f>SUMIFS('04 Payments'!$K$7:$K$400,'04 Payments'!$G$7:$G$400,$D96,'04 Payments'!$H$7:$H$400,"Booking Deposit")</f>
        <v>0</v>
      </c>
      <c r="N96" s="41">
        <f>SUMIFS('04 Payments'!$K$7:$K$400,'04 Payments'!$G$7:$G$400,$D96)</f>
        <v>0</v>
      </c>
      <c r="O96" s="41">
        <f t="shared" si="1"/>
        <v>0</v>
      </c>
      <c r="P96" s="54">
        <f>COUNTIFS('04 Payments'!$G$7:$G$400,$D96,'04 Payments'!$S$7:$S$400,"Overdue")</f>
        <v>0</v>
      </c>
      <c r="Q96" s="32"/>
      <c r="R96" s="32"/>
      <c r="S96" s="32"/>
      <c r="T96" s="55"/>
      <c r="U96" s="55"/>
      <c r="V96" s="55"/>
      <c r="W96" s="38"/>
      <c r="X96" s="32"/>
      <c r="Y96" s="24"/>
      <c r="Z96" s="32"/>
      <c r="AA96" s="32"/>
    </row>
    <row r="97" ht="16.5" customHeight="1">
      <c r="A97" s="1"/>
      <c r="B97" s="32"/>
      <c r="C97" s="32"/>
      <c r="D97" s="32"/>
      <c r="E97" s="32"/>
      <c r="F97" s="32"/>
      <c r="G97" s="32"/>
      <c r="H97" s="32"/>
      <c r="I97" s="32"/>
      <c r="J97" s="32"/>
      <c r="K97" s="38"/>
      <c r="L97" s="38"/>
      <c r="M97" s="41">
        <f>SUMIFS('04 Payments'!$K$7:$K$400,'04 Payments'!$G$7:$G$400,$D97,'04 Payments'!$H$7:$H$400,"Booking Deposit")</f>
        <v>0</v>
      </c>
      <c r="N97" s="41">
        <f>SUMIFS('04 Payments'!$K$7:$K$400,'04 Payments'!$G$7:$G$400,$D97)</f>
        <v>0</v>
      </c>
      <c r="O97" s="41">
        <f t="shared" si="1"/>
        <v>0</v>
      </c>
      <c r="P97" s="54">
        <f>COUNTIFS('04 Payments'!$G$7:$G$400,$D97,'04 Payments'!$S$7:$S$400,"Overdue")</f>
        <v>0</v>
      </c>
      <c r="Q97" s="32"/>
      <c r="R97" s="32"/>
      <c r="S97" s="32"/>
      <c r="T97" s="55"/>
      <c r="U97" s="55"/>
      <c r="V97" s="55"/>
      <c r="W97" s="38"/>
      <c r="X97" s="32"/>
      <c r="Y97" s="24"/>
      <c r="Z97" s="32"/>
      <c r="AA97" s="32"/>
    </row>
    <row r="98" ht="16.5" customHeight="1">
      <c r="A98" s="1"/>
      <c r="B98" s="32"/>
      <c r="C98" s="32"/>
      <c r="D98" s="32"/>
      <c r="E98" s="32"/>
      <c r="F98" s="32"/>
      <c r="G98" s="32"/>
      <c r="H98" s="32"/>
      <c r="I98" s="32"/>
      <c r="J98" s="32"/>
      <c r="K98" s="38"/>
      <c r="L98" s="38"/>
      <c r="M98" s="41">
        <f>SUMIFS('04 Payments'!$K$7:$K$400,'04 Payments'!$G$7:$G$400,$D98,'04 Payments'!$H$7:$H$400,"Booking Deposit")</f>
        <v>0</v>
      </c>
      <c r="N98" s="41">
        <f>SUMIFS('04 Payments'!$K$7:$K$400,'04 Payments'!$G$7:$G$400,$D98)</f>
        <v>0</v>
      </c>
      <c r="O98" s="41">
        <f t="shared" si="1"/>
        <v>0</v>
      </c>
      <c r="P98" s="54">
        <f>COUNTIFS('04 Payments'!$G$7:$G$400,$D98,'04 Payments'!$S$7:$S$400,"Overdue")</f>
        <v>0</v>
      </c>
      <c r="Q98" s="32"/>
      <c r="R98" s="32"/>
      <c r="S98" s="32"/>
      <c r="T98" s="55"/>
      <c r="U98" s="55"/>
      <c r="V98" s="55"/>
      <c r="W98" s="38"/>
      <c r="X98" s="32"/>
      <c r="Y98" s="24"/>
      <c r="Z98" s="32"/>
      <c r="AA98" s="32"/>
    </row>
    <row r="99" ht="16.5" customHeight="1">
      <c r="A99" s="1"/>
      <c r="B99" s="32"/>
      <c r="C99" s="32"/>
      <c r="D99" s="32"/>
      <c r="E99" s="32"/>
      <c r="F99" s="32"/>
      <c r="G99" s="32"/>
      <c r="H99" s="32"/>
      <c r="I99" s="32"/>
      <c r="J99" s="32"/>
      <c r="K99" s="38"/>
      <c r="L99" s="38"/>
      <c r="M99" s="41">
        <f>SUMIFS('04 Payments'!$K$7:$K$400,'04 Payments'!$G$7:$G$400,$D99,'04 Payments'!$H$7:$H$400,"Booking Deposit")</f>
        <v>0</v>
      </c>
      <c r="N99" s="41">
        <f>SUMIFS('04 Payments'!$K$7:$K$400,'04 Payments'!$G$7:$G$400,$D99)</f>
        <v>0</v>
      </c>
      <c r="O99" s="41">
        <f t="shared" si="1"/>
        <v>0</v>
      </c>
      <c r="P99" s="54">
        <f>COUNTIFS('04 Payments'!$G$7:$G$400,$D99,'04 Payments'!$S$7:$S$400,"Overdue")</f>
        <v>0</v>
      </c>
      <c r="Q99" s="32"/>
      <c r="R99" s="32"/>
      <c r="S99" s="32"/>
      <c r="T99" s="55"/>
      <c r="U99" s="55"/>
      <c r="V99" s="55"/>
      <c r="W99" s="38"/>
      <c r="X99" s="32"/>
      <c r="Y99" s="24"/>
      <c r="Z99" s="32"/>
      <c r="AA99" s="32"/>
    </row>
    <row r="100" ht="16.5" customHeight="1">
      <c r="A100" s="1"/>
      <c r="B100" s="32"/>
      <c r="C100" s="32"/>
      <c r="D100" s="32"/>
      <c r="E100" s="32"/>
      <c r="F100" s="32"/>
      <c r="G100" s="32"/>
      <c r="H100" s="32"/>
      <c r="I100" s="32"/>
      <c r="J100" s="32"/>
      <c r="K100" s="38"/>
      <c r="L100" s="38"/>
      <c r="M100" s="41">
        <f>SUMIFS('04 Payments'!$K$7:$K$400,'04 Payments'!$G$7:$G$400,$D100,'04 Payments'!$H$7:$H$400,"Booking Deposit")</f>
        <v>0</v>
      </c>
      <c r="N100" s="41">
        <f>SUMIFS('04 Payments'!$K$7:$K$400,'04 Payments'!$G$7:$G$400,$D100)</f>
        <v>0</v>
      </c>
      <c r="O100" s="41">
        <f t="shared" si="1"/>
        <v>0</v>
      </c>
      <c r="P100" s="54">
        <f>COUNTIFS('04 Payments'!$G$7:$G$400,$D100,'04 Payments'!$S$7:$S$400,"Overdue")</f>
        <v>0</v>
      </c>
      <c r="Q100" s="32"/>
      <c r="R100" s="32"/>
      <c r="S100" s="32"/>
      <c r="T100" s="55"/>
      <c r="U100" s="55"/>
      <c r="V100" s="55"/>
      <c r="W100" s="38"/>
      <c r="X100" s="32"/>
      <c r="Y100" s="24"/>
      <c r="Z100" s="32"/>
      <c r="AA100" s="32"/>
    </row>
    <row r="101" ht="16.5" customHeight="1">
      <c r="A101" s="1"/>
      <c r="B101" s="32"/>
      <c r="C101" s="32"/>
      <c r="D101" s="32"/>
      <c r="E101" s="32"/>
      <c r="F101" s="32"/>
      <c r="G101" s="32"/>
      <c r="H101" s="32"/>
      <c r="I101" s="32"/>
      <c r="J101" s="32"/>
      <c r="K101" s="38"/>
      <c r="L101" s="38"/>
      <c r="M101" s="41">
        <f>SUMIFS('04 Payments'!$K$7:$K$400,'04 Payments'!$G$7:$G$400,$D101,'04 Payments'!$H$7:$H$400,"Booking Deposit")</f>
        <v>0</v>
      </c>
      <c r="N101" s="41">
        <f>SUMIFS('04 Payments'!$K$7:$K$400,'04 Payments'!$G$7:$G$400,$D101)</f>
        <v>0</v>
      </c>
      <c r="O101" s="41">
        <f t="shared" si="1"/>
        <v>0</v>
      </c>
      <c r="P101" s="54">
        <f>COUNTIFS('04 Payments'!$G$7:$G$400,$D101,'04 Payments'!$S$7:$S$400,"Overdue")</f>
        <v>0</v>
      </c>
      <c r="Q101" s="32"/>
      <c r="R101" s="32"/>
      <c r="S101" s="32"/>
      <c r="T101" s="55"/>
      <c r="U101" s="55"/>
      <c r="V101" s="55"/>
      <c r="W101" s="38"/>
      <c r="X101" s="32"/>
      <c r="Y101" s="24"/>
      <c r="Z101" s="32"/>
      <c r="AA101" s="32"/>
    </row>
    <row r="102" ht="16.5" customHeight="1">
      <c r="A102" s="1"/>
      <c r="B102" s="32"/>
      <c r="C102" s="32"/>
      <c r="D102" s="32"/>
      <c r="E102" s="32"/>
      <c r="F102" s="32"/>
      <c r="G102" s="32"/>
      <c r="H102" s="32"/>
      <c r="I102" s="32"/>
      <c r="J102" s="32"/>
      <c r="K102" s="38"/>
      <c r="L102" s="38"/>
      <c r="M102" s="41">
        <f>SUMIFS('04 Payments'!$K$7:$K$400,'04 Payments'!$G$7:$G$400,$D102,'04 Payments'!$H$7:$H$400,"Booking Deposit")</f>
        <v>0</v>
      </c>
      <c r="N102" s="41">
        <f>SUMIFS('04 Payments'!$K$7:$K$400,'04 Payments'!$G$7:$G$400,$D102)</f>
        <v>0</v>
      </c>
      <c r="O102" s="41">
        <f t="shared" si="1"/>
        <v>0</v>
      </c>
      <c r="P102" s="54">
        <f>COUNTIFS('04 Payments'!$G$7:$G$400,$D102,'04 Payments'!$S$7:$S$400,"Overdue")</f>
        <v>0</v>
      </c>
      <c r="Q102" s="32"/>
      <c r="R102" s="32"/>
      <c r="S102" s="32"/>
      <c r="T102" s="55"/>
      <c r="U102" s="55"/>
      <c r="V102" s="55"/>
      <c r="W102" s="38"/>
      <c r="X102" s="32"/>
      <c r="Y102" s="24"/>
      <c r="Z102" s="32"/>
      <c r="AA102" s="32"/>
    </row>
    <row r="103" ht="16.5" customHeight="1">
      <c r="A103" s="1"/>
      <c r="B103" s="32"/>
      <c r="C103" s="32"/>
      <c r="D103" s="32"/>
      <c r="E103" s="32"/>
      <c r="F103" s="32"/>
      <c r="G103" s="32"/>
      <c r="H103" s="32"/>
      <c r="I103" s="32"/>
      <c r="J103" s="32"/>
      <c r="K103" s="38"/>
      <c r="L103" s="38"/>
      <c r="M103" s="41">
        <f>SUMIFS('04 Payments'!$K$7:$K$400,'04 Payments'!$G$7:$G$400,$D103,'04 Payments'!$H$7:$H$400,"Booking Deposit")</f>
        <v>0</v>
      </c>
      <c r="N103" s="41">
        <f>SUMIFS('04 Payments'!$K$7:$K$400,'04 Payments'!$G$7:$G$400,$D103)</f>
        <v>0</v>
      </c>
      <c r="O103" s="41">
        <f t="shared" si="1"/>
        <v>0</v>
      </c>
      <c r="P103" s="54">
        <f>COUNTIFS('04 Payments'!$G$7:$G$400,$D103,'04 Payments'!$S$7:$S$400,"Overdue")</f>
        <v>0</v>
      </c>
      <c r="Q103" s="32"/>
      <c r="R103" s="32"/>
      <c r="S103" s="32"/>
      <c r="T103" s="55"/>
      <c r="U103" s="55"/>
      <c r="V103" s="55"/>
      <c r="W103" s="38"/>
      <c r="X103" s="32"/>
      <c r="Y103" s="24"/>
      <c r="Z103" s="32"/>
      <c r="AA103" s="32"/>
    </row>
    <row r="104" ht="16.5" customHeight="1">
      <c r="A104" s="1"/>
      <c r="B104" s="32"/>
      <c r="C104" s="32"/>
      <c r="D104" s="32"/>
      <c r="E104" s="32"/>
      <c r="F104" s="32"/>
      <c r="G104" s="32"/>
      <c r="H104" s="32"/>
      <c r="I104" s="32"/>
      <c r="J104" s="32"/>
      <c r="K104" s="38"/>
      <c r="L104" s="38"/>
      <c r="M104" s="41">
        <f>SUMIFS('04 Payments'!$K$7:$K$400,'04 Payments'!$G$7:$G$400,$D104,'04 Payments'!$H$7:$H$400,"Booking Deposit")</f>
        <v>0</v>
      </c>
      <c r="N104" s="41">
        <f>SUMIFS('04 Payments'!$K$7:$K$400,'04 Payments'!$G$7:$G$400,$D104)</f>
        <v>0</v>
      </c>
      <c r="O104" s="41">
        <f t="shared" si="1"/>
        <v>0</v>
      </c>
      <c r="P104" s="54">
        <f>COUNTIFS('04 Payments'!$G$7:$G$400,$D104,'04 Payments'!$S$7:$S$400,"Overdue")</f>
        <v>0</v>
      </c>
      <c r="Q104" s="32"/>
      <c r="R104" s="32"/>
      <c r="S104" s="32"/>
      <c r="T104" s="55"/>
      <c r="U104" s="55"/>
      <c r="V104" s="55"/>
      <c r="W104" s="38"/>
      <c r="X104" s="32"/>
      <c r="Y104" s="24"/>
      <c r="Z104" s="32"/>
      <c r="AA104" s="32"/>
    </row>
    <row r="105" ht="16.5" customHeight="1">
      <c r="A105" s="1"/>
      <c r="B105" s="32"/>
      <c r="C105" s="32"/>
      <c r="D105" s="32"/>
      <c r="E105" s="32"/>
      <c r="F105" s="32"/>
      <c r="G105" s="32"/>
      <c r="H105" s="32"/>
      <c r="I105" s="32"/>
      <c r="J105" s="32"/>
      <c r="K105" s="38"/>
      <c r="L105" s="38"/>
      <c r="M105" s="41">
        <f>SUMIFS('04 Payments'!$K$7:$K$400,'04 Payments'!$G$7:$G$400,$D105,'04 Payments'!$H$7:$H$400,"Booking Deposit")</f>
        <v>0</v>
      </c>
      <c r="N105" s="41">
        <f>SUMIFS('04 Payments'!$K$7:$K$400,'04 Payments'!$G$7:$G$400,$D105)</f>
        <v>0</v>
      </c>
      <c r="O105" s="41">
        <f t="shared" si="1"/>
        <v>0</v>
      </c>
      <c r="P105" s="54">
        <f>COUNTIFS('04 Payments'!$G$7:$G$400,$D105,'04 Payments'!$S$7:$S$400,"Overdue")</f>
        <v>0</v>
      </c>
      <c r="Q105" s="32"/>
      <c r="R105" s="32"/>
      <c r="S105" s="32"/>
      <c r="T105" s="55"/>
      <c r="U105" s="55"/>
      <c r="V105" s="55"/>
      <c r="W105" s="38"/>
      <c r="X105" s="32"/>
      <c r="Y105" s="24"/>
      <c r="Z105" s="32"/>
      <c r="AA105" s="32"/>
    </row>
    <row r="106" ht="16.5" customHeight="1">
      <c r="A106" s="1"/>
      <c r="B106" s="32"/>
      <c r="C106" s="32"/>
      <c r="D106" s="32"/>
      <c r="E106" s="32"/>
      <c r="F106" s="32"/>
      <c r="G106" s="32"/>
      <c r="H106" s="32"/>
      <c r="I106" s="32"/>
      <c r="J106" s="32"/>
      <c r="K106" s="38"/>
      <c r="L106" s="38"/>
      <c r="M106" s="41">
        <f>SUMIFS('04 Payments'!$K$7:$K$400,'04 Payments'!$G$7:$G$400,$D106,'04 Payments'!$H$7:$H$400,"Booking Deposit")</f>
        <v>0</v>
      </c>
      <c r="N106" s="41">
        <f>SUMIFS('04 Payments'!$K$7:$K$400,'04 Payments'!$G$7:$G$400,$D106)</f>
        <v>0</v>
      </c>
      <c r="O106" s="41">
        <f t="shared" si="1"/>
        <v>0</v>
      </c>
      <c r="P106" s="54">
        <f>COUNTIFS('04 Payments'!$G$7:$G$400,$D106,'04 Payments'!$S$7:$S$400,"Overdue")</f>
        <v>0</v>
      </c>
      <c r="Q106" s="32"/>
      <c r="R106" s="32"/>
      <c r="S106" s="32"/>
      <c r="T106" s="55"/>
      <c r="U106" s="55"/>
      <c r="V106" s="55"/>
      <c r="W106" s="38"/>
      <c r="X106" s="32"/>
      <c r="Y106" s="24"/>
      <c r="Z106" s="32"/>
      <c r="AA106" s="32"/>
    </row>
    <row r="107" ht="16.5" customHeight="1">
      <c r="A107" s="1"/>
      <c r="B107" s="32"/>
      <c r="C107" s="32"/>
      <c r="D107" s="32"/>
      <c r="E107" s="32"/>
      <c r="F107" s="32"/>
      <c r="G107" s="32"/>
      <c r="H107" s="32"/>
      <c r="I107" s="32"/>
      <c r="J107" s="32"/>
      <c r="K107" s="38"/>
      <c r="L107" s="38"/>
      <c r="M107" s="41">
        <f>SUMIFS('04 Payments'!$K$7:$K$400,'04 Payments'!$G$7:$G$400,$D107,'04 Payments'!$H$7:$H$400,"Booking Deposit")</f>
        <v>0</v>
      </c>
      <c r="N107" s="41">
        <f>SUMIFS('04 Payments'!$K$7:$K$400,'04 Payments'!$G$7:$G$400,$D107)</f>
        <v>0</v>
      </c>
      <c r="O107" s="41">
        <f t="shared" si="1"/>
        <v>0</v>
      </c>
      <c r="P107" s="54">
        <f>COUNTIFS('04 Payments'!$G$7:$G$400,$D107,'04 Payments'!$S$7:$S$400,"Overdue")</f>
        <v>0</v>
      </c>
      <c r="Q107" s="32"/>
      <c r="R107" s="32"/>
      <c r="S107" s="32"/>
      <c r="T107" s="55"/>
      <c r="U107" s="55"/>
      <c r="V107" s="55"/>
      <c r="W107" s="38"/>
      <c r="X107" s="32"/>
      <c r="Y107" s="24"/>
      <c r="Z107" s="32"/>
      <c r="AA107" s="32"/>
    </row>
    <row r="108" ht="16.5" customHeight="1">
      <c r="A108" s="1"/>
      <c r="B108" s="32"/>
      <c r="C108" s="32"/>
      <c r="D108" s="32"/>
      <c r="E108" s="32"/>
      <c r="F108" s="32"/>
      <c r="G108" s="32"/>
      <c r="H108" s="32"/>
      <c r="I108" s="32"/>
      <c r="J108" s="32"/>
      <c r="K108" s="38"/>
      <c r="L108" s="38"/>
      <c r="M108" s="41">
        <f>SUMIFS('04 Payments'!$K$7:$K$400,'04 Payments'!$G$7:$G$400,$D108,'04 Payments'!$H$7:$H$400,"Booking Deposit")</f>
        <v>0</v>
      </c>
      <c r="N108" s="41">
        <f>SUMIFS('04 Payments'!$K$7:$K$400,'04 Payments'!$G$7:$G$400,$D108)</f>
        <v>0</v>
      </c>
      <c r="O108" s="41">
        <f t="shared" si="1"/>
        <v>0</v>
      </c>
      <c r="P108" s="54">
        <f>COUNTIFS('04 Payments'!$G$7:$G$400,$D108,'04 Payments'!$S$7:$S$400,"Overdue")</f>
        <v>0</v>
      </c>
      <c r="Q108" s="32"/>
      <c r="R108" s="32"/>
      <c r="S108" s="32"/>
      <c r="T108" s="55"/>
      <c r="U108" s="55"/>
      <c r="V108" s="55"/>
      <c r="W108" s="38"/>
      <c r="X108" s="32"/>
      <c r="Y108" s="24"/>
      <c r="Z108" s="32"/>
      <c r="AA108" s="32"/>
    </row>
    <row r="109" ht="16.5" customHeight="1">
      <c r="A109" s="1"/>
      <c r="B109" s="32"/>
      <c r="C109" s="32"/>
      <c r="D109" s="32"/>
      <c r="E109" s="32"/>
      <c r="F109" s="32"/>
      <c r="G109" s="32"/>
      <c r="H109" s="32"/>
      <c r="I109" s="32"/>
      <c r="J109" s="32"/>
      <c r="K109" s="38"/>
      <c r="L109" s="38"/>
      <c r="M109" s="41">
        <f>SUMIFS('04 Payments'!$K$7:$K$400,'04 Payments'!$G$7:$G$400,$D109,'04 Payments'!$H$7:$H$400,"Booking Deposit")</f>
        <v>0</v>
      </c>
      <c r="N109" s="41">
        <f>SUMIFS('04 Payments'!$K$7:$K$400,'04 Payments'!$G$7:$G$400,$D109)</f>
        <v>0</v>
      </c>
      <c r="O109" s="41">
        <f t="shared" si="1"/>
        <v>0</v>
      </c>
      <c r="P109" s="54">
        <f>COUNTIFS('04 Payments'!$G$7:$G$400,$D109,'04 Payments'!$S$7:$S$400,"Overdue")</f>
        <v>0</v>
      </c>
      <c r="Q109" s="32"/>
      <c r="R109" s="32"/>
      <c r="S109" s="32"/>
      <c r="T109" s="55"/>
      <c r="U109" s="55"/>
      <c r="V109" s="55"/>
      <c r="W109" s="38"/>
      <c r="X109" s="32"/>
      <c r="Y109" s="24"/>
      <c r="Z109" s="32"/>
      <c r="AA109" s="32"/>
    </row>
    <row r="110" ht="16.5" customHeight="1">
      <c r="A110" s="1"/>
      <c r="B110" s="32"/>
      <c r="C110" s="32"/>
      <c r="D110" s="32"/>
      <c r="E110" s="32"/>
      <c r="F110" s="32"/>
      <c r="G110" s="32"/>
      <c r="H110" s="32"/>
      <c r="I110" s="32"/>
      <c r="J110" s="32"/>
      <c r="K110" s="38"/>
      <c r="L110" s="38"/>
      <c r="M110" s="41">
        <f>SUMIFS('04 Payments'!$K$7:$K$400,'04 Payments'!$G$7:$G$400,$D110,'04 Payments'!$H$7:$H$400,"Booking Deposit")</f>
        <v>0</v>
      </c>
      <c r="N110" s="41">
        <f>SUMIFS('04 Payments'!$K$7:$K$400,'04 Payments'!$G$7:$G$400,$D110)</f>
        <v>0</v>
      </c>
      <c r="O110" s="41">
        <f t="shared" si="1"/>
        <v>0</v>
      </c>
      <c r="P110" s="54">
        <f>COUNTIFS('04 Payments'!$G$7:$G$400,$D110,'04 Payments'!$S$7:$S$400,"Overdue")</f>
        <v>0</v>
      </c>
      <c r="Q110" s="32"/>
      <c r="R110" s="32"/>
      <c r="S110" s="32"/>
      <c r="T110" s="55"/>
      <c r="U110" s="55"/>
      <c r="V110" s="55"/>
      <c r="W110" s="38"/>
      <c r="X110" s="32"/>
      <c r="Y110" s="24"/>
      <c r="Z110" s="32"/>
      <c r="AA110" s="32"/>
    </row>
    <row r="111" ht="16.5" customHeight="1">
      <c r="A111" s="1"/>
      <c r="B111" s="32"/>
      <c r="C111" s="32"/>
      <c r="D111" s="32"/>
      <c r="E111" s="32"/>
      <c r="F111" s="32"/>
      <c r="G111" s="32"/>
      <c r="H111" s="32"/>
      <c r="I111" s="32"/>
      <c r="J111" s="32"/>
      <c r="K111" s="38"/>
      <c r="L111" s="38"/>
      <c r="M111" s="41">
        <f>SUMIFS('04 Payments'!$K$7:$K$400,'04 Payments'!$G$7:$G$400,$D111,'04 Payments'!$H$7:$H$400,"Booking Deposit")</f>
        <v>0</v>
      </c>
      <c r="N111" s="41">
        <f>SUMIFS('04 Payments'!$K$7:$K$400,'04 Payments'!$G$7:$G$400,$D111)</f>
        <v>0</v>
      </c>
      <c r="O111" s="41">
        <f t="shared" si="1"/>
        <v>0</v>
      </c>
      <c r="P111" s="54">
        <f>COUNTIFS('04 Payments'!$G$7:$G$400,$D111,'04 Payments'!$S$7:$S$400,"Overdue")</f>
        <v>0</v>
      </c>
      <c r="Q111" s="32"/>
      <c r="R111" s="32"/>
      <c r="S111" s="32"/>
      <c r="T111" s="55"/>
      <c r="U111" s="55"/>
      <c r="V111" s="55"/>
      <c r="W111" s="38"/>
      <c r="X111" s="32"/>
      <c r="Y111" s="24"/>
      <c r="Z111" s="32"/>
      <c r="AA111" s="32"/>
    </row>
    <row r="112" ht="16.5" customHeight="1">
      <c r="A112" s="1"/>
      <c r="B112" s="32"/>
      <c r="C112" s="32"/>
      <c r="D112" s="32"/>
      <c r="E112" s="32"/>
      <c r="F112" s="32"/>
      <c r="G112" s="32"/>
      <c r="H112" s="32"/>
      <c r="I112" s="32"/>
      <c r="J112" s="32"/>
      <c r="K112" s="38"/>
      <c r="L112" s="38"/>
      <c r="M112" s="41">
        <f>SUMIFS('04 Payments'!$K$7:$K$400,'04 Payments'!$G$7:$G$400,$D112,'04 Payments'!$H$7:$H$400,"Booking Deposit")</f>
        <v>0</v>
      </c>
      <c r="N112" s="41">
        <f>SUMIFS('04 Payments'!$K$7:$K$400,'04 Payments'!$G$7:$G$400,$D112)</f>
        <v>0</v>
      </c>
      <c r="O112" s="41">
        <f t="shared" si="1"/>
        <v>0</v>
      </c>
      <c r="P112" s="54">
        <f>COUNTIFS('04 Payments'!$G$7:$G$400,$D112,'04 Payments'!$S$7:$S$400,"Overdue")</f>
        <v>0</v>
      </c>
      <c r="Q112" s="32"/>
      <c r="R112" s="32"/>
      <c r="S112" s="32"/>
      <c r="T112" s="55"/>
      <c r="U112" s="55"/>
      <c r="V112" s="55"/>
      <c r="W112" s="38"/>
      <c r="X112" s="32"/>
      <c r="Y112" s="24"/>
      <c r="Z112" s="32"/>
      <c r="AA112" s="32"/>
    </row>
    <row r="113" ht="16.5" customHeight="1">
      <c r="A113" s="1"/>
      <c r="B113" s="32"/>
      <c r="C113" s="32"/>
      <c r="D113" s="32"/>
      <c r="E113" s="32"/>
      <c r="F113" s="32"/>
      <c r="G113" s="32"/>
      <c r="H113" s="32"/>
      <c r="I113" s="32"/>
      <c r="J113" s="32"/>
      <c r="K113" s="38"/>
      <c r="L113" s="38"/>
      <c r="M113" s="41">
        <f>SUMIFS('04 Payments'!$K$7:$K$400,'04 Payments'!$G$7:$G$400,$D113,'04 Payments'!$H$7:$H$400,"Booking Deposit")</f>
        <v>0</v>
      </c>
      <c r="N113" s="41">
        <f>SUMIFS('04 Payments'!$K$7:$K$400,'04 Payments'!$G$7:$G$400,$D113)</f>
        <v>0</v>
      </c>
      <c r="O113" s="41">
        <f t="shared" si="1"/>
        <v>0</v>
      </c>
      <c r="P113" s="54">
        <f>COUNTIFS('04 Payments'!$G$7:$G$400,$D113,'04 Payments'!$S$7:$S$400,"Overdue")</f>
        <v>0</v>
      </c>
      <c r="Q113" s="32"/>
      <c r="R113" s="32"/>
      <c r="S113" s="32"/>
      <c r="T113" s="55"/>
      <c r="U113" s="55"/>
      <c r="V113" s="55"/>
      <c r="W113" s="38"/>
      <c r="X113" s="32"/>
      <c r="Y113" s="24"/>
      <c r="Z113" s="32"/>
      <c r="AA113" s="32"/>
    </row>
    <row r="114" ht="16.5" customHeight="1">
      <c r="A114" s="1"/>
      <c r="B114" s="32"/>
      <c r="C114" s="32"/>
      <c r="D114" s="32"/>
      <c r="E114" s="32"/>
      <c r="F114" s="32"/>
      <c r="G114" s="32"/>
      <c r="H114" s="32"/>
      <c r="I114" s="32"/>
      <c r="J114" s="32"/>
      <c r="K114" s="38"/>
      <c r="L114" s="38"/>
      <c r="M114" s="41">
        <f>SUMIFS('04 Payments'!$K$7:$K$400,'04 Payments'!$G$7:$G$400,$D114,'04 Payments'!$H$7:$H$400,"Booking Deposit")</f>
        <v>0</v>
      </c>
      <c r="N114" s="41">
        <f>SUMIFS('04 Payments'!$K$7:$K$400,'04 Payments'!$G$7:$G$400,$D114)</f>
        <v>0</v>
      </c>
      <c r="O114" s="41">
        <f t="shared" si="1"/>
        <v>0</v>
      </c>
      <c r="P114" s="54">
        <f>COUNTIFS('04 Payments'!$G$7:$G$400,$D114,'04 Payments'!$S$7:$S$400,"Overdue")</f>
        <v>0</v>
      </c>
      <c r="Q114" s="32"/>
      <c r="R114" s="32"/>
      <c r="S114" s="32"/>
      <c r="T114" s="55"/>
      <c r="U114" s="55"/>
      <c r="V114" s="55"/>
      <c r="W114" s="38"/>
      <c r="X114" s="32"/>
      <c r="Y114" s="24"/>
      <c r="Z114" s="32"/>
      <c r="AA114" s="32"/>
    </row>
    <row r="115" ht="16.5" customHeight="1">
      <c r="A115" s="1"/>
      <c r="B115" s="32"/>
      <c r="C115" s="32"/>
      <c r="D115" s="32"/>
      <c r="E115" s="32"/>
      <c r="F115" s="32"/>
      <c r="G115" s="32"/>
      <c r="H115" s="32"/>
      <c r="I115" s="32"/>
      <c r="J115" s="32"/>
      <c r="K115" s="38"/>
      <c r="L115" s="38"/>
      <c r="M115" s="41">
        <f>SUMIFS('04 Payments'!$K$7:$K$400,'04 Payments'!$G$7:$G$400,$D115,'04 Payments'!$H$7:$H$400,"Booking Deposit")</f>
        <v>0</v>
      </c>
      <c r="N115" s="41">
        <f>SUMIFS('04 Payments'!$K$7:$K$400,'04 Payments'!$G$7:$G$400,$D115)</f>
        <v>0</v>
      </c>
      <c r="O115" s="41">
        <f t="shared" si="1"/>
        <v>0</v>
      </c>
      <c r="P115" s="54">
        <f>COUNTIFS('04 Payments'!$G$7:$G$400,$D115,'04 Payments'!$S$7:$S$400,"Overdue")</f>
        <v>0</v>
      </c>
      <c r="Q115" s="32"/>
      <c r="R115" s="32"/>
      <c r="S115" s="32"/>
      <c r="T115" s="55"/>
      <c r="U115" s="55"/>
      <c r="V115" s="55"/>
      <c r="W115" s="38"/>
      <c r="X115" s="32"/>
      <c r="Y115" s="24"/>
      <c r="Z115" s="32"/>
      <c r="AA115" s="32"/>
    </row>
    <row r="116" ht="16.5" customHeight="1">
      <c r="A116" s="1"/>
      <c r="B116" s="32"/>
      <c r="C116" s="32"/>
      <c r="D116" s="32"/>
      <c r="E116" s="32"/>
      <c r="F116" s="32"/>
      <c r="G116" s="32"/>
      <c r="H116" s="32"/>
      <c r="I116" s="32"/>
      <c r="J116" s="32"/>
      <c r="K116" s="38"/>
      <c r="L116" s="38"/>
      <c r="M116" s="41">
        <f>SUMIFS('04 Payments'!$K$7:$K$400,'04 Payments'!$G$7:$G$400,$D116,'04 Payments'!$H$7:$H$400,"Booking Deposit")</f>
        <v>0</v>
      </c>
      <c r="N116" s="41">
        <f>SUMIFS('04 Payments'!$K$7:$K$400,'04 Payments'!$G$7:$G$400,$D116)</f>
        <v>0</v>
      </c>
      <c r="O116" s="41">
        <f t="shared" si="1"/>
        <v>0</v>
      </c>
      <c r="P116" s="54">
        <f>COUNTIFS('04 Payments'!$G$7:$G$400,$D116,'04 Payments'!$S$7:$S$400,"Overdue")</f>
        <v>0</v>
      </c>
      <c r="Q116" s="32"/>
      <c r="R116" s="32"/>
      <c r="S116" s="32"/>
      <c r="T116" s="55"/>
      <c r="U116" s="55"/>
      <c r="V116" s="55"/>
      <c r="W116" s="38"/>
      <c r="X116" s="32"/>
      <c r="Y116" s="24"/>
      <c r="Z116" s="32"/>
      <c r="AA116" s="32"/>
    </row>
    <row r="117" ht="16.5" customHeight="1">
      <c r="A117" s="1"/>
      <c r="B117" s="32"/>
      <c r="C117" s="32"/>
      <c r="D117" s="32"/>
      <c r="E117" s="32"/>
      <c r="F117" s="32"/>
      <c r="G117" s="32"/>
      <c r="H117" s="32"/>
      <c r="I117" s="32"/>
      <c r="J117" s="32"/>
      <c r="K117" s="38"/>
      <c r="L117" s="38"/>
      <c r="M117" s="41">
        <f>SUMIFS('04 Payments'!$K$7:$K$400,'04 Payments'!$G$7:$G$400,$D117,'04 Payments'!$H$7:$H$400,"Booking Deposit")</f>
        <v>0</v>
      </c>
      <c r="N117" s="41">
        <f>SUMIFS('04 Payments'!$K$7:$K$400,'04 Payments'!$G$7:$G$400,$D117)</f>
        <v>0</v>
      </c>
      <c r="O117" s="41">
        <f t="shared" si="1"/>
        <v>0</v>
      </c>
      <c r="P117" s="54">
        <f>COUNTIFS('04 Payments'!$G$7:$G$400,$D117,'04 Payments'!$S$7:$S$400,"Overdue")</f>
        <v>0</v>
      </c>
      <c r="Q117" s="32"/>
      <c r="R117" s="32"/>
      <c r="S117" s="32"/>
      <c r="T117" s="55"/>
      <c r="U117" s="55"/>
      <c r="V117" s="55"/>
      <c r="W117" s="38"/>
      <c r="X117" s="32"/>
      <c r="Y117" s="24"/>
      <c r="Z117" s="32"/>
      <c r="AA117" s="32"/>
    </row>
    <row r="118" ht="16.5" customHeight="1">
      <c r="A118" s="1"/>
      <c r="B118" s="32"/>
      <c r="C118" s="32"/>
      <c r="D118" s="32"/>
      <c r="E118" s="32"/>
      <c r="F118" s="32"/>
      <c r="G118" s="32"/>
      <c r="H118" s="32"/>
      <c r="I118" s="32"/>
      <c r="J118" s="32"/>
      <c r="K118" s="38"/>
      <c r="L118" s="38"/>
      <c r="M118" s="41">
        <f>SUMIFS('04 Payments'!$K$7:$K$400,'04 Payments'!$G$7:$G$400,$D118,'04 Payments'!$H$7:$H$400,"Booking Deposit")</f>
        <v>0</v>
      </c>
      <c r="N118" s="41">
        <f>SUMIFS('04 Payments'!$K$7:$K$400,'04 Payments'!$G$7:$G$400,$D118)</f>
        <v>0</v>
      </c>
      <c r="O118" s="41">
        <f t="shared" si="1"/>
        <v>0</v>
      </c>
      <c r="P118" s="54">
        <f>COUNTIFS('04 Payments'!$G$7:$G$400,$D118,'04 Payments'!$S$7:$S$400,"Overdue")</f>
        <v>0</v>
      </c>
      <c r="Q118" s="32"/>
      <c r="R118" s="32"/>
      <c r="S118" s="32"/>
      <c r="T118" s="55"/>
      <c r="U118" s="55"/>
      <c r="V118" s="55"/>
      <c r="W118" s="38"/>
      <c r="X118" s="32"/>
      <c r="Y118" s="24"/>
      <c r="Z118" s="32"/>
      <c r="AA118" s="32"/>
    </row>
    <row r="119" ht="16.5" customHeight="1">
      <c r="A119" s="1"/>
      <c r="B119" s="32"/>
      <c r="C119" s="32"/>
      <c r="D119" s="32"/>
      <c r="E119" s="32"/>
      <c r="F119" s="32"/>
      <c r="G119" s="32"/>
      <c r="H119" s="32"/>
      <c r="I119" s="32"/>
      <c r="J119" s="32"/>
      <c r="K119" s="38"/>
      <c r="L119" s="38"/>
      <c r="M119" s="41">
        <f>SUMIFS('04 Payments'!$K$7:$K$400,'04 Payments'!$G$7:$G$400,$D119,'04 Payments'!$H$7:$H$400,"Booking Deposit")</f>
        <v>0</v>
      </c>
      <c r="N119" s="41">
        <f>SUMIFS('04 Payments'!$K$7:$K$400,'04 Payments'!$G$7:$G$400,$D119)</f>
        <v>0</v>
      </c>
      <c r="O119" s="41">
        <f t="shared" si="1"/>
        <v>0</v>
      </c>
      <c r="P119" s="54">
        <f>COUNTIFS('04 Payments'!$G$7:$G$400,$D119,'04 Payments'!$S$7:$S$400,"Overdue")</f>
        <v>0</v>
      </c>
      <c r="Q119" s="32"/>
      <c r="R119" s="32"/>
      <c r="S119" s="32"/>
      <c r="T119" s="55"/>
      <c r="U119" s="55"/>
      <c r="V119" s="55"/>
      <c r="W119" s="38"/>
      <c r="X119" s="32"/>
      <c r="Y119" s="24"/>
      <c r="Z119" s="32"/>
      <c r="AA119" s="32"/>
    </row>
    <row r="120" ht="16.5" customHeight="1">
      <c r="A120" s="1"/>
      <c r="B120" s="32"/>
      <c r="C120" s="32"/>
      <c r="D120" s="32"/>
      <c r="E120" s="32"/>
      <c r="F120" s="32"/>
      <c r="G120" s="32"/>
      <c r="H120" s="32"/>
      <c r="I120" s="32"/>
      <c r="J120" s="32"/>
      <c r="K120" s="38"/>
      <c r="L120" s="38"/>
      <c r="M120" s="41">
        <f>SUMIFS('04 Payments'!$K$7:$K$400,'04 Payments'!$G$7:$G$400,$D120,'04 Payments'!$H$7:$H$400,"Booking Deposit")</f>
        <v>0</v>
      </c>
      <c r="N120" s="41">
        <f>SUMIFS('04 Payments'!$K$7:$K$400,'04 Payments'!$G$7:$G$400,$D120)</f>
        <v>0</v>
      </c>
      <c r="O120" s="41">
        <f t="shared" si="1"/>
        <v>0</v>
      </c>
      <c r="P120" s="54">
        <f>COUNTIFS('04 Payments'!$G$7:$G$400,$D120,'04 Payments'!$S$7:$S$400,"Overdue")</f>
        <v>0</v>
      </c>
      <c r="Q120" s="32"/>
      <c r="R120" s="32"/>
      <c r="S120" s="32"/>
      <c r="T120" s="55"/>
      <c r="U120" s="55"/>
      <c r="V120" s="55"/>
      <c r="W120" s="38"/>
      <c r="X120" s="32"/>
      <c r="Y120" s="24"/>
      <c r="Z120" s="32"/>
      <c r="AA120" s="32"/>
    </row>
    <row r="121" ht="16.5" customHeight="1">
      <c r="A121" s="1"/>
      <c r="B121" s="32"/>
      <c r="C121" s="32"/>
      <c r="D121" s="32"/>
      <c r="E121" s="32"/>
      <c r="F121" s="32"/>
      <c r="G121" s="32"/>
      <c r="H121" s="32"/>
      <c r="I121" s="32"/>
      <c r="J121" s="32"/>
      <c r="K121" s="38"/>
      <c r="L121" s="38"/>
      <c r="M121" s="41">
        <f>SUMIFS('04 Payments'!$K$7:$K$400,'04 Payments'!$G$7:$G$400,$D121,'04 Payments'!$H$7:$H$400,"Booking Deposit")</f>
        <v>0</v>
      </c>
      <c r="N121" s="41">
        <f>SUMIFS('04 Payments'!$K$7:$K$400,'04 Payments'!$G$7:$G$400,$D121)</f>
        <v>0</v>
      </c>
      <c r="O121" s="41">
        <f t="shared" si="1"/>
        <v>0</v>
      </c>
      <c r="P121" s="54">
        <f>COUNTIFS('04 Payments'!$G$7:$G$400,$D121,'04 Payments'!$S$7:$S$400,"Overdue")</f>
        <v>0</v>
      </c>
      <c r="Q121" s="32"/>
      <c r="R121" s="32"/>
      <c r="S121" s="32"/>
      <c r="T121" s="55"/>
      <c r="U121" s="55"/>
      <c r="V121" s="55"/>
      <c r="W121" s="38"/>
      <c r="X121" s="32"/>
      <c r="Y121" s="24"/>
      <c r="Z121" s="32"/>
      <c r="AA121" s="32"/>
    </row>
    <row r="122" ht="16.5" customHeight="1">
      <c r="A122" s="1"/>
      <c r="B122" s="32"/>
      <c r="C122" s="32"/>
      <c r="D122" s="32"/>
      <c r="E122" s="32"/>
      <c r="F122" s="32"/>
      <c r="G122" s="32"/>
      <c r="H122" s="32"/>
      <c r="I122" s="32"/>
      <c r="J122" s="32"/>
      <c r="K122" s="38"/>
      <c r="L122" s="38"/>
      <c r="M122" s="41">
        <f>SUMIFS('04 Payments'!$K$7:$K$400,'04 Payments'!$G$7:$G$400,$D122,'04 Payments'!$H$7:$H$400,"Booking Deposit")</f>
        <v>0</v>
      </c>
      <c r="N122" s="41">
        <f>SUMIFS('04 Payments'!$K$7:$K$400,'04 Payments'!$G$7:$G$400,$D122)</f>
        <v>0</v>
      </c>
      <c r="O122" s="41">
        <f t="shared" si="1"/>
        <v>0</v>
      </c>
      <c r="P122" s="54">
        <f>COUNTIFS('04 Payments'!$G$7:$G$400,$D122,'04 Payments'!$S$7:$S$400,"Overdue")</f>
        <v>0</v>
      </c>
      <c r="Q122" s="32"/>
      <c r="R122" s="32"/>
      <c r="S122" s="32"/>
      <c r="T122" s="55"/>
      <c r="U122" s="55"/>
      <c r="V122" s="55"/>
      <c r="W122" s="38"/>
      <c r="X122" s="32"/>
      <c r="Y122" s="24"/>
      <c r="Z122" s="32"/>
      <c r="AA122" s="32"/>
    </row>
    <row r="123" ht="16.5" customHeight="1">
      <c r="A123" s="1"/>
      <c r="B123" s="32"/>
      <c r="C123" s="32"/>
      <c r="D123" s="32"/>
      <c r="E123" s="32"/>
      <c r="F123" s="32"/>
      <c r="G123" s="32"/>
      <c r="H123" s="32"/>
      <c r="I123" s="32"/>
      <c r="J123" s="32"/>
      <c r="K123" s="38"/>
      <c r="L123" s="38"/>
      <c r="M123" s="41">
        <f>SUMIFS('04 Payments'!$K$7:$K$400,'04 Payments'!$G$7:$G$400,$D123,'04 Payments'!$H$7:$H$400,"Booking Deposit")</f>
        <v>0</v>
      </c>
      <c r="N123" s="41">
        <f>SUMIFS('04 Payments'!$K$7:$K$400,'04 Payments'!$G$7:$G$400,$D123)</f>
        <v>0</v>
      </c>
      <c r="O123" s="41">
        <f t="shared" si="1"/>
        <v>0</v>
      </c>
      <c r="P123" s="54">
        <f>COUNTIFS('04 Payments'!$G$7:$G$400,$D123,'04 Payments'!$S$7:$S$400,"Overdue")</f>
        <v>0</v>
      </c>
      <c r="Q123" s="32"/>
      <c r="R123" s="32"/>
      <c r="S123" s="32"/>
      <c r="T123" s="55"/>
      <c r="U123" s="55"/>
      <c r="V123" s="55"/>
      <c r="W123" s="38"/>
      <c r="X123" s="32"/>
      <c r="Y123" s="24"/>
      <c r="Z123" s="32"/>
      <c r="AA123" s="32"/>
    </row>
    <row r="124" ht="16.5" customHeight="1">
      <c r="A124" s="1"/>
      <c r="B124" s="32"/>
      <c r="C124" s="32"/>
      <c r="D124" s="32"/>
      <c r="E124" s="32"/>
      <c r="F124" s="32"/>
      <c r="G124" s="32"/>
      <c r="H124" s="32"/>
      <c r="I124" s="32"/>
      <c r="J124" s="32"/>
      <c r="K124" s="38"/>
      <c r="L124" s="38"/>
      <c r="M124" s="41">
        <f>SUMIFS('04 Payments'!$K$7:$K$400,'04 Payments'!$G$7:$G$400,$D124,'04 Payments'!$H$7:$H$400,"Booking Deposit")</f>
        <v>0</v>
      </c>
      <c r="N124" s="41">
        <f>SUMIFS('04 Payments'!$K$7:$K$400,'04 Payments'!$G$7:$G$400,$D124)</f>
        <v>0</v>
      </c>
      <c r="O124" s="41">
        <f t="shared" si="1"/>
        <v>0</v>
      </c>
      <c r="P124" s="54">
        <f>COUNTIFS('04 Payments'!$G$7:$G$400,$D124,'04 Payments'!$S$7:$S$400,"Overdue")</f>
        <v>0</v>
      </c>
      <c r="Q124" s="32"/>
      <c r="R124" s="32"/>
      <c r="S124" s="32"/>
      <c r="T124" s="55"/>
      <c r="U124" s="55"/>
      <c r="V124" s="55"/>
      <c r="W124" s="38"/>
      <c r="X124" s="32"/>
      <c r="Y124" s="24"/>
      <c r="Z124" s="32"/>
      <c r="AA124" s="32"/>
    </row>
    <row r="125" ht="16.5" customHeight="1">
      <c r="A125" s="1"/>
      <c r="B125" s="32"/>
      <c r="C125" s="32"/>
      <c r="D125" s="32"/>
      <c r="E125" s="32"/>
      <c r="F125" s="32"/>
      <c r="G125" s="32"/>
      <c r="H125" s="32"/>
      <c r="I125" s="32"/>
      <c r="J125" s="32"/>
      <c r="K125" s="38"/>
      <c r="L125" s="38"/>
      <c r="M125" s="41">
        <f>SUMIFS('04 Payments'!$K$7:$K$400,'04 Payments'!$G$7:$G$400,$D125,'04 Payments'!$H$7:$H$400,"Booking Deposit")</f>
        <v>0</v>
      </c>
      <c r="N125" s="41">
        <f>SUMIFS('04 Payments'!$K$7:$K$400,'04 Payments'!$G$7:$G$400,$D125)</f>
        <v>0</v>
      </c>
      <c r="O125" s="41">
        <f t="shared" si="1"/>
        <v>0</v>
      </c>
      <c r="P125" s="54">
        <f>COUNTIFS('04 Payments'!$G$7:$G$400,$D125,'04 Payments'!$S$7:$S$400,"Overdue")</f>
        <v>0</v>
      </c>
      <c r="Q125" s="32"/>
      <c r="R125" s="32"/>
      <c r="S125" s="32"/>
      <c r="T125" s="55"/>
      <c r="U125" s="55"/>
      <c r="V125" s="55"/>
      <c r="W125" s="38"/>
      <c r="X125" s="32"/>
      <c r="Y125" s="24"/>
      <c r="Z125" s="32"/>
      <c r="AA125" s="32"/>
    </row>
    <row r="126" ht="16.5" customHeight="1">
      <c r="A126" s="1"/>
      <c r="B126" s="32"/>
      <c r="C126" s="32"/>
      <c r="D126" s="32"/>
      <c r="E126" s="32"/>
      <c r="F126" s="32"/>
      <c r="G126" s="32"/>
      <c r="H126" s="32"/>
      <c r="I126" s="32"/>
      <c r="J126" s="32"/>
      <c r="K126" s="38"/>
      <c r="L126" s="38"/>
      <c r="M126" s="41">
        <f>SUMIFS('04 Payments'!$K$7:$K$400,'04 Payments'!$G$7:$G$400,$D126,'04 Payments'!$H$7:$H$400,"Booking Deposit")</f>
        <v>0</v>
      </c>
      <c r="N126" s="41">
        <f>SUMIFS('04 Payments'!$K$7:$K$400,'04 Payments'!$G$7:$G$400,$D126)</f>
        <v>0</v>
      </c>
      <c r="O126" s="41">
        <f t="shared" si="1"/>
        <v>0</v>
      </c>
      <c r="P126" s="54">
        <f>COUNTIFS('04 Payments'!$G$7:$G$400,$D126,'04 Payments'!$S$7:$S$400,"Overdue")</f>
        <v>0</v>
      </c>
      <c r="Q126" s="32"/>
      <c r="R126" s="32"/>
      <c r="S126" s="32"/>
      <c r="T126" s="55"/>
      <c r="U126" s="55"/>
      <c r="V126" s="55"/>
      <c r="W126" s="38"/>
      <c r="X126" s="32"/>
      <c r="Y126" s="24"/>
      <c r="Z126" s="32"/>
      <c r="AA126" s="32"/>
    </row>
    <row r="127" ht="16.5" customHeight="1">
      <c r="A127" s="1"/>
      <c r="B127" s="32"/>
      <c r="C127" s="32"/>
      <c r="D127" s="32"/>
      <c r="E127" s="32"/>
      <c r="F127" s="32"/>
      <c r="G127" s="32"/>
      <c r="H127" s="32"/>
      <c r="I127" s="32"/>
      <c r="J127" s="32"/>
      <c r="K127" s="38"/>
      <c r="L127" s="38"/>
      <c r="M127" s="41">
        <f>SUMIFS('04 Payments'!$K$7:$K$400,'04 Payments'!$G$7:$G$400,$D127,'04 Payments'!$H$7:$H$400,"Booking Deposit")</f>
        <v>0</v>
      </c>
      <c r="N127" s="41">
        <f>SUMIFS('04 Payments'!$K$7:$K$400,'04 Payments'!$G$7:$G$400,$D127)</f>
        <v>0</v>
      </c>
      <c r="O127" s="41">
        <f t="shared" si="1"/>
        <v>0</v>
      </c>
      <c r="P127" s="54">
        <f>COUNTIFS('04 Payments'!$G$7:$G$400,$D127,'04 Payments'!$S$7:$S$400,"Overdue")</f>
        <v>0</v>
      </c>
      <c r="Q127" s="32"/>
      <c r="R127" s="32"/>
      <c r="S127" s="32"/>
      <c r="T127" s="55"/>
      <c r="U127" s="55"/>
      <c r="V127" s="55"/>
      <c r="W127" s="38"/>
      <c r="X127" s="32"/>
      <c r="Y127" s="24"/>
      <c r="Z127" s="32"/>
      <c r="AA127" s="32"/>
    </row>
    <row r="128" ht="16.5" customHeight="1">
      <c r="A128" s="1"/>
      <c r="B128" s="32"/>
      <c r="C128" s="32"/>
      <c r="D128" s="32"/>
      <c r="E128" s="32"/>
      <c r="F128" s="32"/>
      <c r="G128" s="32"/>
      <c r="H128" s="32"/>
      <c r="I128" s="32"/>
      <c r="J128" s="32"/>
      <c r="K128" s="38"/>
      <c r="L128" s="38"/>
      <c r="M128" s="41">
        <f>SUMIFS('04 Payments'!$K$7:$K$400,'04 Payments'!$G$7:$G$400,$D128,'04 Payments'!$H$7:$H$400,"Booking Deposit")</f>
        <v>0</v>
      </c>
      <c r="N128" s="41">
        <f>SUMIFS('04 Payments'!$K$7:$K$400,'04 Payments'!$G$7:$G$400,$D128)</f>
        <v>0</v>
      </c>
      <c r="O128" s="41">
        <f t="shared" si="1"/>
        <v>0</v>
      </c>
      <c r="P128" s="54">
        <f>COUNTIFS('04 Payments'!$G$7:$G$400,$D128,'04 Payments'!$S$7:$S$400,"Overdue")</f>
        <v>0</v>
      </c>
      <c r="Q128" s="32"/>
      <c r="R128" s="32"/>
      <c r="S128" s="32"/>
      <c r="T128" s="55"/>
      <c r="U128" s="55"/>
      <c r="V128" s="55"/>
      <c r="W128" s="38"/>
      <c r="X128" s="32"/>
      <c r="Y128" s="24"/>
      <c r="Z128" s="32"/>
      <c r="AA128" s="32"/>
    </row>
    <row r="129" ht="16.5" customHeight="1">
      <c r="A129" s="1"/>
      <c r="B129" s="32"/>
      <c r="C129" s="32"/>
      <c r="D129" s="32"/>
      <c r="E129" s="32"/>
      <c r="F129" s="32"/>
      <c r="G129" s="32"/>
      <c r="H129" s="32"/>
      <c r="I129" s="32"/>
      <c r="J129" s="32"/>
      <c r="K129" s="38"/>
      <c r="L129" s="38"/>
      <c r="M129" s="41">
        <f>SUMIFS('04 Payments'!$K$7:$K$400,'04 Payments'!$G$7:$G$400,$D129,'04 Payments'!$H$7:$H$400,"Booking Deposit")</f>
        <v>0</v>
      </c>
      <c r="N129" s="41">
        <f>SUMIFS('04 Payments'!$K$7:$K$400,'04 Payments'!$G$7:$G$400,$D129)</f>
        <v>0</v>
      </c>
      <c r="O129" s="41">
        <f t="shared" si="1"/>
        <v>0</v>
      </c>
      <c r="P129" s="54">
        <f>COUNTIFS('04 Payments'!$G$7:$G$400,$D129,'04 Payments'!$S$7:$S$400,"Overdue")</f>
        <v>0</v>
      </c>
      <c r="Q129" s="32"/>
      <c r="R129" s="32"/>
      <c r="S129" s="32"/>
      <c r="T129" s="55"/>
      <c r="U129" s="55"/>
      <c r="V129" s="55"/>
      <c r="W129" s="38"/>
      <c r="X129" s="32"/>
      <c r="Y129" s="24"/>
      <c r="Z129" s="32"/>
      <c r="AA129" s="32"/>
    </row>
    <row r="130" ht="16.5" customHeight="1">
      <c r="A130" s="1"/>
      <c r="B130" s="32"/>
      <c r="C130" s="32"/>
      <c r="D130" s="32"/>
      <c r="E130" s="32"/>
      <c r="F130" s="32"/>
      <c r="G130" s="32"/>
      <c r="H130" s="32"/>
      <c r="I130" s="32"/>
      <c r="J130" s="32"/>
      <c r="K130" s="38"/>
      <c r="L130" s="38"/>
      <c r="M130" s="41">
        <f>SUMIFS('04 Payments'!$K$7:$K$400,'04 Payments'!$G$7:$G$400,$D130,'04 Payments'!$H$7:$H$400,"Booking Deposit")</f>
        <v>0</v>
      </c>
      <c r="N130" s="41">
        <f>SUMIFS('04 Payments'!$K$7:$K$400,'04 Payments'!$G$7:$G$400,$D130)</f>
        <v>0</v>
      </c>
      <c r="O130" s="41">
        <f t="shared" si="1"/>
        <v>0</v>
      </c>
      <c r="P130" s="54">
        <f>COUNTIFS('04 Payments'!$G$7:$G$400,$D130,'04 Payments'!$S$7:$S$400,"Overdue")</f>
        <v>0</v>
      </c>
      <c r="Q130" s="32"/>
      <c r="R130" s="32"/>
      <c r="S130" s="32"/>
      <c r="T130" s="55"/>
      <c r="U130" s="55"/>
      <c r="V130" s="55"/>
      <c r="W130" s="38"/>
      <c r="X130" s="32"/>
      <c r="Y130" s="24"/>
      <c r="Z130" s="32"/>
      <c r="AA130" s="32"/>
    </row>
    <row r="131" ht="16.5" customHeight="1">
      <c r="A131" s="1"/>
      <c r="B131" s="32"/>
      <c r="C131" s="32"/>
      <c r="D131" s="32"/>
      <c r="E131" s="32"/>
      <c r="F131" s="32"/>
      <c r="G131" s="32"/>
      <c r="H131" s="32"/>
      <c r="I131" s="32"/>
      <c r="J131" s="32"/>
      <c r="K131" s="38"/>
      <c r="L131" s="38"/>
      <c r="M131" s="41">
        <f>SUMIFS('04 Payments'!$K$7:$K$400,'04 Payments'!$G$7:$G$400,$D131,'04 Payments'!$H$7:$H$400,"Booking Deposit")</f>
        <v>0</v>
      </c>
      <c r="N131" s="41">
        <f>SUMIFS('04 Payments'!$K$7:$K$400,'04 Payments'!$G$7:$G$400,$D131)</f>
        <v>0</v>
      </c>
      <c r="O131" s="41">
        <f t="shared" si="1"/>
        <v>0</v>
      </c>
      <c r="P131" s="54">
        <f>COUNTIFS('04 Payments'!$G$7:$G$400,$D131,'04 Payments'!$S$7:$S$400,"Overdue")</f>
        <v>0</v>
      </c>
      <c r="Q131" s="32"/>
      <c r="R131" s="32"/>
      <c r="S131" s="32"/>
      <c r="T131" s="55"/>
      <c r="U131" s="55"/>
      <c r="V131" s="55"/>
      <c r="W131" s="38"/>
      <c r="X131" s="32"/>
      <c r="Y131" s="24"/>
      <c r="Z131" s="32"/>
      <c r="AA131" s="32"/>
    </row>
    <row r="132" ht="16.5" customHeight="1">
      <c r="A132" s="1"/>
      <c r="B132" s="32"/>
      <c r="C132" s="32"/>
      <c r="D132" s="32"/>
      <c r="E132" s="32"/>
      <c r="F132" s="32"/>
      <c r="G132" s="32"/>
      <c r="H132" s="32"/>
      <c r="I132" s="32"/>
      <c r="J132" s="32"/>
      <c r="K132" s="38"/>
      <c r="L132" s="38"/>
      <c r="M132" s="41">
        <f>SUMIFS('04 Payments'!$K$7:$K$400,'04 Payments'!$G$7:$G$400,$D132,'04 Payments'!$H$7:$H$400,"Booking Deposit")</f>
        <v>0</v>
      </c>
      <c r="N132" s="41">
        <f>SUMIFS('04 Payments'!$K$7:$K$400,'04 Payments'!$G$7:$G$400,$D132)</f>
        <v>0</v>
      </c>
      <c r="O132" s="41">
        <f t="shared" si="1"/>
        <v>0</v>
      </c>
      <c r="P132" s="54">
        <f>COUNTIFS('04 Payments'!$G$7:$G$400,$D132,'04 Payments'!$S$7:$S$400,"Overdue")</f>
        <v>0</v>
      </c>
      <c r="Q132" s="32"/>
      <c r="R132" s="32"/>
      <c r="S132" s="32"/>
      <c r="T132" s="55"/>
      <c r="U132" s="55"/>
      <c r="V132" s="55"/>
      <c r="W132" s="38"/>
      <c r="X132" s="32"/>
      <c r="Y132" s="24"/>
      <c r="Z132" s="32"/>
      <c r="AA132" s="32"/>
    </row>
    <row r="133" ht="16.5" customHeight="1">
      <c r="A133" s="1"/>
      <c r="B133" s="32"/>
      <c r="C133" s="32"/>
      <c r="D133" s="32"/>
      <c r="E133" s="32"/>
      <c r="F133" s="32"/>
      <c r="G133" s="32"/>
      <c r="H133" s="32"/>
      <c r="I133" s="32"/>
      <c r="J133" s="32"/>
      <c r="K133" s="38"/>
      <c r="L133" s="38"/>
      <c r="M133" s="41">
        <f>SUMIFS('04 Payments'!$K$7:$K$400,'04 Payments'!$G$7:$G$400,$D133,'04 Payments'!$H$7:$H$400,"Booking Deposit")</f>
        <v>0</v>
      </c>
      <c r="N133" s="41">
        <f>SUMIFS('04 Payments'!$K$7:$K$400,'04 Payments'!$G$7:$G$400,$D133)</f>
        <v>0</v>
      </c>
      <c r="O133" s="41">
        <f t="shared" si="1"/>
        <v>0</v>
      </c>
      <c r="P133" s="54">
        <f>COUNTIFS('04 Payments'!$G$7:$G$400,$D133,'04 Payments'!$S$7:$S$400,"Overdue")</f>
        <v>0</v>
      </c>
      <c r="Q133" s="32"/>
      <c r="R133" s="32"/>
      <c r="S133" s="32"/>
      <c r="T133" s="55"/>
      <c r="U133" s="55"/>
      <c r="V133" s="55"/>
      <c r="W133" s="38"/>
      <c r="X133" s="32"/>
      <c r="Y133" s="24"/>
      <c r="Z133" s="32"/>
      <c r="AA133" s="32"/>
    </row>
    <row r="134" ht="16.5" customHeight="1">
      <c r="A134" s="1"/>
      <c r="B134" s="32"/>
      <c r="C134" s="32"/>
      <c r="D134" s="32"/>
      <c r="E134" s="32"/>
      <c r="F134" s="32"/>
      <c r="G134" s="32"/>
      <c r="H134" s="32"/>
      <c r="I134" s="32"/>
      <c r="J134" s="32"/>
      <c r="K134" s="38"/>
      <c r="L134" s="38"/>
      <c r="M134" s="41">
        <f>SUMIFS('04 Payments'!$K$7:$K$400,'04 Payments'!$G$7:$G$400,$D134,'04 Payments'!$H$7:$H$400,"Booking Deposit")</f>
        <v>0</v>
      </c>
      <c r="N134" s="41">
        <f>SUMIFS('04 Payments'!$K$7:$K$400,'04 Payments'!$G$7:$G$400,$D134)</f>
        <v>0</v>
      </c>
      <c r="O134" s="41">
        <f t="shared" si="1"/>
        <v>0</v>
      </c>
      <c r="P134" s="54">
        <f>COUNTIFS('04 Payments'!$G$7:$G$400,$D134,'04 Payments'!$S$7:$S$400,"Overdue")</f>
        <v>0</v>
      </c>
      <c r="Q134" s="32"/>
      <c r="R134" s="32"/>
      <c r="S134" s="32"/>
      <c r="T134" s="55"/>
      <c r="U134" s="55"/>
      <c r="V134" s="55"/>
      <c r="W134" s="38"/>
      <c r="X134" s="32"/>
      <c r="Y134" s="24"/>
      <c r="Z134" s="32"/>
      <c r="AA134" s="32"/>
    </row>
    <row r="135" ht="16.5" customHeight="1">
      <c r="A135" s="1"/>
      <c r="B135" s="32"/>
      <c r="C135" s="32"/>
      <c r="D135" s="32"/>
      <c r="E135" s="32"/>
      <c r="F135" s="32"/>
      <c r="G135" s="32"/>
      <c r="H135" s="32"/>
      <c r="I135" s="32"/>
      <c r="J135" s="32"/>
      <c r="K135" s="38"/>
      <c r="L135" s="38"/>
      <c r="M135" s="41">
        <f>SUMIFS('04 Payments'!$K$7:$K$400,'04 Payments'!$G$7:$G$400,$D135,'04 Payments'!$H$7:$H$400,"Booking Deposit")</f>
        <v>0</v>
      </c>
      <c r="N135" s="41">
        <f>SUMIFS('04 Payments'!$K$7:$K$400,'04 Payments'!$G$7:$G$400,$D135)</f>
        <v>0</v>
      </c>
      <c r="O135" s="41">
        <f t="shared" si="1"/>
        <v>0</v>
      </c>
      <c r="P135" s="54">
        <f>COUNTIFS('04 Payments'!$G$7:$G$400,$D135,'04 Payments'!$S$7:$S$400,"Overdue")</f>
        <v>0</v>
      </c>
      <c r="Q135" s="32"/>
      <c r="R135" s="32"/>
      <c r="S135" s="32"/>
      <c r="T135" s="55"/>
      <c r="U135" s="55"/>
      <c r="V135" s="55"/>
      <c r="W135" s="38"/>
      <c r="X135" s="32"/>
      <c r="Y135" s="24"/>
      <c r="Z135" s="32"/>
      <c r="AA135" s="32"/>
    </row>
    <row r="136" ht="16.5" customHeight="1">
      <c r="A136" s="1"/>
      <c r="B136" s="32"/>
      <c r="C136" s="32"/>
      <c r="D136" s="32"/>
      <c r="E136" s="32"/>
      <c r="F136" s="32"/>
      <c r="G136" s="32"/>
      <c r="H136" s="32"/>
      <c r="I136" s="32"/>
      <c r="J136" s="32"/>
      <c r="K136" s="38"/>
      <c r="L136" s="38"/>
      <c r="M136" s="41">
        <f>SUMIFS('04 Payments'!$K$7:$K$400,'04 Payments'!$G$7:$G$400,$D136,'04 Payments'!$H$7:$H$400,"Booking Deposit")</f>
        <v>0</v>
      </c>
      <c r="N136" s="41">
        <f>SUMIFS('04 Payments'!$K$7:$K$400,'04 Payments'!$G$7:$G$400,$D136)</f>
        <v>0</v>
      </c>
      <c r="O136" s="41">
        <f t="shared" si="1"/>
        <v>0</v>
      </c>
      <c r="P136" s="54">
        <f>COUNTIFS('04 Payments'!$G$7:$G$400,$D136,'04 Payments'!$S$7:$S$400,"Overdue")</f>
        <v>0</v>
      </c>
      <c r="Q136" s="32"/>
      <c r="R136" s="32"/>
      <c r="S136" s="32"/>
      <c r="T136" s="55"/>
      <c r="U136" s="55"/>
      <c r="V136" s="55"/>
      <c r="W136" s="38"/>
      <c r="X136" s="32"/>
      <c r="Y136" s="24"/>
      <c r="Z136" s="32"/>
      <c r="AA136" s="32"/>
    </row>
    <row r="137" ht="16.5" customHeight="1">
      <c r="A137" s="1"/>
      <c r="B137" s="32"/>
      <c r="C137" s="32"/>
      <c r="D137" s="32"/>
      <c r="E137" s="32"/>
      <c r="F137" s="32"/>
      <c r="G137" s="32"/>
      <c r="H137" s="32"/>
      <c r="I137" s="32"/>
      <c r="J137" s="32"/>
      <c r="K137" s="38"/>
      <c r="L137" s="38"/>
      <c r="M137" s="41">
        <f>SUMIFS('04 Payments'!$K$7:$K$400,'04 Payments'!$G$7:$G$400,$D137,'04 Payments'!$H$7:$H$400,"Booking Deposit")</f>
        <v>0</v>
      </c>
      <c r="N137" s="41">
        <f>SUMIFS('04 Payments'!$K$7:$K$400,'04 Payments'!$G$7:$G$400,$D137)</f>
        <v>0</v>
      </c>
      <c r="O137" s="41">
        <f t="shared" si="1"/>
        <v>0</v>
      </c>
      <c r="P137" s="54">
        <f>COUNTIFS('04 Payments'!$G$7:$G$400,$D137,'04 Payments'!$S$7:$S$400,"Overdue")</f>
        <v>0</v>
      </c>
      <c r="Q137" s="32"/>
      <c r="R137" s="32"/>
      <c r="S137" s="32"/>
      <c r="T137" s="55"/>
      <c r="U137" s="55"/>
      <c r="V137" s="55"/>
      <c r="W137" s="38"/>
      <c r="X137" s="32"/>
      <c r="Y137" s="24"/>
      <c r="Z137" s="32"/>
      <c r="AA137" s="32"/>
    </row>
    <row r="138" ht="16.5" customHeight="1">
      <c r="A138" s="1"/>
      <c r="B138" s="32"/>
      <c r="C138" s="32"/>
      <c r="D138" s="32"/>
      <c r="E138" s="32"/>
      <c r="F138" s="32"/>
      <c r="G138" s="32"/>
      <c r="H138" s="32"/>
      <c r="I138" s="32"/>
      <c r="J138" s="32"/>
      <c r="K138" s="38"/>
      <c r="L138" s="38"/>
      <c r="M138" s="41">
        <f>SUMIFS('04 Payments'!$K$7:$K$400,'04 Payments'!$G$7:$G$400,$D138,'04 Payments'!$H$7:$H$400,"Booking Deposit")</f>
        <v>0</v>
      </c>
      <c r="N138" s="41">
        <f>SUMIFS('04 Payments'!$K$7:$K$400,'04 Payments'!$G$7:$G$400,$D138)</f>
        <v>0</v>
      </c>
      <c r="O138" s="41">
        <f t="shared" si="1"/>
        <v>0</v>
      </c>
      <c r="P138" s="54">
        <f>COUNTIFS('04 Payments'!$G$7:$G$400,$D138,'04 Payments'!$S$7:$S$400,"Overdue")</f>
        <v>0</v>
      </c>
      <c r="Q138" s="32"/>
      <c r="R138" s="32"/>
      <c r="S138" s="32"/>
      <c r="T138" s="55"/>
      <c r="U138" s="55"/>
      <c r="V138" s="55"/>
      <c r="W138" s="38"/>
      <c r="X138" s="32"/>
      <c r="Y138" s="24"/>
      <c r="Z138" s="32"/>
      <c r="AA138" s="32"/>
    </row>
    <row r="139" ht="16.5" customHeight="1">
      <c r="A139" s="1"/>
      <c r="B139" s="32"/>
      <c r="C139" s="32"/>
      <c r="D139" s="32"/>
      <c r="E139" s="32"/>
      <c r="F139" s="32"/>
      <c r="G139" s="32"/>
      <c r="H139" s="32"/>
      <c r="I139" s="32"/>
      <c r="J139" s="32"/>
      <c r="K139" s="38"/>
      <c r="L139" s="38"/>
      <c r="M139" s="41">
        <f>SUMIFS('04 Payments'!$K$7:$K$400,'04 Payments'!$G$7:$G$400,$D139,'04 Payments'!$H$7:$H$400,"Booking Deposit")</f>
        <v>0</v>
      </c>
      <c r="N139" s="41">
        <f>SUMIFS('04 Payments'!$K$7:$K$400,'04 Payments'!$G$7:$G$400,$D139)</f>
        <v>0</v>
      </c>
      <c r="O139" s="41">
        <f t="shared" si="1"/>
        <v>0</v>
      </c>
      <c r="P139" s="54">
        <f>COUNTIFS('04 Payments'!$G$7:$G$400,$D139,'04 Payments'!$S$7:$S$400,"Overdue")</f>
        <v>0</v>
      </c>
      <c r="Q139" s="32"/>
      <c r="R139" s="32"/>
      <c r="S139" s="32"/>
      <c r="T139" s="55"/>
      <c r="U139" s="55"/>
      <c r="V139" s="55"/>
      <c r="W139" s="38"/>
      <c r="X139" s="32"/>
      <c r="Y139" s="24"/>
      <c r="Z139" s="32"/>
      <c r="AA139" s="32"/>
    </row>
    <row r="140" ht="16.5" customHeight="1">
      <c r="A140" s="1"/>
      <c r="B140" s="32"/>
      <c r="C140" s="32"/>
      <c r="D140" s="32"/>
      <c r="E140" s="32"/>
      <c r="F140" s="32"/>
      <c r="G140" s="32"/>
      <c r="H140" s="32"/>
      <c r="I140" s="32"/>
      <c r="J140" s="32"/>
      <c r="K140" s="38"/>
      <c r="L140" s="38"/>
      <c r="M140" s="41">
        <f>SUMIFS('04 Payments'!$K$7:$K$400,'04 Payments'!$G$7:$G$400,$D140,'04 Payments'!$H$7:$H$400,"Booking Deposit")</f>
        <v>0</v>
      </c>
      <c r="N140" s="41">
        <f>SUMIFS('04 Payments'!$K$7:$K$400,'04 Payments'!$G$7:$G$400,$D140)</f>
        <v>0</v>
      </c>
      <c r="O140" s="41">
        <f t="shared" si="1"/>
        <v>0</v>
      </c>
      <c r="P140" s="54">
        <f>COUNTIFS('04 Payments'!$G$7:$G$400,$D140,'04 Payments'!$S$7:$S$400,"Overdue")</f>
        <v>0</v>
      </c>
      <c r="Q140" s="32"/>
      <c r="R140" s="32"/>
      <c r="S140" s="32"/>
      <c r="T140" s="55"/>
      <c r="U140" s="55"/>
      <c r="V140" s="55"/>
      <c r="W140" s="38"/>
      <c r="X140" s="32"/>
      <c r="Y140" s="24"/>
      <c r="Z140" s="32"/>
      <c r="AA140" s="32"/>
    </row>
    <row r="141" ht="16.5" customHeight="1">
      <c r="A141" s="1"/>
      <c r="B141" s="32"/>
      <c r="C141" s="32"/>
      <c r="D141" s="32"/>
      <c r="E141" s="32"/>
      <c r="F141" s="32"/>
      <c r="G141" s="32"/>
      <c r="H141" s="32"/>
      <c r="I141" s="32"/>
      <c r="J141" s="32"/>
      <c r="K141" s="38"/>
      <c r="L141" s="38"/>
      <c r="M141" s="41">
        <f>SUMIFS('04 Payments'!$K$7:$K$400,'04 Payments'!$G$7:$G$400,$D141,'04 Payments'!$H$7:$H$400,"Booking Deposit")</f>
        <v>0</v>
      </c>
      <c r="N141" s="41">
        <f>SUMIFS('04 Payments'!$K$7:$K$400,'04 Payments'!$G$7:$G$400,$D141)</f>
        <v>0</v>
      </c>
      <c r="O141" s="41">
        <f t="shared" si="1"/>
        <v>0</v>
      </c>
      <c r="P141" s="54">
        <f>COUNTIFS('04 Payments'!$G$7:$G$400,$D141,'04 Payments'!$S$7:$S$400,"Overdue")</f>
        <v>0</v>
      </c>
      <c r="Q141" s="32"/>
      <c r="R141" s="32"/>
      <c r="S141" s="32"/>
      <c r="T141" s="55"/>
      <c r="U141" s="55"/>
      <c r="V141" s="55"/>
      <c r="W141" s="38"/>
      <c r="X141" s="32"/>
      <c r="Y141" s="24"/>
      <c r="Z141" s="32"/>
      <c r="AA141" s="32"/>
    </row>
    <row r="142" ht="16.5" customHeight="1">
      <c r="A142" s="1"/>
      <c r="B142" s="32"/>
      <c r="C142" s="32"/>
      <c r="D142" s="32"/>
      <c r="E142" s="32"/>
      <c r="F142" s="32"/>
      <c r="G142" s="32"/>
      <c r="H142" s="32"/>
      <c r="I142" s="32"/>
      <c r="J142" s="32"/>
      <c r="K142" s="38"/>
      <c r="L142" s="38"/>
      <c r="M142" s="41">
        <f>SUMIFS('04 Payments'!$K$7:$K$400,'04 Payments'!$G$7:$G$400,$D142,'04 Payments'!$H$7:$H$400,"Booking Deposit")</f>
        <v>0</v>
      </c>
      <c r="N142" s="41">
        <f>SUMIFS('04 Payments'!$K$7:$K$400,'04 Payments'!$G$7:$G$400,$D142)</f>
        <v>0</v>
      </c>
      <c r="O142" s="41">
        <f t="shared" si="1"/>
        <v>0</v>
      </c>
      <c r="P142" s="54">
        <f>COUNTIFS('04 Payments'!$G$7:$G$400,$D142,'04 Payments'!$S$7:$S$400,"Overdue")</f>
        <v>0</v>
      </c>
      <c r="Q142" s="32"/>
      <c r="R142" s="32"/>
      <c r="S142" s="32"/>
      <c r="T142" s="55"/>
      <c r="U142" s="55"/>
      <c r="V142" s="55"/>
      <c r="W142" s="38"/>
      <c r="X142" s="32"/>
      <c r="Y142" s="24"/>
      <c r="Z142" s="32"/>
      <c r="AA142" s="32"/>
    </row>
    <row r="143" ht="16.5" customHeight="1">
      <c r="A143" s="1"/>
      <c r="B143" s="32"/>
      <c r="C143" s="32"/>
      <c r="D143" s="32"/>
      <c r="E143" s="32"/>
      <c r="F143" s="32"/>
      <c r="G143" s="32"/>
      <c r="H143" s="32"/>
      <c r="I143" s="32"/>
      <c r="J143" s="32"/>
      <c r="K143" s="38"/>
      <c r="L143" s="38"/>
      <c r="M143" s="41">
        <f>SUMIFS('04 Payments'!$K$7:$K$400,'04 Payments'!$G$7:$G$400,$D143,'04 Payments'!$H$7:$H$400,"Booking Deposit")</f>
        <v>0</v>
      </c>
      <c r="N143" s="41">
        <f>SUMIFS('04 Payments'!$K$7:$K$400,'04 Payments'!$G$7:$G$400,$D143)</f>
        <v>0</v>
      </c>
      <c r="O143" s="41">
        <f t="shared" si="1"/>
        <v>0</v>
      </c>
      <c r="P143" s="54">
        <f>COUNTIFS('04 Payments'!$G$7:$G$400,$D143,'04 Payments'!$S$7:$S$400,"Overdue")</f>
        <v>0</v>
      </c>
      <c r="Q143" s="32"/>
      <c r="R143" s="32"/>
      <c r="S143" s="32"/>
      <c r="T143" s="55"/>
      <c r="U143" s="55"/>
      <c r="V143" s="55"/>
      <c r="W143" s="38"/>
      <c r="X143" s="32"/>
      <c r="Y143" s="24"/>
      <c r="Z143" s="32"/>
      <c r="AA143" s="32"/>
    </row>
    <row r="144" ht="16.5" customHeight="1">
      <c r="A144" s="1"/>
      <c r="B144" s="32"/>
      <c r="C144" s="32"/>
      <c r="D144" s="32"/>
      <c r="E144" s="32"/>
      <c r="F144" s="32"/>
      <c r="G144" s="32"/>
      <c r="H144" s="32"/>
      <c r="I144" s="32"/>
      <c r="J144" s="32"/>
      <c r="K144" s="38"/>
      <c r="L144" s="38"/>
      <c r="M144" s="41">
        <f>SUMIFS('04 Payments'!$K$7:$K$400,'04 Payments'!$G$7:$G$400,$D144,'04 Payments'!$H$7:$H$400,"Booking Deposit")</f>
        <v>0</v>
      </c>
      <c r="N144" s="41">
        <f>SUMIFS('04 Payments'!$K$7:$K$400,'04 Payments'!$G$7:$G$400,$D144)</f>
        <v>0</v>
      </c>
      <c r="O144" s="41">
        <f t="shared" si="1"/>
        <v>0</v>
      </c>
      <c r="P144" s="54">
        <f>COUNTIFS('04 Payments'!$G$7:$G$400,$D144,'04 Payments'!$S$7:$S$400,"Overdue")</f>
        <v>0</v>
      </c>
      <c r="Q144" s="32"/>
      <c r="R144" s="32"/>
      <c r="S144" s="32"/>
      <c r="T144" s="55"/>
      <c r="U144" s="55"/>
      <c r="V144" s="55"/>
      <c r="W144" s="38"/>
      <c r="X144" s="32"/>
      <c r="Y144" s="24"/>
      <c r="Z144" s="32"/>
      <c r="AA144" s="32"/>
    </row>
    <row r="145" ht="16.5" customHeight="1">
      <c r="A145" s="1"/>
      <c r="B145" s="32"/>
      <c r="C145" s="32"/>
      <c r="D145" s="32"/>
      <c r="E145" s="32"/>
      <c r="F145" s="32"/>
      <c r="G145" s="32"/>
      <c r="H145" s="32"/>
      <c r="I145" s="32"/>
      <c r="J145" s="32"/>
      <c r="K145" s="38"/>
      <c r="L145" s="38"/>
      <c r="M145" s="41">
        <f>SUMIFS('04 Payments'!$K$7:$K$400,'04 Payments'!$G$7:$G$400,$D145,'04 Payments'!$H$7:$H$400,"Booking Deposit")</f>
        <v>0</v>
      </c>
      <c r="N145" s="41">
        <f>SUMIFS('04 Payments'!$K$7:$K$400,'04 Payments'!$G$7:$G$400,$D145)</f>
        <v>0</v>
      </c>
      <c r="O145" s="41">
        <f t="shared" si="1"/>
        <v>0</v>
      </c>
      <c r="P145" s="54">
        <f>COUNTIFS('04 Payments'!$G$7:$G$400,$D145,'04 Payments'!$S$7:$S$400,"Overdue")</f>
        <v>0</v>
      </c>
      <c r="Q145" s="32"/>
      <c r="R145" s="32"/>
      <c r="S145" s="32"/>
      <c r="T145" s="55"/>
      <c r="U145" s="55"/>
      <c r="V145" s="55"/>
      <c r="W145" s="38"/>
      <c r="X145" s="32"/>
      <c r="Y145" s="24"/>
      <c r="Z145" s="32"/>
      <c r="AA145" s="32"/>
    </row>
    <row r="146" ht="16.5" customHeight="1">
      <c r="A146" s="1"/>
      <c r="B146" s="32"/>
      <c r="C146" s="32"/>
      <c r="D146" s="32"/>
      <c r="E146" s="32"/>
      <c r="F146" s="32"/>
      <c r="G146" s="32"/>
      <c r="H146" s="32"/>
      <c r="I146" s="32"/>
      <c r="J146" s="32"/>
      <c r="K146" s="38"/>
      <c r="L146" s="38"/>
      <c r="M146" s="41">
        <f>SUMIFS('04 Payments'!$K$7:$K$400,'04 Payments'!$G$7:$G$400,$D146,'04 Payments'!$H$7:$H$400,"Booking Deposit")</f>
        <v>0</v>
      </c>
      <c r="N146" s="41">
        <f>SUMIFS('04 Payments'!$K$7:$K$400,'04 Payments'!$G$7:$G$400,$D146)</f>
        <v>0</v>
      </c>
      <c r="O146" s="41">
        <f t="shared" si="1"/>
        <v>0</v>
      </c>
      <c r="P146" s="54">
        <f>COUNTIFS('04 Payments'!$G$7:$G$400,$D146,'04 Payments'!$S$7:$S$400,"Overdue")</f>
        <v>0</v>
      </c>
      <c r="Q146" s="32"/>
      <c r="R146" s="32"/>
      <c r="S146" s="32"/>
      <c r="T146" s="55"/>
      <c r="U146" s="55"/>
      <c r="V146" s="55"/>
      <c r="W146" s="38"/>
      <c r="X146" s="32"/>
      <c r="Y146" s="24"/>
      <c r="Z146" s="32"/>
      <c r="AA146" s="32"/>
    </row>
    <row r="147" ht="16.5" customHeight="1">
      <c r="A147" s="1"/>
      <c r="B147" s="32"/>
      <c r="C147" s="32"/>
      <c r="D147" s="32"/>
      <c r="E147" s="32"/>
      <c r="F147" s="32"/>
      <c r="G147" s="32"/>
      <c r="H147" s="32"/>
      <c r="I147" s="32"/>
      <c r="J147" s="32"/>
      <c r="K147" s="38"/>
      <c r="L147" s="38"/>
      <c r="M147" s="41">
        <f>SUMIFS('04 Payments'!$K$7:$K$400,'04 Payments'!$G$7:$G$400,$D147,'04 Payments'!$H$7:$H$400,"Booking Deposit")</f>
        <v>0</v>
      </c>
      <c r="N147" s="41">
        <f>SUMIFS('04 Payments'!$K$7:$K$400,'04 Payments'!$G$7:$G$400,$D147)</f>
        <v>0</v>
      </c>
      <c r="O147" s="41">
        <f t="shared" si="1"/>
        <v>0</v>
      </c>
      <c r="P147" s="54">
        <f>COUNTIFS('04 Payments'!$G$7:$G$400,$D147,'04 Payments'!$S$7:$S$400,"Overdue")</f>
        <v>0</v>
      </c>
      <c r="Q147" s="32"/>
      <c r="R147" s="32"/>
      <c r="S147" s="32"/>
      <c r="T147" s="55"/>
      <c r="U147" s="55"/>
      <c r="V147" s="55"/>
      <c r="W147" s="38"/>
      <c r="X147" s="32"/>
      <c r="Y147" s="24"/>
      <c r="Z147" s="32"/>
      <c r="AA147" s="32"/>
    </row>
    <row r="148" ht="16.5" customHeight="1">
      <c r="A148" s="1"/>
      <c r="B148" s="32"/>
      <c r="C148" s="32"/>
      <c r="D148" s="32"/>
      <c r="E148" s="32"/>
      <c r="F148" s="32"/>
      <c r="G148" s="32"/>
      <c r="H148" s="32"/>
      <c r="I148" s="32"/>
      <c r="J148" s="32"/>
      <c r="K148" s="38"/>
      <c r="L148" s="38"/>
      <c r="M148" s="41">
        <f>SUMIFS('04 Payments'!$K$7:$K$400,'04 Payments'!$G$7:$G$400,$D148,'04 Payments'!$H$7:$H$400,"Booking Deposit")</f>
        <v>0</v>
      </c>
      <c r="N148" s="41">
        <f>SUMIFS('04 Payments'!$K$7:$K$400,'04 Payments'!$G$7:$G$400,$D148)</f>
        <v>0</v>
      </c>
      <c r="O148" s="41">
        <f t="shared" si="1"/>
        <v>0</v>
      </c>
      <c r="P148" s="54">
        <f>COUNTIFS('04 Payments'!$G$7:$G$400,$D148,'04 Payments'!$S$7:$S$400,"Overdue")</f>
        <v>0</v>
      </c>
      <c r="Q148" s="32"/>
      <c r="R148" s="32"/>
      <c r="S148" s="32"/>
      <c r="T148" s="55"/>
      <c r="U148" s="55"/>
      <c r="V148" s="55"/>
      <c r="W148" s="38"/>
      <c r="X148" s="32"/>
      <c r="Y148" s="24"/>
      <c r="Z148" s="32"/>
      <c r="AA148" s="32"/>
    </row>
    <row r="149" ht="16.5" customHeight="1">
      <c r="A149" s="1"/>
      <c r="B149" s="32"/>
      <c r="C149" s="32"/>
      <c r="D149" s="32"/>
      <c r="E149" s="32"/>
      <c r="F149" s="32"/>
      <c r="G149" s="32"/>
      <c r="H149" s="32"/>
      <c r="I149" s="32"/>
      <c r="J149" s="32"/>
      <c r="K149" s="38"/>
      <c r="L149" s="38"/>
      <c r="M149" s="41">
        <f>SUMIFS('04 Payments'!$K$7:$K$400,'04 Payments'!$G$7:$G$400,$D149,'04 Payments'!$H$7:$H$400,"Booking Deposit")</f>
        <v>0</v>
      </c>
      <c r="N149" s="41">
        <f>SUMIFS('04 Payments'!$K$7:$K$400,'04 Payments'!$G$7:$G$400,$D149)</f>
        <v>0</v>
      </c>
      <c r="O149" s="41">
        <f t="shared" si="1"/>
        <v>0</v>
      </c>
      <c r="P149" s="54">
        <f>COUNTIFS('04 Payments'!$G$7:$G$400,$D149,'04 Payments'!$S$7:$S$400,"Overdue")</f>
        <v>0</v>
      </c>
      <c r="Q149" s="32"/>
      <c r="R149" s="32"/>
      <c r="S149" s="32"/>
      <c r="T149" s="55"/>
      <c r="U149" s="55"/>
      <c r="V149" s="55"/>
      <c r="W149" s="38"/>
      <c r="X149" s="32"/>
      <c r="Y149" s="24"/>
      <c r="Z149" s="32"/>
      <c r="AA149" s="32"/>
    </row>
    <row r="150" ht="16.5" customHeight="1">
      <c r="A150" s="1"/>
      <c r="B150" s="32"/>
      <c r="C150" s="32"/>
      <c r="D150" s="32"/>
      <c r="E150" s="32"/>
      <c r="F150" s="32"/>
      <c r="G150" s="32"/>
      <c r="H150" s="32"/>
      <c r="I150" s="32"/>
      <c r="J150" s="32"/>
      <c r="K150" s="38"/>
      <c r="L150" s="38"/>
      <c r="M150" s="41">
        <f>SUMIFS('04 Payments'!$K$7:$K$400,'04 Payments'!$G$7:$G$400,$D150,'04 Payments'!$H$7:$H$400,"Booking Deposit")</f>
        <v>0</v>
      </c>
      <c r="N150" s="41">
        <f>SUMIFS('04 Payments'!$K$7:$K$400,'04 Payments'!$G$7:$G$400,$D150)</f>
        <v>0</v>
      </c>
      <c r="O150" s="41">
        <f t="shared" si="1"/>
        <v>0</v>
      </c>
      <c r="P150" s="54">
        <f>COUNTIFS('04 Payments'!$G$7:$G$400,$D150,'04 Payments'!$S$7:$S$400,"Overdue")</f>
        <v>0</v>
      </c>
      <c r="Q150" s="32"/>
      <c r="R150" s="32"/>
      <c r="S150" s="32"/>
      <c r="T150" s="55"/>
      <c r="U150" s="55"/>
      <c r="V150" s="55"/>
      <c r="W150" s="38"/>
      <c r="X150" s="32"/>
      <c r="Y150" s="24"/>
      <c r="Z150" s="32"/>
      <c r="AA150" s="32"/>
    </row>
    <row r="151" ht="16.5" customHeight="1">
      <c r="A151" s="1"/>
      <c r="B151" s="32"/>
      <c r="C151" s="32"/>
      <c r="D151" s="32"/>
      <c r="E151" s="32"/>
      <c r="F151" s="32"/>
      <c r="G151" s="32"/>
      <c r="H151" s="32"/>
      <c r="I151" s="32"/>
      <c r="J151" s="32"/>
      <c r="K151" s="38"/>
      <c r="L151" s="38"/>
      <c r="M151" s="41">
        <f>SUMIFS('04 Payments'!$K$7:$K$400,'04 Payments'!$G$7:$G$400,$D151,'04 Payments'!$H$7:$H$400,"Booking Deposit")</f>
        <v>0</v>
      </c>
      <c r="N151" s="41">
        <f>SUMIFS('04 Payments'!$K$7:$K$400,'04 Payments'!$G$7:$G$400,$D151)</f>
        <v>0</v>
      </c>
      <c r="O151" s="41">
        <f t="shared" si="1"/>
        <v>0</v>
      </c>
      <c r="P151" s="54">
        <f>COUNTIFS('04 Payments'!$G$7:$G$400,$D151,'04 Payments'!$S$7:$S$400,"Overdue")</f>
        <v>0</v>
      </c>
      <c r="Q151" s="32"/>
      <c r="R151" s="32"/>
      <c r="S151" s="32"/>
      <c r="T151" s="55"/>
      <c r="U151" s="55"/>
      <c r="V151" s="55"/>
      <c r="W151" s="38"/>
      <c r="X151" s="32"/>
      <c r="Y151" s="24"/>
      <c r="Z151" s="32"/>
      <c r="AA151" s="32"/>
    </row>
    <row r="152" ht="16.5" customHeight="1">
      <c r="A152" s="1"/>
      <c r="B152" s="32"/>
      <c r="C152" s="32"/>
      <c r="D152" s="32"/>
      <c r="E152" s="32"/>
      <c r="F152" s="32"/>
      <c r="G152" s="32"/>
      <c r="H152" s="32"/>
      <c r="I152" s="32"/>
      <c r="J152" s="32"/>
      <c r="K152" s="38"/>
      <c r="L152" s="38"/>
      <c r="M152" s="41">
        <f>SUMIFS('04 Payments'!$K$7:$K$400,'04 Payments'!$G$7:$G$400,$D152,'04 Payments'!$H$7:$H$400,"Booking Deposit")</f>
        <v>0</v>
      </c>
      <c r="N152" s="41">
        <f>SUMIFS('04 Payments'!$K$7:$K$400,'04 Payments'!$G$7:$G$400,$D152)</f>
        <v>0</v>
      </c>
      <c r="O152" s="41">
        <f t="shared" si="1"/>
        <v>0</v>
      </c>
      <c r="P152" s="54">
        <f>COUNTIFS('04 Payments'!$G$7:$G$400,$D152,'04 Payments'!$S$7:$S$400,"Overdue")</f>
        <v>0</v>
      </c>
      <c r="Q152" s="32"/>
      <c r="R152" s="32"/>
      <c r="S152" s="32"/>
      <c r="T152" s="55"/>
      <c r="U152" s="55"/>
      <c r="V152" s="55"/>
      <c r="W152" s="38"/>
      <c r="X152" s="32"/>
      <c r="Y152" s="24"/>
      <c r="Z152" s="32"/>
      <c r="AA152" s="32"/>
    </row>
    <row r="153" ht="16.5" customHeight="1">
      <c r="A153" s="1"/>
      <c r="B153" s="32"/>
      <c r="C153" s="32"/>
      <c r="D153" s="32"/>
      <c r="E153" s="32"/>
      <c r="F153" s="32"/>
      <c r="G153" s="32"/>
      <c r="H153" s="32"/>
      <c r="I153" s="32"/>
      <c r="J153" s="32"/>
      <c r="K153" s="38"/>
      <c r="L153" s="38"/>
      <c r="M153" s="41">
        <f>SUMIFS('04 Payments'!$K$7:$K$400,'04 Payments'!$G$7:$G$400,$D153,'04 Payments'!$H$7:$H$400,"Booking Deposit")</f>
        <v>0</v>
      </c>
      <c r="N153" s="41">
        <f>SUMIFS('04 Payments'!$K$7:$K$400,'04 Payments'!$G$7:$G$400,$D153)</f>
        <v>0</v>
      </c>
      <c r="O153" s="41">
        <f t="shared" si="1"/>
        <v>0</v>
      </c>
      <c r="P153" s="54">
        <f>COUNTIFS('04 Payments'!$G$7:$G$400,$D153,'04 Payments'!$S$7:$S$400,"Overdue")</f>
        <v>0</v>
      </c>
      <c r="Q153" s="32"/>
      <c r="R153" s="32"/>
      <c r="S153" s="32"/>
      <c r="T153" s="55"/>
      <c r="U153" s="55"/>
      <c r="V153" s="55"/>
      <c r="W153" s="38"/>
      <c r="X153" s="32"/>
      <c r="Y153" s="24"/>
      <c r="Z153" s="32"/>
      <c r="AA153" s="32"/>
    </row>
    <row r="154" ht="16.5" customHeight="1">
      <c r="A154" s="1"/>
      <c r="B154" s="32"/>
      <c r="C154" s="32"/>
      <c r="D154" s="32"/>
      <c r="E154" s="32"/>
      <c r="F154" s="32"/>
      <c r="G154" s="32"/>
      <c r="H154" s="32"/>
      <c r="I154" s="32"/>
      <c r="J154" s="32"/>
      <c r="K154" s="38"/>
      <c r="L154" s="38"/>
      <c r="M154" s="41">
        <f>SUMIFS('04 Payments'!$K$7:$K$400,'04 Payments'!$G$7:$G$400,$D154,'04 Payments'!$H$7:$H$400,"Booking Deposit")</f>
        <v>0</v>
      </c>
      <c r="N154" s="41">
        <f>SUMIFS('04 Payments'!$K$7:$K$400,'04 Payments'!$G$7:$G$400,$D154)</f>
        <v>0</v>
      </c>
      <c r="O154" s="41">
        <f t="shared" si="1"/>
        <v>0</v>
      </c>
      <c r="P154" s="54">
        <f>COUNTIFS('04 Payments'!$G$7:$G$400,$D154,'04 Payments'!$S$7:$S$400,"Overdue")</f>
        <v>0</v>
      </c>
      <c r="Q154" s="32"/>
      <c r="R154" s="32"/>
      <c r="S154" s="32"/>
      <c r="T154" s="55"/>
      <c r="U154" s="55"/>
      <c r="V154" s="55"/>
      <c r="W154" s="38"/>
      <c r="X154" s="32"/>
      <c r="Y154" s="24"/>
      <c r="Z154" s="32"/>
      <c r="AA154" s="32"/>
    </row>
    <row r="155" ht="16.5" customHeight="1">
      <c r="A155" s="1"/>
      <c r="B155" s="32"/>
      <c r="C155" s="32"/>
      <c r="D155" s="32"/>
      <c r="E155" s="32"/>
      <c r="F155" s="32"/>
      <c r="G155" s="32"/>
      <c r="H155" s="32"/>
      <c r="I155" s="32"/>
      <c r="J155" s="32"/>
      <c r="K155" s="38"/>
      <c r="L155" s="38"/>
      <c r="M155" s="41">
        <f>SUMIFS('04 Payments'!$K$7:$K$400,'04 Payments'!$G$7:$G$400,$D155,'04 Payments'!$H$7:$H$400,"Booking Deposit")</f>
        <v>0</v>
      </c>
      <c r="N155" s="41">
        <f>SUMIFS('04 Payments'!$K$7:$K$400,'04 Payments'!$G$7:$G$400,$D155)</f>
        <v>0</v>
      </c>
      <c r="O155" s="41">
        <f t="shared" si="1"/>
        <v>0</v>
      </c>
      <c r="P155" s="54">
        <f>COUNTIFS('04 Payments'!$G$7:$G$400,$D155,'04 Payments'!$S$7:$S$400,"Overdue")</f>
        <v>0</v>
      </c>
      <c r="Q155" s="32"/>
      <c r="R155" s="32"/>
      <c r="S155" s="32"/>
      <c r="T155" s="55"/>
      <c r="U155" s="55"/>
      <c r="V155" s="55"/>
      <c r="W155" s="38"/>
      <c r="X155" s="32"/>
      <c r="Y155" s="24"/>
      <c r="Z155" s="32"/>
      <c r="AA155" s="32"/>
    </row>
    <row r="156" ht="16.5" customHeight="1">
      <c r="A156" s="1"/>
      <c r="B156" s="32"/>
      <c r="C156" s="32"/>
      <c r="D156" s="32"/>
      <c r="E156" s="32"/>
      <c r="F156" s="32"/>
      <c r="G156" s="32"/>
      <c r="H156" s="32"/>
      <c r="I156" s="32"/>
      <c r="J156" s="32"/>
      <c r="K156" s="38"/>
      <c r="L156" s="38"/>
      <c r="M156" s="41">
        <f>SUMIFS('04 Payments'!$K$7:$K$400,'04 Payments'!$G$7:$G$400,$D156,'04 Payments'!$H$7:$H$400,"Booking Deposit")</f>
        <v>0</v>
      </c>
      <c r="N156" s="41">
        <f>SUMIFS('04 Payments'!$K$7:$K$400,'04 Payments'!$G$7:$G$400,$D156)</f>
        <v>0</v>
      </c>
      <c r="O156" s="41">
        <f t="shared" si="1"/>
        <v>0</v>
      </c>
      <c r="P156" s="54">
        <f>COUNTIFS('04 Payments'!$G$7:$G$400,$D156,'04 Payments'!$S$7:$S$400,"Overdue")</f>
        <v>0</v>
      </c>
      <c r="Q156" s="32"/>
      <c r="R156" s="32"/>
      <c r="S156" s="32"/>
      <c r="T156" s="55"/>
      <c r="U156" s="55"/>
      <c r="V156" s="55"/>
      <c r="W156" s="38"/>
      <c r="X156" s="32"/>
      <c r="Y156" s="24"/>
      <c r="Z156" s="32"/>
      <c r="AA156" s="32"/>
    </row>
    <row r="157" ht="16.5" customHeight="1">
      <c r="A157" s="1"/>
      <c r="B157" s="32"/>
      <c r="C157" s="32"/>
      <c r="D157" s="32"/>
      <c r="E157" s="32"/>
      <c r="F157" s="32"/>
      <c r="G157" s="32"/>
      <c r="H157" s="32"/>
      <c r="I157" s="32"/>
      <c r="J157" s="32"/>
      <c r="K157" s="38"/>
      <c r="L157" s="38"/>
      <c r="M157" s="41">
        <f>SUMIFS('04 Payments'!$K$7:$K$400,'04 Payments'!$G$7:$G$400,$D157,'04 Payments'!$H$7:$H$400,"Booking Deposit")</f>
        <v>0</v>
      </c>
      <c r="N157" s="41">
        <f>SUMIFS('04 Payments'!$K$7:$K$400,'04 Payments'!$G$7:$G$400,$D157)</f>
        <v>0</v>
      </c>
      <c r="O157" s="41">
        <f t="shared" si="1"/>
        <v>0</v>
      </c>
      <c r="P157" s="54">
        <f>COUNTIFS('04 Payments'!$G$7:$G$400,$D157,'04 Payments'!$S$7:$S$400,"Overdue")</f>
        <v>0</v>
      </c>
      <c r="Q157" s="32"/>
      <c r="R157" s="32"/>
      <c r="S157" s="32"/>
      <c r="T157" s="55"/>
      <c r="U157" s="55"/>
      <c r="V157" s="55"/>
      <c r="W157" s="38"/>
      <c r="X157" s="32"/>
      <c r="Y157" s="24"/>
      <c r="Z157" s="32"/>
      <c r="AA157" s="32"/>
    </row>
    <row r="158" ht="16.5" customHeight="1">
      <c r="A158" s="1"/>
      <c r="B158" s="32"/>
      <c r="C158" s="32"/>
      <c r="D158" s="32"/>
      <c r="E158" s="32"/>
      <c r="F158" s="32"/>
      <c r="G158" s="32"/>
      <c r="H158" s="32"/>
      <c r="I158" s="32"/>
      <c r="J158" s="32"/>
      <c r="K158" s="38"/>
      <c r="L158" s="38"/>
      <c r="M158" s="41">
        <f>SUMIFS('04 Payments'!$K$7:$K$400,'04 Payments'!$G$7:$G$400,$D158,'04 Payments'!$H$7:$H$400,"Booking Deposit")</f>
        <v>0</v>
      </c>
      <c r="N158" s="41">
        <f>SUMIFS('04 Payments'!$K$7:$K$400,'04 Payments'!$G$7:$G$400,$D158)</f>
        <v>0</v>
      </c>
      <c r="O158" s="41">
        <f t="shared" si="1"/>
        <v>0</v>
      </c>
      <c r="P158" s="54">
        <f>COUNTIFS('04 Payments'!$G$7:$G$400,$D158,'04 Payments'!$S$7:$S$400,"Overdue")</f>
        <v>0</v>
      </c>
      <c r="Q158" s="32"/>
      <c r="R158" s="32"/>
      <c r="S158" s="32"/>
      <c r="T158" s="55"/>
      <c r="U158" s="55"/>
      <c r="V158" s="55"/>
      <c r="W158" s="38"/>
      <c r="X158" s="32"/>
      <c r="Y158" s="24"/>
      <c r="Z158" s="32"/>
      <c r="AA158" s="32"/>
    </row>
    <row r="159" ht="16.5" customHeight="1">
      <c r="A159" s="1"/>
      <c r="B159" s="32"/>
      <c r="C159" s="32"/>
      <c r="D159" s="32"/>
      <c r="E159" s="32"/>
      <c r="F159" s="32"/>
      <c r="G159" s="32"/>
      <c r="H159" s="32"/>
      <c r="I159" s="32"/>
      <c r="J159" s="32"/>
      <c r="K159" s="38"/>
      <c r="L159" s="38"/>
      <c r="M159" s="41">
        <f>SUMIFS('04 Payments'!$K$7:$K$400,'04 Payments'!$G$7:$G$400,$D159,'04 Payments'!$H$7:$H$400,"Booking Deposit")</f>
        <v>0</v>
      </c>
      <c r="N159" s="41">
        <f>SUMIFS('04 Payments'!$K$7:$K$400,'04 Payments'!$G$7:$G$400,$D159)</f>
        <v>0</v>
      </c>
      <c r="O159" s="41">
        <f t="shared" si="1"/>
        <v>0</v>
      </c>
      <c r="P159" s="54">
        <f>COUNTIFS('04 Payments'!$G$7:$G$400,$D159,'04 Payments'!$S$7:$S$400,"Overdue")</f>
        <v>0</v>
      </c>
      <c r="Q159" s="32"/>
      <c r="R159" s="32"/>
      <c r="S159" s="32"/>
      <c r="T159" s="55"/>
      <c r="U159" s="55"/>
      <c r="V159" s="55"/>
      <c r="W159" s="38"/>
      <c r="X159" s="32"/>
      <c r="Y159" s="24"/>
      <c r="Z159" s="32"/>
      <c r="AA159" s="32"/>
    </row>
    <row r="160" ht="16.5" customHeight="1">
      <c r="A160" s="1"/>
      <c r="B160" s="32"/>
      <c r="C160" s="32"/>
      <c r="D160" s="32"/>
      <c r="E160" s="32"/>
      <c r="F160" s="32"/>
      <c r="G160" s="32"/>
      <c r="H160" s="32"/>
      <c r="I160" s="32"/>
      <c r="J160" s="32"/>
      <c r="K160" s="38"/>
      <c r="L160" s="38"/>
      <c r="M160" s="41">
        <f>SUMIFS('04 Payments'!$K$7:$K$400,'04 Payments'!$G$7:$G$400,$D160,'04 Payments'!$H$7:$H$400,"Booking Deposit")</f>
        <v>0</v>
      </c>
      <c r="N160" s="41">
        <f>SUMIFS('04 Payments'!$K$7:$K$400,'04 Payments'!$G$7:$G$400,$D160)</f>
        <v>0</v>
      </c>
      <c r="O160" s="41">
        <f t="shared" si="1"/>
        <v>0</v>
      </c>
      <c r="P160" s="54">
        <f>COUNTIFS('04 Payments'!$G$7:$G$400,$D160,'04 Payments'!$S$7:$S$400,"Overdue")</f>
        <v>0</v>
      </c>
      <c r="Q160" s="32"/>
      <c r="R160" s="32"/>
      <c r="S160" s="32"/>
      <c r="T160" s="55"/>
      <c r="U160" s="55"/>
      <c r="V160" s="55"/>
      <c r="W160" s="38"/>
      <c r="X160" s="32"/>
      <c r="Y160" s="24"/>
      <c r="Z160" s="32"/>
      <c r="AA160" s="32"/>
    </row>
    <row r="161" ht="16.5" customHeight="1">
      <c r="A161" s="1"/>
      <c r="B161" s="32"/>
      <c r="C161" s="32"/>
      <c r="D161" s="32"/>
      <c r="E161" s="32"/>
      <c r="F161" s="32"/>
      <c r="G161" s="32"/>
      <c r="H161" s="32"/>
      <c r="I161" s="32"/>
      <c r="J161" s="32"/>
      <c r="K161" s="38"/>
      <c r="L161" s="38"/>
      <c r="M161" s="41">
        <f>SUMIFS('04 Payments'!$K$7:$K$400,'04 Payments'!$G$7:$G$400,$D161,'04 Payments'!$H$7:$H$400,"Booking Deposit")</f>
        <v>0</v>
      </c>
      <c r="N161" s="41">
        <f>SUMIFS('04 Payments'!$K$7:$K$400,'04 Payments'!$G$7:$G$400,$D161)</f>
        <v>0</v>
      </c>
      <c r="O161" s="41">
        <f t="shared" si="1"/>
        <v>0</v>
      </c>
      <c r="P161" s="54">
        <f>COUNTIFS('04 Payments'!$G$7:$G$400,$D161,'04 Payments'!$S$7:$S$400,"Overdue")</f>
        <v>0</v>
      </c>
      <c r="Q161" s="32"/>
      <c r="R161" s="32"/>
      <c r="S161" s="32"/>
      <c r="T161" s="55"/>
      <c r="U161" s="55"/>
      <c r="V161" s="55"/>
      <c r="W161" s="38"/>
      <c r="X161" s="32"/>
      <c r="Y161" s="24"/>
      <c r="Z161" s="32"/>
      <c r="AA161" s="32"/>
    </row>
    <row r="162" ht="16.5" customHeight="1">
      <c r="A162" s="1"/>
      <c r="B162" s="32"/>
      <c r="C162" s="32"/>
      <c r="D162" s="32"/>
      <c r="E162" s="32"/>
      <c r="F162" s="32"/>
      <c r="G162" s="32"/>
      <c r="H162" s="32"/>
      <c r="I162" s="32"/>
      <c r="J162" s="32"/>
      <c r="K162" s="38"/>
      <c r="L162" s="38"/>
      <c r="M162" s="41">
        <f>SUMIFS('04 Payments'!$K$7:$K$400,'04 Payments'!$G$7:$G$400,$D162,'04 Payments'!$H$7:$H$400,"Booking Deposit")</f>
        <v>0</v>
      </c>
      <c r="N162" s="41">
        <f>SUMIFS('04 Payments'!$K$7:$K$400,'04 Payments'!$G$7:$G$400,$D162)</f>
        <v>0</v>
      </c>
      <c r="O162" s="41">
        <f t="shared" si="1"/>
        <v>0</v>
      </c>
      <c r="P162" s="54">
        <f>COUNTIFS('04 Payments'!$G$7:$G$400,$D162,'04 Payments'!$S$7:$S$400,"Overdue")</f>
        <v>0</v>
      </c>
      <c r="Q162" s="32"/>
      <c r="R162" s="32"/>
      <c r="S162" s="32"/>
      <c r="T162" s="55"/>
      <c r="U162" s="55"/>
      <c r="V162" s="55"/>
      <c r="W162" s="38"/>
      <c r="X162" s="32"/>
      <c r="Y162" s="24"/>
      <c r="Z162" s="32"/>
      <c r="AA162" s="32"/>
    </row>
    <row r="163" ht="16.5" customHeight="1">
      <c r="A163" s="1"/>
      <c r="B163" s="32"/>
      <c r="C163" s="32"/>
      <c r="D163" s="32"/>
      <c r="E163" s="32"/>
      <c r="F163" s="32"/>
      <c r="G163" s="32"/>
      <c r="H163" s="32"/>
      <c r="I163" s="32"/>
      <c r="J163" s="32"/>
      <c r="K163" s="38"/>
      <c r="L163" s="38"/>
      <c r="M163" s="41">
        <f>SUMIFS('04 Payments'!$K$7:$K$400,'04 Payments'!$G$7:$G$400,$D163,'04 Payments'!$H$7:$H$400,"Booking Deposit")</f>
        <v>0</v>
      </c>
      <c r="N163" s="41">
        <f>SUMIFS('04 Payments'!$K$7:$K$400,'04 Payments'!$G$7:$G$400,$D163)</f>
        <v>0</v>
      </c>
      <c r="O163" s="41">
        <f t="shared" si="1"/>
        <v>0</v>
      </c>
      <c r="P163" s="54">
        <f>COUNTIFS('04 Payments'!$G$7:$G$400,$D163,'04 Payments'!$S$7:$S$400,"Overdue")</f>
        <v>0</v>
      </c>
      <c r="Q163" s="32"/>
      <c r="R163" s="32"/>
      <c r="S163" s="32"/>
      <c r="T163" s="55"/>
      <c r="U163" s="55"/>
      <c r="V163" s="55"/>
      <c r="W163" s="38"/>
      <c r="X163" s="32"/>
      <c r="Y163" s="24"/>
      <c r="Z163" s="32"/>
      <c r="AA163" s="32"/>
    </row>
    <row r="164" ht="16.5" customHeight="1">
      <c r="A164" s="1"/>
      <c r="B164" s="32"/>
      <c r="C164" s="32"/>
      <c r="D164" s="32"/>
      <c r="E164" s="32"/>
      <c r="F164" s="32"/>
      <c r="G164" s="32"/>
      <c r="H164" s="32"/>
      <c r="I164" s="32"/>
      <c r="J164" s="32"/>
      <c r="K164" s="38"/>
      <c r="L164" s="38"/>
      <c r="M164" s="41">
        <f>SUMIFS('04 Payments'!$K$7:$K$400,'04 Payments'!$G$7:$G$400,$D164,'04 Payments'!$H$7:$H$400,"Booking Deposit")</f>
        <v>0</v>
      </c>
      <c r="N164" s="41">
        <f>SUMIFS('04 Payments'!$K$7:$K$400,'04 Payments'!$G$7:$G$400,$D164)</f>
        <v>0</v>
      </c>
      <c r="O164" s="41">
        <f t="shared" si="1"/>
        <v>0</v>
      </c>
      <c r="P164" s="54">
        <f>COUNTIFS('04 Payments'!$G$7:$G$400,$D164,'04 Payments'!$S$7:$S$400,"Overdue")</f>
        <v>0</v>
      </c>
      <c r="Q164" s="32"/>
      <c r="R164" s="32"/>
      <c r="S164" s="32"/>
      <c r="T164" s="55"/>
      <c r="U164" s="55"/>
      <c r="V164" s="55"/>
      <c r="W164" s="38"/>
      <c r="X164" s="32"/>
      <c r="Y164" s="24"/>
      <c r="Z164" s="32"/>
      <c r="AA164" s="32"/>
    </row>
    <row r="165" ht="16.5" customHeight="1">
      <c r="A165" s="1"/>
      <c r="B165" s="32"/>
      <c r="C165" s="32"/>
      <c r="D165" s="32"/>
      <c r="E165" s="32"/>
      <c r="F165" s="32"/>
      <c r="G165" s="32"/>
      <c r="H165" s="32"/>
      <c r="I165" s="32"/>
      <c r="J165" s="32"/>
      <c r="K165" s="38"/>
      <c r="L165" s="38"/>
      <c r="M165" s="41">
        <f>SUMIFS('04 Payments'!$K$7:$K$400,'04 Payments'!$G$7:$G$400,$D165,'04 Payments'!$H$7:$H$400,"Booking Deposit")</f>
        <v>0</v>
      </c>
      <c r="N165" s="41">
        <f>SUMIFS('04 Payments'!$K$7:$K$400,'04 Payments'!$G$7:$G$400,$D165)</f>
        <v>0</v>
      </c>
      <c r="O165" s="41">
        <f t="shared" si="1"/>
        <v>0</v>
      </c>
      <c r="P165" s="54">
        <f>COUNTIFS('04 Payments'!$G$7:$G$400,$D165,'04 Payments'!$S$7:$S$400,"Overdue")</f>
        <v>0</v>
      </c>
      <c r="Q165" s="32"/>
      <c r="R165" s="32"/>
      <c r="S165" s="32"/>
      <c r="T165" s="55"/>
      <c r="U165" s="55"/>
      <c r="V165" s="55"/>
      <c r="W165" s="38"/>
      <c r="X165" s="32"/>
      <c r="Y165" s="24"/>
      <c r="Z165" s="32"/>
      <c r="AA165" s="32"/>
    </row>
    <row r="166" ht="16.5" customHeight="1">
      <c r="A166" s="1"/>
      <c r="B166" s="32"/>
      <c r="C166" s="32"/>
      <c r="D166" s="32"/>
      <c r="E166" s="32"/>
      <c r="F166" s="32"/>
      <c r="G166" s="32"/>
      <c r="H166" s="32"/>
      <c r="I166" s="32"/>
      <c r="J166" s="32"/>
      <c r="K166" s="38"/>
      <c r="L166" s="38"/>
      <c r="M166" s="41">
        <f>SUMIFS('04 Payments'!$K$7:$K$400,'04 Payments'!$G$7:$G$400,$D166,'04 Payments'!$H$7:$H$400,"Booking Deposit")</f>
        <v>0</v>
      </c>
      <c r="N166" s="41">
        <f>SUMIFS('04 Payments'!$K$7:$K$400,'04 Payments'!$G$7:$G$400,$D166)</f>
        <v>0</v>
      </c>
      <c r="O166" s="41">
        <f t="shared" si="1"/>
        <v>0</v>
      </c>
      <c r="P166" s="54">
        <f>COUNTIFS('04 Payments'!$G$7:$G$400,$D166,'04 Payments'!$S$7:$S$400,"Overdue")</f>
        <v>0</v>
      </c>
      <c r="Q166" s="32"/>
      <c r="R166" s="32"/>
      <c r="S166" s="32"/>
      <c r="T166" s="55"/>
      <c r="U166" s="55"/>
      <c r="V166" s="55"/>
      <c r="W166" s="38"/>
      <c r="X166" s="32"/>
      <c r="Y166" s="24"/>
      <c r="Z166" s="32"/>
      <c r="AA166" s="32"/>
    </row>
    <row r="167" ht="16.5" customHeight="1">
      <c r="A167" s="1"/>
      <c r="B167" s="32"/>
      <c r="C167" s="32"/>
      <c r="D167" s="32"/>
      <c r="E167" s="32"/>
      <c r="F167" s="32"/>
      <c r="G167" s="32"/>
      <c r="H167" s="32"/>
      <c r="I167" s="32"/>
      <c r="J167" s="32"/>
      <c r="K167" s="38"/>
      <c r="L167" s="38"/>
      <c r="M167" s="41">
        <f>SUMIFS('04 Payments'!$K$7:$K$400,'04 Payments'!$G$7:$G$400,$D167,'04 Payments'!$H$7:$H$400,"Booking Deposit")</f>
        <v>0</v>
      </c>
      <c r="N167" s="41">
        <f>SUMIFS('04 Payments'!$K$7:$K$400,'04 Payments'!$G$7:$G$400,$D167)</f>
        <v>0</v>
      </c>
      <c r="O167" s="41">
        <f t="shared" si="1"/>
        <v>0</v>
      </c>
      <c r="P167" s="54">
        <f>COUNTIFS('04 Payments'!$G$7:$G$400,$D167,'04 Payments'!$S$7:$S$400,"Overdue")</f>
        <v>0</v>
      </c>
      <c r="Q167" s="32"/>
      <c r="R167" s="32"/>
      <c r="S167" s="32"/>
      <c r="T167" s="55"/>
      <c r="U167" s="55"/>
      <c r="V167" s="55"/>
      <c r="W167" s="38"/>
      <c r="X167" s="32"/>
      <c r="Y167" s="24"/>
      <c r="Z167" s="32"/>
      <c r="AA167" s="32"/>
    </row>
    <row r="168" ht="16.5" customHeight="1">
      <c r="A168" s="1"/>
      <c r="B168" s="32"/>
      <c r="C168" s="32"/>
      <c r="D168" s="32"/>
      <c r="E168" s="32"/>
      <c r="F168" s="32"/>
      <c r="G168" s="32"/>
      <c r="H168" s="32"/>
      <c r="I168" s="32"/>
      <c r="J168" s="32"/>
      <c r="K168" s="38"/>
      <c r="L168" s="38"/>
      <c r="M168" s="41">
        <f>SUMIFS('04 Payments'!$K$7:$K$400,'04 Payments'!$G$7:$G$400,$D168,'04 Payments'!$H$7:$H$400,"Booking Deposit")</f>
        <v>0</v>
      </c>
      <c r="N168" s="41">
        <f>SUMIFS('04 Payments'!$K$7:$K$400,'04 Payments'!$G$7:$G$400,$D168)</f>
        <v>0</v>
      </c>
      <c r="O168" s="41">
        <f t="shared" si="1"/>
        <v>0</v>
      </c>
      <c r="P168" s="54">
        <f>COUNTIFS('04 Payments'!$G$7:$G$400,$D168,'04 Payments'!$S$7:$S$400,"Overdue")</f>
        <v>0</v>
      </c>
      <c r="Q168" s="32"/>
      <c r="R168" s="32"/>
      <c r="S168" s="32"/>
      <c r="T168" s="55"/>
      <c r="U168" s="55"/>
      <c r="V168" s="55"/>
      <c r="W168" s="38"/>
      <c r="X168" s="32"/>
      <c r="Y168" s="24"/>
      <c r="Z168" s="32"/>
      <c r="AA168" s="32"/>
    </row>
    <row r="169" ht="16.5" customHeight="1">
      <c r="A169" s="1"/>
      <c r="B169" s="32"/>
      <c r="C169" s="32"/>
      <c r="D169" s="32"/>
      <c r="E169" s="32"/>
      <c r="F169" s="32"/>
      <c r="G169" s="32"/>
      <c r="H169" s="32"/>
      <c r="I169" s="32"/>
      <c r="J169" s="32"/>
      <c r="K169" s="38"/>
      <c r="L169" s="38"/>
      <c r="M169" s="41">
        <f>SUMIFS('04 Payments'!$K$7:$K$400,'04 Payments'!$G$7:$G$400,$D169,'04 Payments'!$H$7:$H$400,"Booking Deposit")</f>
        <v>0</v>
      </c>
      <c r="N169" s="41">
        <f>SUMIFS('04 Payments'!$K$7:$K$400,'04 Payments'!$G$7:$G$400,$D169)</f>
        <v>0</v>
      </c>
      <c r="O169" s="41">
        <f t="shared" si="1"/>
        <v>0</v>
      </c>
      <c r="P169" s="54">
        <f>COUNTIFS('04 Payments'!$G$7:$G$400,$D169,'04 Payments'!$S$7:$S$400,"Overdue")</f>
        <v>0</v>
      </c>
      <c r="Q169" s="32"/>
      <c r="R169" s="32"/>
      <c r="S169" s="32"/>
      <c r="T169" s="55"/>
      <c r="U169" s="55"/>
      <c r="V169" s="55"/>
      <c r="W169" s="38"/>
      <c r="X169" s="32"/>
      <c r="Y169" s="24"/>
      <c r="Z169" s="32"/>
      <c r="AA169" s="32"/>
    </row>
    <row r="170" ht="16.5" customHeight="1">
      <c r="A170" s="1"/>
      <c r="B170" s="32"/>
      <c r="C170" s="32"/>
      <c r="D170" s="32"/>
      <c r="E170" s="32"/>
      <c r="F170" s="32"/>
      <c r="G170" s="32"/>
      <c r="H170" s="32"/>
      <c r="I170" s="32"/>
      <c r="J170" s="32"/>
      <c r="K170" s="38"/>
      <c r="L170" s="38"/>
      <c r="M170" s="41">
        <f>SUMIFS('04 Payments'!$K$7:$K$400,'04 Payments'!$G$7:$G$400,$D170,'04 Payments'!$H$7:$H$400,"Booking Deposit")</f>
        <v>0</v>
      </c>
      <c r="N170" s="41">
        <f>SUMIFS('04 Payments'!$K$7:$K$400,'04 Payments'!$G$7:$G$400,$D170)</f>
        <v>0</v>
      </c>
      <c r="O170" s="41">
        <f t="shared" si="1"/>
        <v>0</v>
      </c>
      <c r="P170" s="54">
        <f>COUNTIFS('04 Payments'!$G$7:$G$400,$D170,'04 Payments'!$S$7:$S$400,"Overdue")</f>
        <v>0</v>
      </c>
      <c r="Q170" s="32"/>
      <c r="R170" s="32"/>
      <c r="S170" s="32"/>
      <c r="T170" s="55"/>
      <c r="U170" s="55"/>
      <c r="V170" s="55"/>
      <c r="W170" s="38"/>
      <c r="X170" s="32"/>
      <c r="Y170" s="24"/>
      <c r="Z170" s="32"/>
      <c r="AA170" s="32"/>
    </row>
    <row r="171" ht="16.5" customHeight="1">
      <c r="A171" s="1"/>
      <c r="B171" s="32"/>
      <c r="C171" s="32"/>
      <c r="D171" s="32"/>
      <c r="E171" s="32"/>
      <c r="F171" s="32"/>
      <c r="G171" s="32"/>
      <c r="H171" s="32"/>
      <c r="I171" s="32"/>
      <c r="J171" s="32"/>
      <c r="K171" s="38"/>
      <c r="L171" s="38"/>
      <c r="M171" s="41">
        <f>SUMIFS('04 Payments'!$K$7:$K$400,'04 Payments'!$G$7:$G$400,$D171,'04 Payments'!$H$7:$H$400,"Booking Deposit")</f>
        <v>0</v>
      </c>
      <c r="N171" s="41">
        <f>SUMIFS('04 Payments'!$K$7:$K$400,'04 Payments'!$G$7:$G$400,$D171)</f>
        <v>0</v>
      </c>
      <c r="O171" s="41">
        <f t="shared" si="1"/>
        <v>0</v>
      </c>
      <c r="P171" s="54">
        <f>COUNTIFS('04 Payments'!$G$7:$G$400,$D171,'04 Payments'!$S$7:$S$400,"Overdue")</f>
        <v>0</v>
      </c>
      <c r="Q171" s="32"/>
      <c r="R171" s="32"/>
      <c r="S171" s="32"/>
      <c r="T171" s="55"/>
      <c r="U171" s="55"/>
      <c r="V171" s="55"/>
      <c r="W171" s="38"/>
      <c r="X171" s="32"/>
      <c r="Y171" s="24"/>
      <c r="Z171" s="32"/>
      <c r="AA171" s="32"/>
    </row>
    <row r="172" ht="16.5" customHeight="1">
      <c r="A172" s="1"/>
      <c r="B172" s="32"/>
      <c r="C172" s="32"/>
      <c r="D172" s="32"/>
      <c r="E172" s="32"/>
      <c r="F172" s="32"/>
      <c r="G172" s="32"/>
      <c r="H172" s="32"/>
      <c r="I172" s="32"/>
      <c r="J172" s="32"/>
      <c r="K172" s="38"/>
      <c r="L172" s="38"/>
      <c r="M172" s="41">
        <f>SUMIFS('04 Payments'!$K$7:$K$400,'04 Payments'!$G$7:$G$400,$D172,'04 Payments'!$H$7:$H$400,"Booking Deposit")</f>
        <v>0</v>
      </c>
      <c r="N172" s="41">
        <f>SUMIFS('04 Payments'!$K$7:$K$400,'04 Payments'!$G$7:$G$400,$D172)</f>
        <v>0</v>
      </c>
      <c r="O172" s="41">
        <f t="shared" si="1"/>
        <v>0</v>
      </c>
      <c r="P172" s="54">
        <f>COUNTIFS('04 Payments'!$G$7:$G$400,$D172,'04 Payments'!$S$7:$S$400,"Overdue")</f>
        <v>0</v>
      </c>
      <c r="Q172" s="32"/>
      <c r="R172" s="32"/>
      <c r="S172" s="32"/>
      <c r="T172" s="55"/>
      <c r="U172" s="55"/>
      <c r="V172" s="55"/>
      <c r="W172" s="38"/>
      <c r="X172" s="32"/>
      <c r="Y172" s="24"/>
      <c r="Z172" s="32"/>
      <c r="AA172" s="32"/>
    </row>
    <row r="173" ht="16.5" customHeight="1">
      <c r="A173" s="1"/>
      <c r="B173" s="32"/>
      <c r="C173" s="32"/>
      <c r="D173" s="32"/>
      <c r="E173" s="32"/>
      <c r="F173" s="32"/>
      <c r="G173" s="32"/>
      <c r="H173" s="32"/>
      <c r="I173" s="32"/>
      <c r="J173" s="32"/>
      <c r="K173" s="38"/>
      <c r="L173" s="38"/>
      <c r="M173" s="41">
        <f>SUMIFS('04 Payments'!$K$7:$K$400,'04 Payments'!$G$7:$G$400,$D173,'04 Payments'!$H$7:$H$400,"Booking Deposit")</f>
        <v>0</v>
      </c>
      <c r="N173" s="41">
        <f>SUMIFS('04 Payments'!$K$7:$K$400,'04 Payments'!$G$7:$G$400,$D173)</f>
        <v>0</v>
      </c>
      <c r="O173" s="41">
        <f t="shared" si="1"/>
        <v>0</v>
      </c>
      <c r="P173" s="54">
        <f>COUNTIFS('04 Payments'!$G$7:$G$400,$D173,'04 Payments'!$S$7:$S$400,"Overdue")</f>
        <v>0</v>
      </c>
      <c r="Q173" s="32"/>
      <c r="R173" s="32"/>
      <c r="S173" s="32"/>
      <c r="T173" s="55"/>
      <c r="U173" s="55"/>
      <c r="V173" s="55"/>
      <c r="W173" s="38"/>
      <c r="X173" s="32"/>
      <c r="Y173" s="24"/>
      <c r="Z173" s="32"/>
      <c r="AA173" s="32"/>
    </row>
    <row r="174" ht="16.5" customHeight="1">
      <c r="A174" s="1"/>
      <c r="B174" s="32"/>
      <c r="C174" s="32"/>
      <c r="D174" s="32"/>
      <c r="E174" s="32"/>
      <c r="F174" s="32"/>
      <c r="G174" s="32"/>
      <c r="H174" s="32"/>
      <c r="I174" s="32"/>
      <c r="J174" s="32"/>
      <c r="K174" s="38"/>
      <c r="L174" s="38"/>
      <c r="M174" s="41">
        <f>SUMIFS('04 Payments'!$K$7:$K$400,'04 Payments'!$G$7:$G$400,$D174,'04 Payments'!$H$7:$H$400,"Booking Deposit")</f>
        <v>0</v>
      </c>
      <c r="N174" s="41">
        <f>SUMIFS('04 Payments'!$K$7:$K$400,'04 Payments'!$G$7:$G$400,$D174)</f>
        <v>0</v>
      </c>
      <c r="O174" s="41">
        <f t="shared" si="1"/>
        <v>0</v>
      </c>
      <c r="P174" s="54">
        <f>COUNTIFS('04 Payments'!$G$7:$G$400,$D174,'04 Payments'!$S$7:$S$400,"Overdue")</f>
        <v>0</v>
      </c>
      <c r="Q174" s="32"/>
      <c r="R174" s="32"/>
      <c r="S174" s="32"/>
      <c r="T174" s="55"/>
      <c r="U174" s="55"/>
      <c r="V174" s="55"/>
      <c r="W174" s="38"/>
      <c r="X174" s="32"/>
      <c r="Y174" s="24"/>
      <c r="Z174" s="32"/>
      <c r="AA174" s="32"/>
    </row>
    <row r="175" ht="16.5" customHeight="1">
      <c r="A175" s="1"/>
      <c r="B175" s="32"/>
      <c r="C175" s="32"/>
      <c r="D175" s="32"/>
      <c r="E175" s="32"/>
      <c r="F175" s="32"/>
      <c r="G175" s="32"/>
      <c r="H175" s="32"/>
      <c r="I175" s="32"/>
      <c r="J175" s="32"/>
      <c r="K175" s="38"/>
      <c r="L175" s="38"/>
      <c r="M175" s="41">
        <f>SUMIFS('04 Payments'!$K$7:$K$400,'04 Payments'!$G$7:$G$400,$D175,'04 Payments'!$H$7:$H$400,"Booking Deposit")</f>
        <v>0</v>
      </c>
      <c r="N175" s="41">
        <f>SUMIFS('04 Payments'!$K$7:$K$400,'04 Payments'!$G$7:$G$400,$D175)</f>
        <v>0</v>
      </c>
      <c r="O175" s="41">
        <f t="shared" si="1"/>
        <v>0</v>
      </c>
      <c r="P175" s="54">
        <f>COUNTIFS('04 Payments'!$G$7:$G$400,$D175,'04 Payments'!$S$7:$S$400,"Overdue")</f>
        <v>0</v>
      </c>
      <c r="Q175" s="32"/>
      <c r="R175" s="32"/>
      <c r="S175" s="32"/>
      <c r="T175" s="55"/>
      <c r="U175" s="55"/>
      <c r="V175" s="55"/>
      <c r="W175" s="38"/>
      <c r="X175" s="32"/>
      <c r="Y175" s="24"/>
      <c r="Z175" s="32"/>
      <c r="AA175" s="32"/>
    </row>
    <row r="176" ht="16.5" customHeight="1">
      <c r="A176" s="1"/>
      <c r="B176" s="32"/>
      <c r="C176" s="32"/>
      <c r="D176" s="32"/>
      <c r="E176" s="32"/>
      <c r="F176" s="32"/>
      <c r="G176" s="32"/>
      <c r="H176" s="32"/>
      <c r="I176" s="32"/>
      <c r="J176" s="32"/>
      <c r="K176" s="38"/>
      <c r="L176" s="38"/>
      <c r="M176" s="41">
        <f>SUMIFS('04 Payments'!$K$7:$K$400,'04 Payments'!$G$7:$G$400,$D176,'04 Payments'!$H$7:$H$400,"Booking Deposit")</f>
        <v>0</v>
      </c>
      <c r="N176" s="41">
        <f>SUMIFS('04 Payments'!$K$7:$K$400,'04 Payments'!$G$7:$G$400,$D176)</f>
        <v>0</v>
      </c>
      <c r="O176" s="41">
        <f t="shared" si="1"/>
        <v>0</v>
      </c>
      <c r="P176" s="54">
        <f>COUNTIFS('04 Payments'!$G$7:$G$400,$D176,'04 Payments'!$S$7:$S$400,"Overdue")</f>
        <v>0</v>
      </c>
      <c r="Q176" s="32"/>
      <c r="R176" s="32"/>
      <c r="S176" s="32"/>
      <c r="T176" s="55"/>
      <c r="U176" s="55"/>
      <c r="V176" s="55"/>
      <c r="W176" s="38"/>
      <c r="X176" s="32"/>
      <c r="Y176" s="24"/>
      <c r="Z176" s="32"/>
      <c r="AA176" s="32"/>
    </row>
    <row r="177" ht="16.5" customHeight="1">
      <c r="A177" s="1"/>
      <c r="B177" s="32"/>
      <c r="C177" s="32"/>
      <c r="D177" s="32"/>
      <c r="E177" s="32"/>
      <c r="F177" s="32"/>
      <c r="G177" s="32"/>
      <c r="H177" s="32"/>
      <c r="I177" s="32"/>
      <c r="J177" s="32"/>
      <c r="K177" s="38"/>
      <c r="L177" s="38"/>
      <c r="M177" s="41">
        <f>SUMIFS('04 Payments'!$K$7:$K$400,'04 Payments'!$G$7:$G$400,$D177,'04 Payments'!$H$7:$H$400,"Booking Deposit")</f>
        <v>0</v>
      </c>
      <c r="N177" s="41">
        <f>SUMIFS('04 Payments'!$K$7:$K$400,'04 Payments'!$G$7:$G$400,$D177)</f>
        <v>0</v>
      </c>
      <c r="O177" s="41">
        <f t="shared" si="1"/>
        <v>0</v>
      </c>
      <c r="P177" s="54">
        <f>COUNTIFS('04 Payments'!$G$7:$G$400,$D177,'04 Payments'!$S$7:$S$400,"Overdue")</f>
        <v>0</v>
      </c>
      <c r="Q177" s="32"/>
      <c r="R177" s="32"/>
      <c r="S177" s="32"/>
      <c r="T177" s="55"/>
      <c r="U177" s="55"/>
      <c r="V177" s="55"/>
      <c r="W177" s="38"/>
      <c r="X177" s="32"/>
      <c r="Y177" s="24"/>
      <c r="Z177" s="32"/>
      <c r="AA177" s="32"/>
    </row>
    <row r="178" ht="16.5" customHeight="1">
      <c r="A178" s="1"/>
      <c r="B178" s="32"/>
      <c r="C178" s="32"/>
      <c r="D178" s="32"/>
      <c r="E178" s="32"/>
      <c r="F178" s="32"/>
      <c r="G178" s="32"/>
      <c r="H178" s="32"/>
      <c r="I178" s="32"/>
      <c r="J178" s="32"/>
      <c r="K178" s="38"/>
      <c r="L178" s="38"/>
      <c r="M178" s="41">
        <f>SUMIFS('04 Payments'!$K$7:$K$400,'04 Payments'!$G$7:$G$400,$D178,'04 Payments'!$H$7:$H$400,"Booking Deposit")</f>
        <v>0</v>
      </c>
      <c r="N178" s="41">
        <f>SUMIFS('04 Payments'!$K$7:$K$400,'04 Payments'!$G$7:$G$400,$D178)</f>
        <v>0</v>
      </c>
      <c r="O178" s="41">
        <f t="shared" si="1"/>
        <v>0</v>
      </c>
      <c r="P178" s="54">
        <f>COUNTIFS('04 Payments'!$G$7:$G$400,$D178,'04 Payments'!$S$7:$S$400,"Overdue")</f>
        <v>0</v>
      </c>
      <c r="Q178" s="32"/>
      <c r="R178" s="32"/>
      <c r="S178" s="32"/>
      <c r="T178" s="55"/>
      <c r="U178" s="55"/>
      <c r="V178" s="55"/>
      <c r="W178" s="38"/>
      <c r="X178" s="32"/>
      <c r="Y178" s="24"/>
      <c r="Z178" s="32"/>
      <c r="AA178" s="32"/>
    </row>
    <row r="179" ht="16.5" customHeight="1">
      <c r="A179" s="1"/>
      <c r="B179" s="32"/>
      <c r="C179" s="32"/>
      <c r="D179" s="32"/>
      <c r="E179" s="32"/>
      <c r="F179" s="32"/>
      <c r="G179" s="32"/>
      <c r="H179" s="32"/>
      <c r="I179" s="32"/>
      <c r="J179" s="32"/>
      <c r="K179" s="38"/>
      <c r="L179" s="38"/>
      <c r="M179" s="41">
        <f>SUMIFS('04 Payments'!$K$7:$K$400,'04 Payments'!$G$7:$G$400,$D179,'04 Payments'!$H$7:$H$400,"Booking Deposit")</f>
        <v>0</v>
      </c>
      <c r="N179" s="41">
        <f>SUMIFS('04 Payments'!$K$7:$K$400,'04 Payments'!$G$7:$G$400,$D179)</f>
        <v>0</v>
      </c>
      <c r="O179" s="41">
        <f t="shared" si="1"/>
        <v>0</v>
      </c>
      <c r="P179" s="54">
        <f>COUNTIFS('04 Payments'!$G$7:$G$400,$D179,'04 Payments'!$S$7:$S$400,"Overdue")</f>
        <v>0</v>
      </c>
      <c r="Q179" s="32"/>
      <c r="R179" s="32"/>
      <c r="S179" s="32"/>
      <c r="T179" s="55"/>
      <c r="U179" s="55"/>
      <c r="V179" s="55"/>
      <c r="W179" s="38"/>
      <c r="X179" s="32"/>
      <c r="Y179" s="24"/>
      <c r="Z179" s="32"/>
      <c r="AA179" s="32"/>
    </row>
    <row r="180" ht="16.5" customHeight="1">
      <c r="A180" s="1"/>
      <c r="B180" s="32"/>
      <c r="C180" s="32"/>
      <c r="D180" s="32"/>
      <c r="E180" s="32"/>
      <c r="F180" s="32"/>
      <c r="G180" s="32"/>
      <c r="H180" s="32"/>
      <c r="I180" s="32"/>
      <c r="J180" s="32"/>
      <c r="K180" s="38"/>
      <c r="L180" s="38"/>
      <c r="M180" s="41">
        <f>SUMIFS('04 Payments'!$K$7:$K$400,'04 Payments'!$G$7:$G$400,$D180,'04 Payments'!$H$7:$H$400,"Booking Deposit")</f>
        <v>0</v>
      </c>
      <c r="N180" s="41">
        <f>SUMIFS('04 Payments'!$K$7:$K$400,'04 Payments'!$G$7:$G$400,$D180)</f>
        <v>0</v>
      </c>
      <c r="O180" s="41">
        <f t="shared" si="1"/>
        <v>0</v>
      </c>
      <c r="P180" s="54">
        <f>COUNTIFS('04 Payments'!$G$7:$G$400,$D180,'04 Payments'!$S$7:$S$400,"Overdue")</f>
        <v>0</v>
      </c>
      <c r="Q180" s="32"/>
      <c r="R180" s="32"/>
      <c r="S180" s="32"/>
      <c r="T180" s="55"/>
      <c r="U180" s="55"/>
      <c r="V180" s="55"/>
      <c r="W180" s="38"/>
      <c r="X180" s="32"/>
      <c r="Y180" s="24"/>
      <c r="Z180" s="32"/>
      <c r="AA180" s="32"/>
    </row>
    <row r="181" ht="16.5" customHeight="1">
      <c r="A181" s="1"/>
      <c r="B181" s="32"/>
      <c r="C181" s="32"/>
      <c r="D181" s="32"/>
      <c r="E181" s="32"/>
      <c r="F181" s="32"/>
      <c r="G181" s="32"/>
      <c r="H181" s="32"/>
      <c r="I181" s="32"/>
      <c r="J181" s="32"/>
      <c r="K181" s="38"/>
      <c r="L181" s="38"/>
      <c r="M181" s="41">
        <f>SUMIFS('04 Payments'!$K$7:$K$400,'04 Payments'!$G$7:$G$400,$D181,'04 Payments'!$H$7:$H$400,"Booking Deposit")</f>
        <v>0</v>
      </c>
      <c r="N181" s="41">
        <f>SUMIFS('04 Payments'!$K$7:$K$400,'04 Payments'!$G$7:$G$400,$D181)</f>
        <v>0</v>
      </c>
      <c r="O181" s="41">
        <f t="shared" si="1"/>
        <v>0</v>
      </c>
      <c r="P181" s="54">
        <f>COUNTIFS('04 Payments'!$G$7:$G$400,$D181,'04 Payments'!$S$7:$S$400,"Overdue")</f>
        <v>0</v>
      </c>
      <c r="Q181" s="32"/>
      <c r="R181" s="32"/>
      <c r="S181" s="32"/>
      <c r="T181" s="55"/>
      <c r="U181" s="55"/>
      <c r="V181" s="55"/>
      <c r="W181" s="38"/>
      <c r="X181" s="32"/>
      <c r="Y181" s="24"/>
      <c r="Z181" s="32"/>
      <c r="AA181" s="32"/>
    </row>
    <row r="182" ht="16.5" customHeight="1">
      <c r="A182" s="1"/>
      <c r="B182" s="32"/>
      <c r="C182" s="32"/>
      <c r="D182" s="32"/>
      <c r="E182" s="32"/>
      <c r="F182" s="32"/>
      <c r="G182" s="32"/>
      <c r="H182" s="32"/>
      <c r="I182" s="32"/>
      <c r="J182" s="32"/>
      <c r="K182" s="38"/>
      <c r="L182" s="38"/>
      <c r="M182" s="41">
        <f>SUMIFS('04 Payments'!$K$7:$K$400,'04 Payments'!$G$7:$G$400,$D182,'04 Payments'!$H$7:$H$400,"Booking Deposit")</f>
        <v>0</v>
      </c>
      <c r="N182" s="41">
        <f>SUMIFS('04 Payments'!$K$7:$K$400,'04 Payments'!$G$7:$G$400,$D182)</f>
        <v>0</v>
      </c>
      <c r="O182" s="41">
        <f t="shared" si="1"/>
        <v>0</v>
      </c>
      <c r="P182" s="54">
        <f>COUNTIFS('04 Payments'!$G$7:$G$400,$D182,'04 Payments'!$S$7:$S$400,"Overdue")</f>
        <v>0</v>
      </c>
      <c r="Q182" s="32"/>
      <c r="R182" s="32"/>
      <c r="S182" s="32"/>
      <c r="T182" s="55"/>
      <c r="U182" s="55"/>
      <c r="V182" s="55"/>
      <c r="W182" s="38"/>
      <c r="X182" s="32"/>
      <c r="Y182" s="24"/>
      <c r="Z182" s="32"/>
      <c r="AA182" s="32"/>
    </row>
    <row r="183" ht="16.5" customHeight="1">
      <c r="A183" s="1"/>
      <c r="B183" s="32"/>
      <c r="C183" s="32"/>
      <c r="D183" s="32"/>
      <c r="E183" s="32"/>
      <c r="F183" s="32"/>
      <c r="G183" s="32"/>
      <c r="H183" s="32"/>
      <c r="I183" s="32"/>
      <c r="J183" s="32"/>
      <c r="K183" s="38"/>
      <c r="L183" s="38"/>
      <c r="M183" s="41">
        <f>SUMIFS('04 Payments'!$K$7:$K$400,'04 Payments'!$G$7:$G$400,$D183,'04 Payments'!$H$7:$H$400,"Booking Deposit")</f>
        <v>0</v>
      </c>
      <c r="N183" s="41">
        <f>SUMIFS('04 Payments'!$K$7:$K$400,'04 Payments'!$G$7:$G$400,$D183)</f>
        <v>0</v>
      </c>
      <c r="O183" s="41">
        <f t="shared" si="1"/>
        <v>0</v>
      </c>
      <c r="P183" s="54">
        <f>COUNTIFS('04 Payments'!$G$7:$G$400,$D183,'04 Payments'!$S$7:$S$400,"Overdue")</f>
        <v>0</v>
      </c>
      <c r="Q183" s="32"/>
      <c r="R183" s="32"/>
      <c r="S183" s="32"/>
      <c r="T183" s="55"/>
      <c r="U183" s="55"/>
      <c r="V183" s="55"/>
      <c r="W183" s="38"/>
      <c r="X183" s="32"/>
      <c r="Y183" s="24"/>
      <c r="Z183" s="32"/>
      <c r="AA183" s="32"/>
    </row>
    <row r="184" ht="16.5" customHeight="1">
      <c r="A184" s="1"/>
      <c r="B184" s="32"/>
      <c r="C184" s="32"/>
      <c r="D184" s="32"/>
      <c r="E184" s="32"/>
      <c r="F184" s="32"/>
      <c r="G184" s="32"/>
      <c r="H184" s="32"/>
      <c r="I184" s="32"/>
      <c r="J184" s="32"/>
      <c r="K184" s="38"/>
      <c r="L184" s="38"/>
      <c r="M184" s="41">
        <f>SUMIFS('04 Payments'!$K$7:$K$400,'04 Payments'!$G$7:$G$400,$D184,'04 Payments'!$H$7:$H$400,"Booking Deposit")</f>
        <v>0</v>
      </c>
      <c r="N184" s="41">
        <f>SUMIFS('04 Payments'!$K$7:$K$400,'04 Payments'!$G$7:$G$400,$D184)</f>
        <v>0</v>
      </c>
      <c r="O184" s="41">
        <f t="shared" si="1"/>
        <v>0</v>
      </c>
      <c r="P184" s="54">
        <f>COUNTIFS('04 Payments'!$G$7:$G$400,$D184,'04 Payments'!$S$7:$S$400,"Overdue")</f>
        <v>0</v>
      </c>
      <c r="Q184" s="32"/>
      <c r="R184" s="32"/>
      <c r="S184" s="32"/>
      <c r="T184" s="55"/>
      <c r="U184" s="55"/>
      <c r="V184" s="55"/>
      <c r="W184" s="38"/>
      <c r="X184" s="32"/>
      <c r="Y184" s="24"/>
      <c r="Z184" s="32"/>
      <c r="AA184" s="32"/>
    </row>
    <row r="185" ht="16.5" customHeight="1">
      <c r="A185" s="1"/>
      <c r="B185" s="32"/>
      <c r="C185" s="32"/>
      <c r="D185" s="32"/>
      <c r="E185" s="32"/>
      <c r="F185" s="32"/>
      <c r="G185" s="32"/>
      <c r="H185" s="32"/>
      <c r="I185" s="32"/>
      <c r="J185" s="32"/>
      <c r="K185" s="38"/>
      <c r="L185" s="38"/>
      <c r="M185" s="41">
        <f>SUMIFS('04 Payments'!$K$7:$K$400,'04 Payments'!$G$7:$G$400,$D185,'04 Payments'!$H$7:$H$400,"Booking Deposit")</f>
        <v>0</v>
      </c>
      <c r="N185" s="41">
        <f>SUMIFS('04 Payments'!$K$7:$K$400,'04 Payments'!$G$7:$G$400,$D185)</f>
        <v>0</v>
      </c>
      <c r="O185" s="41">
        <f t="shared" si="1"/>
        <v>0</v>
      </c>
      <c r="P185" s="54">
        <f>COUNTIFS('04 Payments'!$G$7:$G$400,$D185,'04 Payments'!$S$7:$S$400,"Overdue")</f>
        <v>0</v>
      </c>
      <c r="Q185" s="32"/>
      <c r="R185" s="32"/>
      <c r="S185" s="32"/>
      <c r="T185" s="55"/>
      <c r="U185" s="55"/>
      <c r="V185" s="55"/>
      <c r="W185" s="38"/>
      <c r="X185" s="32"/>
      <c r="Y185" s="24"/>
      <c r="Z185" s="32"/>
      <c r="AA185" s="32"/>
    </row>
    <row r="186" ht="16.5" customHeight="1">
      <c r="A186" s="1"/>
      <c r="B186" s="32"/>
      <c r="C186" s="32"/>
      <c r="D186" s="32"/>
      <c r="E186" s="32"/>
      <c r="F186" s="32"/>
      <c r="G186" s="32"/>
      <c r="H186" s="32"/>
      <c r="I186" s="32"/>
      <c r="J186" s="32"/>
      <c r="K186" s="38"/>
      <c r="L186" s="38"/>
      <c r="M186" s="41">
        <f>SUMIFS('04 Payments'!$K$7:$K$400,'04 Payments'!$G$7:$G$400,$D186,'04 Payments'!$H$7:$H$400,"Booking Deposit")</f>
        <v>0</v>
      </c>
      <c r="N186" s="41">
        <f>SUMIFS('04 Payments'!$K$7:$K$400,'04 Payments'!$G$7:$G$400,$D186)</f>
        <v>0</v>
      </c>
      <c r="O186" s="41">
        <f t="shared" si="1"/>
        <v>0</v>
      </c>
      <c r="P186" s="54">
        <f>COUNTIFS('04 Payments'!$G$7:$G$400,$D186,'04 Payments'!$S$7:$S$400,"Overdue")</f>
        <v>0</v>
      </c>
      <c r="Q186" s="32"/>
      <c r="R186" s="32"/>
      <c r="S186" s="32"/>
      <c r="T186" s="55"/>
      <c r="U186" s="55"/>
      <c r="V186" s="55"/>
      <c r="W186" s="38"/>
      <c r="X186" s="32"/>
      <c r="Y186" s="24"/>
      <c r="Z186" s="32"/>
      <c r="AA186" s="32"/>
    </row>
    <row r="187" ht="16.5" customHeight="1">
      <c r="A187" s="1"/>
      <c r="B187" s="32"/>
      <c r="C187" s="32"/>
      <c r="D187" s="32"/>
      <c r="E187" s="32"/>
      <c r="F187" s="32"/>
      <c r="G187" s="32"/>
      <c r="H187" s="32"/>
      <c r="I187" s="32"/>
      <c r="J187" s="32"/>
      <c r="K187" s="38"/>
      <c r="L187" s="38"/>
      <c r="M187" s="41">
        <f>SUMIFS('04 Payments'!$K$7:$K$400,'04 Payments'!$G$7:$G$400,$D187,'04 Payments'!$H$7:$H$400,"Booking Deposit")</f>
        <v>0</v>
      </c>
      <c r="N187" s="41">
        <f>SUMIFS('04 Payments'!$K$7:$K$400,'04 Payments'!$G$7:$G$400,$D187)</f>
        <v>0</v>
      </c>
      <c r="O187" s="41">
        <f t="shared" si="1"/>
        <v>0</v>
      </c>
      <c r="P187" s="54">
        <f>COUNTIFS('04 Payments'!$G$7:$G$400,$D187,'04 Payments'!$S$7:$S$400,"Overdue")</f>
        <v>0</v>
      </c>
      <c r="Q187" s="32"/>
      <c r="R187" s="32"/>
      <c r="S187" s="32"/>
      <c r="T187" s="55"/>
      <c r="U187" s="55"/>
      <c r="V187" s="55"/>
      <c r="W187" s="38"/>
      <c r="X187" s="32"/>
      <c r="Y187" s="24"/>
      <c r="Z187" s="32"/>
      <c r="AA187" s="32"/>
    </row>
    <row r="188" ht="16.5" customHeight="1">
      <c r="A188" s="1"/>
      <c r="B188" s="32"/>
      <c r="C188" s="32"/>
      <c r="D188" s="32"/>
      <c r="E188" s="32"/>
      <c r="F188" s="32"/>
      <c r="G188" s="32"/>
      <c r="H188" s="32"/>
      <c r="I188" s="32"/>
      <c r="J188" s="32"/>
      <c r="K188" s="38"/>
      <c r="L188" s="38"/>
      <c r="M188" s="41">
        <f>SUMIFS('04 Payments'!$K$7:$K$400,'04 Payments'!$G$7:$G$400,$D188,'04 Payments'!$H$7:$H$400,"Booking Deposit")</f>
        <v>0</v>
      </c>
      <c r="N188" s="41">
        <f>SUMIFS('04 Payments'!$K$7:$K$400,'04 Payments'!$G$7:$G$400,$D188)</f>
        <v>0</v>
      </c>
      <c r="O188" s="41">
        <f t="shared" si="1"/>
        <v>0</v>
      </c>
      <c r="P188" s="54">
        <f>COUNTIFS('04 Payments'!$G$7:$G$400,$D188,'04 Payments'!$S$7:$S$400,"Overdue")</f>
        <v>0</v>
      </c>
      <c r="Q188" s="32"/>
      <c r="R188" s="32"/>
      <c r="S188" s="32"/>
      <c r="T188" s="55"/>
      <c r="U188" s="55"/>
      <c r="V188" s="55"/>
      <c r="W188" s="38"/>
      <c r="X188" s="32"/>
      <c r="Y188" s="24"/>
      <c r="Z188" s="32"/>
      <c r="AA188" s="32"/>
    </row>
    <row r="189" ht="16.5" customHeight="1">
      <c r="A189" s="1"/>
      <c r="B189" s="32"/>
      <c r="C189" s="32"/>
      <c r="D189" s="32"/>
      <c r="E189" s="32"/>
      <c r="F189" s="32"/>
      <c r="G189" s="32"/>
      <c r="H189" s="32"/>
      <c r="I189" s="32"/>
      <c r="J189" s="32"/>
      <c r="K189" s="38"/>
      <c r="L189" s="38"/>
      <c r="M189" s="41">
        <f>SUMIFS('04 Payments'!$K$7:$K$400,'04 Payments'!$G$7:$G$400,$D189,'04 Payments'!$H$7:$H$400,"Booking Deposit")</f>
        <v>0</v>
      </c>
      <c r="N189" s="41">
        <f>SUMIFS('04 Payments'!$K$7:$K$400,'04 Payments'!$G$7:$G$400,$D189)</f>
        <v>0</v>
      </c>
      <c r="O189" s="41">
        <f t="shared" si="1"/>
        <v>0</v>
      </c>
      <c r="P189" s="54">
        <f>COUNTIFS('04 Payments'!$G$7:$G$400,$D189,'04 Payments'!$S$7:$S$400,"Overdue")</f>
        <v>0</v>
      </c>
      <c r="Q189" s="32"/>
      <c r="R189" s="32"/>
      <c r="S189" s="32"/>
      <c r="T189" s="55"/>
      <c r="U189" s="55"/>
      <c r="V189" s="55"/>
      <c r="W189" s="38"/>
      <c r="X189" s="32"/>
      <c r="Y189" s="24"/>
      <c r="Z189" s="32"/>
      <c r="AA189" s="32"/>
    </row>
    <row r="190" ht="16.5" customHeight="1">
      <c r="A190" s="1"/>
      <c r="B190" s="32"/>
      <c r="C190" s="32"/>
      <c r="D190" s="32"/>
      <c r="E190" s="32"/>
      <c r="F190" s="32"/>
      <c r="G190" s="32"/>
      <c r="H190" s="32"/>
      <c r="I190" s="32"/>
      <c r="J190" s="32"/>
      <c r="K190" s="38"/>
      <c r="L190" s="38"/>
      <c r="M190" s="41">
        <f>SUMIFS('04 Payments'!$K$7:$K$400,'04 Payments'!$G$7:$G$400,$D190,'04 Payments'!$H$7:$H$400,"Booking Deposit")</f>
        <v>0</v>
      </c>
      <c r="N190" s="41">
        <f>SUMIFS('04 Payments'!$K$7:$K$400,'04 Payments'!$G$7:$G$400,$D190)</f>
        <v>0</v>
      </c>
      <c r="O190" s="41">
        <f t="shared" si="1"/>
        <v>0</v>
      </c>
      <c r="P190" s="54">
        <f>COUNTIFS('04 Payments'!$G$7:$G$400,$D190,'04 Payments'!$S$7:$S$400,"Overdue")</f>
        <v>0</v>
      </c>
      <c r="Q190" s="32"/>
      <c r="R190" s="32"/>
      <c r="S190" s="32"/>
      <c r="T190" s="55"/>
      <c r="U190" s="55"/>
      <c r="V190" s="55"/>
      <c r="W190" s="38"/>
      <c r="X190" s="32"/>
      <c r="Y190" s="24"/>
      <c r="Z190" s="32"/>
      <c r="AA190" s="32"/>
    </row>
    <row r="191" ht="16.5" customHeight="1">
      <c r="A191" s="1"/>
      <c r="B191" s="32"/>
      <c r="C191" s="32"/>
      <c r="D191" s="32"/>
      <c r="E191" s="32"/>
      <c r="F191" s="32"/>
      <c r="G191" s="32"/>
      <c r="H191" s="32"/>
      <c r="I191" s="32"/>
      <c r="J191" s="32"/>
      <c r="K191" s="38"/>
      <c r="L191" s="38"/>
      <c r="M191" s="41">
        <f>SUMIFS('04 Payments'!$K$7:$K$400,'04 Payments'!$G$7:$G$400,$D191,'04 Payments'!$H$7:$H$400,"Booking Deposit")</f>
        <v>0</v>
      </c>
      <c r="N191" s="41">
        <f>SUMIFS('04 Payments'!$K$7:$K$400,'04 Payments'!$G$7:$G$400,$D191)</f>
        <v>0</v>
      </c>
      <c r="O191" s="41">
        <f t="shared" si="1"/>
        <v>0</v>
      </c>
      <c r="P191" s="54">
        <f>COUNTIFS('04 Payments'!$G$7:$G$400,$D191,'04 Payments'!$S$7:$S$400,"Overdue")</f>
        <v>0</v>
      </c>
      <c r="Q191" s="32"/>
      <c r="R191" s="32"/>
      <c r="S191" s="32"/>
      <c r="T191" s="55"/>
      <c r="U191" s="55"/>
      <c r="V191" s="55"/>
      <c r="W191" s="38"/>
      <c r="X191" s="32"/>
      <c r="Y191" s="24"/>
      <c r="Z191" s="32"/>
      <c r="AA191" s="32"/>
    </row>
    <row r="192" ht="16.5" customHeight="1">
      <c r="A192" s="1"/>
      <c r="B192" s="32"/>
      <c r="C192" s="32"/>
      <c r="D192" s="32"/>
      <c r="E192" s="32"/>
      <c r="F192" s="32"/>
      <c r="G192" s="32"/>
      <c r="H192" s="32"/>
      <c r="I192" s="32"/>
      <c r="J192" s="32"/>
      <c r="K192" s="38"/>
      <c r="L192" s="38"/>
      <c r="M192" s="41">
        <f>SUMIFS('04 Payments'!$K$7:$K$400,'04 Payments'!$G$7:$G$400,$D192,'04 Payments'!$H$7:$H$400,"Booking Deposit")</f>
        <v>0</v>
      </c>
      <c r="N192" s="41">
        <f>SUMIFS('04 Payments'!$K$7:$K$400,'04 Payments'!$G$7:$G$400,$D192)</f>
        <v>0</v>
      </c>
      <c r="O192" s="41">
        <f t="shared" si="1"/>
        <v>0</v>
      </c>
      <c r="P192" s="54">
        <f>COUNTIFS('04 Payments'!$G$7:$G$400,$D192,'04 Payments'!$S$7:$S$400,"Overdue")</f>
        <v>0</v>
      </c>
      <c r="Q192" s="32"/>
      <c r="R192" s="32"/>
      <c r="S192" s="32"/>
      <c r="T192" s="55"/>
      <c r="U192" s="55"/>
      <c r="V192" s="55"/>
      <c r="W192" s="38"/>
      <c r="X192" s="32"/>
      <c r="Y192" s="24"/>
      <c r="Z192" s="32"/>
      <c r="AA192" s="32"/>
    </row>
    <row r="193" ht="16.5" customHeight="1">
      <c r="A193" s="1"/>
      <c r="B193" s="32"/>
      <c r="C193" s="32"/>
      <c r="D193" s="32"/>
      <c r="E193" s="32"/>
      <c r="F193" s="32"/>
      <c r="G193" s="32"/>
      <c r="H193" s="32"/>
      <c r="I193" s="32"/>
      <c r="J193" s="32"/>
      <c r="K193" s="38"/>
      <c r="L193" s="38"/>
      <c r="M193" s="41">
        <f>SUMIFS('04 Payments'!$K$7:$K$400,'04 Payments'!$G$7:$G$400,$D193,'04 Payments'!$H$7:$H$400,"Booking Deposit")</f>
        <v>0</v>
      </c>
      <c r="N193" s="41">
        <f>SUMIFS('04 Payments'!$K$7:$K$400,'04 Payments'!$G$7:$G$400,$D193)</f>
        <v>0</v>
      </c>
      <c r="O193" s="41">
        <f t="shared" si="1"/>
        <v>0</v>
      </c>
      <c r="P193" s="54">
        <f>COUNTIFS('04 Payments'!$G$7:$G$400,$D193,'04 Payments'!$S$7:$S$400,"Overdue")</f>
        <v>0</v>
      </c>
      <c r="Q193" s="32"/>
      <c r="R193" s="32"/>
      <c r="S193" s="32"/>
      <c r="T193" s="55"/>
      <c r="U193" s="55"/>
      <c r="V193" s="55"/>
      <c r="W193" s="38"/>
      <c r="X193" s="32"/>
      <c r="Y193" s="24"/>
      <c r="Z193" s="32"/>
      <c r="AA193" s="32"/>
    </row>
    <row r="194" ht="16.5" customHeight="1">
      <c r="A194" s="1"/>
      <c r="B194" s="32"/>
      <c r="C194" s="32"/>
      <c r="D194" s="32"/>
      <c r="E194" s="32"/>
      <c r="F194" s="32"/>
      <c r="G194" s="32"/>
      <c r="H194" s="32"/>
      <c r="I194" s="32"/>
      <c r="J194" s="32"/>
      <c r="K194" s="38"/>
      <c r="L194" s="38"/>
      <c r="M194" s="41">
        <f>SUMIFS('04 Payments'!$K$7:$K$400,'04 Payments'!$G$7:$G$400,$D194,'04 Payments'!$H$7:$H$400,"Booking Deposit")</f>
        <v>0</v>
      </c>
      <c r="N194" s="41">
        <f>SUMIFS('04 Payments'!$K$7:$K$400,'04 Payments'!$G$7:$G$400,$D194)</f>
        <v>0</v>
      </c>
      <c r="O194" s="41">
        <f t="shared" si="1"/>
        <v>0</v>
      </c>
      <c r="P194" s="54">
        <f>COUNTIFS('04 Payments'!$G$7:$G$400,$D194,'04 Payments'!$S$7:$S$400,"Overdue")</f>
        <v>0</v>
      </c>
      <c r="Q194" s="32"/>
      <c r="R194" s="32"/>
      <c r="S194" s="32"/>
      <c r="T194" s="55"/>
      <c r="U194" s="55"/>
      <c r="V194" s="55"/>
      <c r="W194" s="38"/>
      <c r="X194" s="32"/>
      <c r="Y194" s="24"/>
      <c r="Z194" s="32"/>
      <c r="AA194" s="32"/>
    </row>
    <row r="195" ht="16.5" customHeight="1">
      <c r="A195" s="1"/>
      <c r="B195" s="32"/>
      <c r="C195" s="32"/>
      <c r="D195" s="32"/>
      <c r="E195" s="32"/>
      <c r="F195" s="32"/>
      <c r="G195" s="32"/>
      <c r="H195" s="32"/>
      <c r="I195" s="32"/>
      <c r="J195" s="32"/>
      <c r="K195" s="38"/>
      <c r="L195" s="38"/>
      <c r="M195" s="41">
        <f>SUMIFS('04 Payments'!$K$7:$K$400,'04 Payments'!$G$7:$G$400,$D195,'04 Payments'!$H$7:$H$400,"Booking Deposit")</f>
        <v>0</v>
      </c>
      <c r="N195" s="41">
        <f>SUMIFS('04 Payments'!$K$7:$K$400,'04 Payments'!$G$7:$G$400,$D195)</f>
        <v>0</v>
      </c>
      <c r="O195" s="41">
        <f t="shared" si="1"/>
        <v>0</v>
      </c>
      <c r="P195" s="54">
        <f>COUNTIFS('04 Payments'!$G$7:$G$400,$D195,'04 Payments'!$S$7:$S$400,"Overdue")</f>
        <v>0</v>
      </c>
      <c r="Q195" s="32"/>
      <c r="R195" s="32"/>
      <c r="S195" s="32"/>
      <c r="T195" s="55"/>
      <c r="U195" s="55"/>
      <c r="V195" s="55"/>
      <c r="W195" s="38"/>
      <c r="X195" s="32"/>
      <c r="Y195" s="24"/>
      <c r="Z195" s="32"/>
      <c r="AA195" s="32"/>
    </row>
    <row r="196" ht="16.5" customHeight="1">
      <c r="A196" s="1"/>
      <c r="B196" s="32"/>
      <c r="C196" s="32"/>
      <c r="D196" s="32"/>
      <c r="E196" s="32"/>
      <c r="F196" s="32"/>
      <c r="G196" s="32"/>
      <c r="H196" s="32"/>
      <c r="I196" s="32"/>
      <c r="J196" s="32"/>
      <c r="K196" s="38"/>
      <c r="L196" s="38"/>
      <c r="M196" s="41">
        <f>SUMIFS('04 Payments'!$K$7:$K$400,'04 Payments'!$G$7:$G$400,$D196,'04 Payments'!$H$7:$H$400,"Booking Deposit")</f>
        <v>0</v>
      </c>
      <c r="N196" s="41">
        <f>SUMIFS('04 Payments'!$K$7:$K$400,'04 Payments'!$G$7:$G$400,$D196)</f>
        <v>0</v>
      </c>
      <c r="O196" s="41">
        <f t="shared" si="1"/>
        <v>0</v>
      </c>
      <c r="P196" s="54">
        <f>COUNTIFS('04 Payments'!$G$7:$G$400,$D196,'04 Payments'!$S$7:$S$400,"Overdue")</f>
        <v>0</v>
      </c>
      <c r="Q196" s="32"/>
      <c r="R196" s="32"/>
      <c r="S196" s="32"/>
      <c r="T196" s="55"/>
      <c r="U196" s="55"/>
      <c r="V196" s="55"/>
      <c r="W196" s="38"/>
      <c r="X196" s="32"/>
      <c r="Y196" s="24"/>
      <c r="Z196" s="32"/>
      <c r="AA196" s="32"/>
    </row>
    <row r="197" ht="16.5" customHeight="1">
      <c r="A197" s="1"/>
      <c r="B197" s="32"/>
      <c r="C197" s="32"/>
      <c r="D197" s="32"/>
      <c r="E197" s="32"/>
      <c r="F197" s="32"/>
      <c r="G197" s="32"/>
      <c r="H197" s="32"/>
      <c r="I197" s="32"/>
      <c r="J197" s="32"/>
      <c r="K197" s="38"/>
      <c r="L197" s="38"/>
      <c r="M197" s="41">
        <f>SUMIFS('04 Payments'!$K$7:$K$400,'04 Payments'!$G$7:$G$400,$D197,'04 Payments'!$H$7:$H$400,"Booking Deposit")</f>
        <v>0</v>
      </c>
      <c r="N197" s="41">
        <f>SUMIFS('04 Payments'!$K$7:$K$400,'04 Payments'!$G$7:$G$400,$D197)</f>
        <v>0</v>
      </c>
      <c r="O197" s="41">
        <f t="shared" si="1"/>
        <v>0</v>
      </c>
      <c r="P197" s="54">
        <f>COUNTIFS('04 Payments'!$G$7:$G$400,$D197,'04 Payments'!$S$7:$S$400,"Overdue")</f>
        <v>0</v>
      </c>
      <c r="Q197" s="32"/>
      <c r="R197" s="32"/>
      <c r="S197" s="32"/>
      <c r="T197" s="55"/>
      <c r="U197" s="55"/>
      <c r="V197" s="55"/>
      <c r="W197" s="38"/>
      <c r="X197" s="32"/>
      <c r="Y197" s="24"/>
      <c r="Z197" s="32"/>
      <c r="AA197" s="32"/>
    </row>
    <row r="198" ht="16.5" customHeight="1">
      <c r="A198" s="1"/>
      <c r="B198" s="32"/>
      <c r="C198" s="32"/>
      <c r="D198" s="32"/>
      <c r="E198" s="32"/>
      <c r="F198" s="32"/>
      <c r="G198" s="32"/>
      <c r="H198" s="32"/>
      <c r="I198" s="32"/>
      <c r="J198" s="32"/>
      <c r="K198" s="38"/>
      <c r="L198" s="38"/>
      <c r="M198" s="41">
        <f>SUMIFS('04 Payments'!$K$7:$K$400,'04 Payments'!$G$7:$G$400,$D198,'04 Payments'!$H$7:$H$400,"Booking Deposit")</f>
        <v>0</v>
      </c>
      <c r="N198" s="41">
        <f>SUMIFS('04 Payments'!$K$7:$K$400,'04 Payments'!$G$7:$G$400,$D198)</f>
        <v>0</v>
      </c>
      <c r="O198" s="41">
        <f t="shared" si="1"/>
        <v>0</v>
      </c>
      <c r="P198" s="54">
        <f>COUNTIFS('04 Payments'!$G$7:$G$400,$D198,'04 Payments'!$S$7:$S$400,"Overdue")</f>
        <v>0</v>
      </c>
      <c r="Q198" s="32"/>
      <c r="R198" s="32"/>
      <c r="S198" s="32"/>
      <c r="T198" s="55"/>
      <c r="U198" s="55"/>
      <c r="V198" s="55"/>
      <c r="W198" s="38"/>
      <c r="X198" s="32"/>
      <c r="Y198" s="24"/>
      <c r="Z198" s="32"/>
      <c r="AA198" s="32"/>
    </row>
    <row r="199" ht="16.5" customHeight="1">
      <c r="A199" s="1"/>
      <c r="B199" s="32"/>
      <c r="C199" s="32"/>
      <c r="D199" s="32"/>
      <c r="E199" s="32"/>
      <c r="F199" s="32"/>
      <c r="G199" s="32"/>
      <c r="H199" s="32"/>
      <c r="I199" s="32"/>
      <c r="J199" s="32"/>
      <c r="K199" s="38"/>
      <c r="L199" s="38"/>
      <c r="M199" s="41">
        <f>SUMIFS('04 Payments'!$K$7:$K$400,'04 Payments'!$G$7:$G$400,$D199,'04 Payments'!$H$7:$H$400,"Booking Deposit")</f>
        <v>0</v>
      </c>
      <c r="N199" s="41">
        <f>SUMIFS('04 Payments'!$K$7:$K$400,'04 Payments'!$G$7:$G$400,$D199)</f>
        <v>0</v>
      </c>
      <c r="O199" s="41">
        <f t="shared" si="1"/>
        <v>0</v>
      </c>
      <c r="P199" s="54">
        <f>COUNTIFS('04 Payments'!$G$7:$G$400,$D199,'04 Payments'!$S$7:$S$400,"Overdue")</f>
        <v>0</v>
      </c>
      <c r="Q199" s="32"/>
      <c r="R199" s="32"/>
      <c r="S199" s="32"/>
      <c r="T199" s="55"/>
      <c r="U199" s="55"/>
      <c r="V199" s="55"/>
      <c r="W199" s="38"/>
      <c r="X199" s="32"/>
      <c r="Y199" s="24"/>
      <c r="Z199" s="32"/>
      <c r="AA199" s="32"/>
    </row>
    <row r="200" ht="16.5" customHeight="1">
      <c r="A200" s="1"/>
      <c r="B200" s="32"/>
      <c r="C200" s="32"/>
      <c r="D200" s="32"/>
      <c r="E200" s="32"/>
      <c r="F200" s="32"/>
      <c r="G200" s="32"/>
      <c r="H200" s="32"/>
      <c r="I200" s="32"/>
      <c r="J200" s="32"/>
      <c r="K200" s="38"/>
      <c r="L200" s="38"/>
      <c r="M200" s="41">
        <f>SUMIFS('04 Payments'!$K$7:$K$400,'04 Payments'!$G$7:$G$400,$D200,'04 Payments'!$H$7:$H$400,"Booking Deposit")</f>
        <v>0</v>
      </c>
      <c r="N200" s="41">
        <f>SUMIFS('04 Payments'!$K$7:$K$400,'04 Payments'!$G$7:$G$400,$D200)</f>
        <v>0</v>
      </c>
      <c r="O200" s="41">
        <f t="shared" si="1"/>
        <v>0</v>
      </c>
      <c r="P200" s="54">
        <f>COUNTIFS('04 Payments'!$G$7:$G$400,$D200,'04 Payments'!$S$7:$S$400,"Overdue")</f>
        <v>0</v>
      </c>
      <c r="Q200" s="32"/>
      <c r="R200" s="32"/>
      <c r="S200" s="32"/>
      <c r="T200" s="55"/>
      <c r="U200" s="55"/>
      <c r="V200" s="55"/>
      <c r="W200" s="38"/>
      <c r="X200" s="32"/>
      <c r="Y200" s="24"/>
      <c r="Z200" s="32"/>
      <c r="AA200" s="32"/>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AA$200"/>
  <conditionalFormatting sqref="B7:AA200">
    <cfRule type="expression" dxfId="3" priority="1">
      <formula>$S7="Confirmed"</formula>
    </cfRule>
  </conditionalFormatting>
  <conditionalFormatting sqref="B7:AA200">
    <cfRule type="expression" dxfId="13" priority="2">
      <formula>$S7="Cancelled"</formula>
    </cfRule>
  </conditionalFormatting>
  <conditionalFormatting sqref="P7:P200">
    <cfRule type="cellIs" dxfId="2" priority="3" operator="greaterThan">
      <formula>0</formula>
    </cfRule>
  </conditionalFormatting>
  <dataValidations>
    <dataValidation type="list" allowBlank="1" sqref="S7:S200">
      <formula1>"Researching,Shortlisted,Negotiating,Tentatively Booked,Confirmed,Completed,Cancelled"</formula1>
    </dataValidation>
    <dataValidation type="list" allowBlank="1" sqref="Q7:Q200">
      <formula1>"Yes,No"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4E"/>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0"/>
    <col customWidth="1" min="2" max="2" width="4.71"/>
    <col customWidth="1" min="3" max="3" width="13.14"/>
    <col customWidth="1" min="4" max="4" width="58.29"/>
    <col customWidth="1" min="5" max="5" width="47.0"/>
    <col customWidth="1" min="6" max="8" width="26.29"/>
    <col customWidth="1" min="9" max="9" width="28.14"/>
  </cols>
  <sheetData>
    <row r="1" ht="16.5" customHeight="1">
      <c r="A1" s="4"/>
      <c r="B1" s="4"/>
      <c r="C1" s="4"/>
      <c r="D1" s="4"/>
      <c r="E1" s="4"/>
      <c r="F1" s="4"/>
      <c r="G1" s="4"/>
      <c r="H1" s="4"/>
      <c r="I1" s="4"/>
    </row>
    <row r="2" ht="33.75" customHeight="1">
      <c r="A2" s="7"/>
      <c r="B2" s="2" t="s">
        <v>457</v>
      </c>
      <c r="C2" s="72"/>
      <c r="D2" s="72"/>
      <c r="E2" s="72"/>
      <c r="F2" s="72"/>
      <c r="G2" s="72"/>
      <c r="H2" s="72"/>
      <c r="I2" s="72"/>
    </row>
    <row r="3" ht="15.75" customHeight="1">
      <c r="A3" s="9"/>
      <c r="B3" s="3" t="s">
        <v>458</v>
      </c>
      <c r="C3" s="9"/>
      <c r="D3" s="9"/>
      <c r="E3" s="9"/>
      <c r="F3" s="9"/>
      <c r="G3" s="9"/>
      <c r="H3" s="9"/>
      <c r="I3" s="9"/>
    </row>
    <row r="4" ht="16.5" customHeight="1">
      <c r="A4" s="4"/>
      <c r="B4" s="4"/>
      <c r="C4" s="4"/>
      <c r="D4" s="4"/>
      <c r="E4" s="4"/>
      <c r="F4" s="4"/>
      <c r="G4" s="4"/>
      <c r="H4" s="4"/>
      <c r="I4" s="4"/>
    </row>
    <row r="5" ht="30.0" customHeight="1">
      <c r="A5" s="73"/>
      <c r="B5" s="62" t="s">
        <v>459</v>
      </c>
      <c r="C5" s="74"/>
      <c r="D5" s="74"/>
      <c r="E5" s="74"/>
      <c r="F5" s="74"/>
      <c r="G5" s="74"/>
      <c r="H5" s="74"/>
      <c r="I5" s="74"/>
    </row>
    <row r="6" ht="30.0" customHeight="1">
      <c r="A6" s="73"/>
      <c r="B6" s="17" t="s">
        <v>460</v>
      </c>
      <c r="C6" s="17" t="s">
        <v>461</v>
      </c>
      <c r="D6" s="17" t="s">
        <v>463</v>
      </c>
      <c r="E6" s="17" t="s">
        <v>464</v>
      </c>
      <c r="F6" s="17" t="s">
        <v>465</v>
      </c>
      <c r="G6" s="17" t="s">
        <v>467</v>
      </c>
      <c r="H6" s="17" t="s">
        <v>468</v>
      </c>
      <c r="I6" s="17" t="s">
        <v>469</v>
      </c>
    </row>
    <row r="7" ht="16.5" customHeight="1">
      <c r="A7" s="4"/>
      <c r="B7" s="60">
        <v>1.0</v>
      </c>
      <c r="C7" s="60">
        <v>25.0</v>
      </c>
      <c r="D7" s="32" t="s">
        <v>470</v>
      </c>
      <c r="E7" s="60">
        <f>COUNTA(F27:H27)</f>
        <v>0</v>
      </c>
      <c r="F7" s="32" t="str">
        <f>$F$65</f>
        <v>Not decided</v>
      </c>
      <c r="G7" s="32" t="str">
        <f>$G$65</f>
        <v/>
      </c>
      <c r="H7" s="41">
        <f>$H$65</f>
        <v>0</v>
      </c>
      <c r="I7" s="32" t="str">
        <f>$I$65</f>
        <v>-</v>
      </c>
    </row>
    <row r="8" ht="16.5" customHeight="1">
      <c r="A8" s="4"/>
      <c r="B8" s="60">
        <v>2.0</v>
      </c>
      <c r="C8" s="60">
        <v>68.0</v>
      </c>
      <c r="D8" s="32" t="s">
        <v>471</v>
      </c>
      <c r="E8" s="60">
        <f>COUNTA(F70:H70)</f>
        <v>0</v>
      </c>
      <c r="F8" s="32" t="str">
        <f>$F$97</f>
        <v>Not decided</v>
      </c>
      <c r="G8" s="32" t="str">
        <f>$G$97</f>
        <v/>
      </c>
      <c r="H8" s="41">
        <f>$H$97</f>
        <v>0</v>
      </c>
      <c r="I8" s="32" t="str">
        <f>$I$97</f>
        <v>-</v>
      </c>
    </row>
    <row r="9" ht="16.5" customHeight="1">
      <c r="A9" s="4"/>
      <c r="B9" s="60">
        <v>3.0</v>
      </c>
      <c r="C9" s="60">
        <v>100.0</v>
      </c>
      <c r="D9" s="32" t="s">
        <v>474</v>
      </c>
      <c r="E9" s="60">
        <f>COUNTA(F102:H102)</f>
        <v>0</v>
      </c>
      <c r="F9" s="32" t="str">
        <f>$F$133</f>
        <v>Not decided</v>
      </c>
      <c r="G9" s="32" t="str">
        <f>$G$133</f>
        <v/>
      </c>
      <c r="H9" s="41">
        <f>$H$133</f>
        <v>0</v>
      </c>
      <c r="I9" s="32" t="str">
        <f>$I$133</f>
        <v>-</v>
      </c>
    </row>
    <row r="10" ht="16.5" customHeight="1">
      <c r="A10" s="4"/>
      <c r="B10" s="60">
        <v>4.0</v>
      </c>
      <c r="C10" s="60">
        <v>136.0</v>
      </c>
      <c r="D10" s="32" t="s">
        <v>475</v>
      </c>
      <c r="E10" s="60">
        <f>COUNTA(F138:H138)</f>
        <v>0</v>
      </c>
      <c r="F10" s="32" t="str">
        <f>$F$165</f>
        <v>Not decided</v>
      </c>
      <c r="G10" s="32" t="str">
        <f>$G$165</f>
        <v/>
      </c>
      <c r="H10" s="41">
        <f>$H$165</f>
        <v>0</v>
      </c>
      <c r="I10" s="32" t="str">
        <f>$I$165</f>
        <v>-</v>
      </c>
    </row>
    <row r="11" ht="16.5" customHeight="1">
      <c r="A11" s="4"/>
      <c r="B11" s="60">
        <v>5.0</v>
      </c>
      <c r="C11" s="60">
        <v>168.0</v>
      </c>
      <c r="D11" s="32" t="s">
        <v>478</v>
      </c>
      <c r="E11" s="60">
        <f>COUNTA(F170:H170)</f>
        <v>0</v>
      </c>
      <c r="F11" s="32" t="str">
        <f>$F$199</f>
        <v>Not decided</v>
      </c>
      <c r="G11" s="32" t="str">
        <f>$G$199</f>
        <v/>
      </c>
      <c r="H11" s="41">
        <f>$H$199</f>
        <v>0</v>
      </c>
      <c r="I11" s="32" t="str">
        <f>$I$199</f>
        <v>-</v>
      </c>
    </row>
    <row r="12" ht="16.5" customHeight="1">
      <c r="A12" s="4"/>
      <c r="B12" s="60">
        <v>6.0</v>
      </c>
      <c r="C12" s="60">
        <v>202.0</v>
      </c>
      <c r="D12" s="32" t="s">
        <v>479</v>
      </c>
      <c r="E12" s="60">
        <f>COUNTA(F204:H204)</f>
        <v>0</v>
      </c>
      <c r="F12" s="32" t="str">
        <f>$F$230</f>
        <v>Not decided</v>
      </c>
      <c r="G12" s="32" t="str">
        <f>$G$230</f>
        <v/>
      </c>
      <c r="H12" s="41">
        <f>$H$230</f>
        <v>0</v>
      </c>
      <c r="I12" s="32" t="str">
        <f>$I$230</f>
        <v>-</v>
      </c>
    </row>
    <row r="13" ht="16.5" customHeight="1">
      <c r="A13" s="4"/>
      <c r="B13" s="60">
        <v>7.0</v>
      </c>
      <c r="C13" s="60">
        <v>233.0</v>
      </c>
      <c r="D13" s="32" t="s">
        <v>481</v>
      </c>
      <c r="E13" s="60">
        <f>COUNTA(F235:H235)</f>
        <v>0</v>
      </c>
      <c r="F13" s="32" t="str">
        <f>$F$260</f>
        <v>Not decided</v>
      </c>
      <c r="G13" s="32" t="str">
        <f>$G$260</f>
        <v/>
      </c>
      <c r="H13" s="41">
        <f>$H$260</f>
        <v>0</v>
      </c>
      <c r="I13" s="32" t="str">
        <f>$I$260</f>
        <v>-</v>
      </c>
    </row>
    <row r="14" ht="16.5" customHeight="1">
      <c r="A14" s="4"/>
      <c r="B14" s="60">
        <v>8.0</v>
      </c>
      <c r="C14" s="60">
        <v>263.0</v>
      </c>
      <c r="D14" s="32" t="s">
        <v>171</v>
      </c>
      <c r="E14" s="60">
        <f>COUNTA(F265:H265)</f>
        <v>1</v>
      </c>
      <c r="F14" s="32" t="str">
        <f>$F$288</f>
        <v>Option A</v>
      </c>
      <c r="G14" s="32" t="str">
        <f>$G$288</f>
        <v>Panadura Gold house</v>
      </c>
      <c r="H14" s="41" t="str">
        <f>$H$288</f>
        <v/>
      </c>
      <c r="I14" s="32" t="str">
        <f>$I$288</f>
        <v>Yes</v>
      </c>
    </row>
    <row r="15" ht="16.5" customHeight="1">
      <c r="A15" s="4"/>
      <c r="B15" s="60">
        <v>9.0</v>
      </c>
      <c r="C15" s="60">
        <v>291.0</v>
      </c>
      <c r="D15" s="32" t="s">
        <v>154</v>
      </c>
      <c r="E15" s="60">
        <f>COUNTA(F293:H293)</f>
        <v>0</v>
      </c>
      <c r="F15" s="32" t="str">
        <f>$F$316</f>
        <v>Not decided</v>
      </c>
      <c r="G15" s="32" t="str">
        <f>$G$316</f>
        <v/>
      </c>
      <c r="H15" s="41">
        <f>$H$316</f>
        <v>0</v>
      </c>
      <c r="I15" s="32" t="str">
        <f>$I$316</f>
        <v>-</v>
      </c>
    </row>
    <row r="16" ht="16.5" customHeight="1">
      <c r="A16" s="4"/>
      <c r="B16" s="60">
        <v>10.0</v>
      </c>
      <c r="C16" s="60">
        <v>319.0</v>
      </c>
      <c r="D16" s="32" t="s">
        <v>485</v>
      </c>
      <c r="E16" s="60">
        <f>COUNTA(F321:H321)</f>
        <v>0</v>
      </c>
      <c r="F16" s="32" t="str">
        <f>$F$343</f>
        <v>Not decided</v>
      </c>
      <c r="G16" s="32" t="str">
        <f>$G$343</f>
        <v/>
      </c>
      <c r="H16" s="41">
        <f>$H$343</f>
        <v>0</v>
      </c>
      <c r="I16" s="32" t="str">
        <f>$I$343</f>
        <v>-</v>
      </c>
    </row>
    <row r="17" ht="16.5" customHeight="1">
      <c r="A17" s="4"/>
      <c r="B17" s="60">
        <v>11.0</v>
      </c>
      <c r="C17" s="60">
        <v>346.0</v>
      </c>
      <c r="D17" s="32" t="s">
        <v>488</v>
      </c>
      <c r="E17" s="60">
        <f>COUNTA(F348:H348)</f>
        <v>0</v>
      </c>
      <c r="F17" s="32" t="str">
        <f>$F$369</f>
        <v>Not decided</v>
      </c>
      <c r="G17" s="32" t="str">
        <f>$G$369</f>
        <v/>
      </c>
      <c r="H17" s="41">
        <f>$H$369</f>
        <v>0</v>
      </c>
      <c r="I17" s="32" t="str">
        <f>$I$369</f>
        <v>-</v>
      </c>
    </row>
    <row r="18" ht="16.5" customHeight="1">
      <c r="A18" s="4"/>
      <c r="B18" s="60">
        <v>12.0</v>
      </c>
      <c r="C18" s="60">
        <v>372.0</v>
      </c>
      <c r="D18" s="32" t="s">
        <v>489</v>
      </c>
      <c r="E18" s="60">
        <f>COUNTA(F374:H374)</f>
        <v>0</v>
      </c>
      <c r="F18" s="32" t="str">
        <f>$F$394</f>
        <v>Not decided</v>
      </c>
      <c r="G18" s="32" t="str">
        <f>$G$394</f>
        <v/>
      </c>
      <c r="H18" s="41">
        <f>$H$394</f>
        <v>0</v>
      </c>
      <c r="I18" s="32" t="str">
        <f>$I$394</f>
        <v>-</v>
      </c>
    </row>
    <row r="19" ht="16.5" customHeight="1">
      <c r="A19" s="4"/>
      <c r="B19" s="60">
        <v>13.0</v>
      </c>
      <c r="C19" s="60">
        <v>397.0</v>
      </c>
      <c r="D19" s="32" t="s">
        <v>492</v>
      </c>
      <c r="E19" s="60">
        <f>COUNTA(F399:H399)</f>
        <v>0</v>
      </c>
      <c r="F19" s="32" t="str">
        <f>$F$422</f>
        <v>Not decided</v>
      </c>
      <c r="G19" s="32" t="str">
        <f>$G$422</f>
        <v/>
      </c>
      <c r="H19" s="41">
        <f>$H$422</f>
        <v>0</v>
      </c>
      <c r="I19" s="32" t="str">
        <f>$I$422</f>
        <v>-</v>
      </c>
    </row>
    <row r="20" ht="16.5" customHeight="1">
      <c r="A20" s="4"/>
      <c r="B20" s="60">
        <v>14.0</v>
      </c>
      <c r="C20" s="60">
        <v>425.0</v>
      </c>
      <c r="D20" s="32" t="s">
        <v>223</v>
      </c>
      <c r="E20" s="60">
        <f>COUNTA(F427:H427)</f>
        <v>0</v>
      </c>
      <c r="F20" s="32" t="str">
        <f>$F$450</f>
        <v>Not decided</v>
      </c>
      <c r="G20" s="32" t="str">
        <f>$G$450</f>
        <v/>
      </c>
      <c r="H20" s="41">
        <f>$H$450</f>
        <v>0</v>
      </c>
      <c r="I20" s="32" t="str">
        <f>$I$450</f>
        <v>-</v>
      </c>
    </row>
    <row r="21" ht="16.5" customHeight="1">
      <c r="A21" s="4"/>
      <c r="B21" s="60">
        <v>15.0</v>
      </c>
      <c r="C21" s="60">
        <v>453.0</v>
      </c>
      <c r="D21" s="32" t="s">
        <v>495</v>
      </c>
      <c r="E21" s="60">
        <f>COUNTA(F455:H455)</f>
        <v>0</v>
      </c>
      <c r="F21" s="32" t="str">
        <f>$F$477</f>
        <v>Not decided</v>
      </c>
      <c r="G21" s="32" t="str">
        <f>$G$477</f>
        <v/>
      </c>
      <c r="H21" s="41">
        <f>$H$477</f>
        <v>0</v>
      </c>
      <c r="I21" s="32" t="str">
        <f>$I$477</f>
        <v>-</v>
      </c>
    </row>
    <row r="22" ht="16.5" customHeight="1">
      <c r="A22" s="4"/>
      <c r="B22" s="60">
        <v>16.0</v>
      </c>
      <c r="C22" s="60">
        <v>480.0</v>
      </c>
      <c r="D22" s="32" t="s">
        <v>497</v>
      </c>
      <c r="E22" s="60">
        <f>COUNTA(F482:H482)</f>
        <v>0</v>
      </c>
      <c r="F22" s="32" t="str">
        <f>$F$505</f>
        <v>Not decided</v>
      </c>
      <c r="G22" s="32" t="str">
        <f>$G$505</f>
        <v/>
      </c>
      <c r="H22" s="41">
        <f>$H$505</f>
        <v>0</v>
      </c>
      <c r="I22" s="32" t="str">
        <f>$I$505</f>
        <v>-</v>
      </c>
    </row>
    <row r="23" ht="16.5" customHeight="1">
      <c r="A23" s="4"/>
      <c r="B23" s="75"/>
      <c r="C23" s="75"/>
      <c r="D23" s="75"/>
      <c r="E23" s="75"/>
      <c r="F23" s="75"/>
      <c r="G23" s="75"/>
      <c r="H23" s="75"/>
      <c r="I23" s="75"/>
    </row>
    <row r="24" ht="16.5" customHeight="1">
      <c r="A24" s="4"/>
      <c r="B24" s="75"/>
      <c r="C24" s="75"/>
      <c r="D24" s="75"/>
      <c r="E24" s="75"/>
      <c r="F24" s="75"/>
      <c r="G24" s="75"/>
      <c r="H24" s="75"/>
      <c r="I24" s="75"/>
    </row>
    <row r="25" ht="21.75" customHeight="1">
      <c r="A25" s="76"/>
      <c r="B25" s="8" t="s">
        <v>501</v>
      </c>
      <c r="C25" s="77"/>
      <c r="D25" s="77"/>
      <c r="E25" s="77"/>
      <c r="F25" s="77"/>
      <c r="G25" s="77"/>
      <c r="H25" s="77"/>
      <c r="I25" s="78" t="s">
        <v>502</v>
      </c>
    </row>
    <row r="26" ht="30.0" customHeight="1">
      <c r="A26" s="73"/>
      <c r="B26" s="17" t="s">
        <v>460</v>
      </c>
      <c r="C26" s="17" t="s">
        <v>503</v>
      </c>
      <c r="D26" s="17" t="s">
        <v>505</v>
      </c>
      <c r="E26" s="17" t="s">
        <v>506</v>
      </c>
      <c r="F26" s="17" t="s">
        <v>508</v>
      </c>
      <c r="G26" s="17" t="s">
        <v>509</v>
      </c>
      <c r="H26" s="17" t="s">
        <v>510</v>
      </c>
      <c r="I26" s="17" t="s">
        <v>511</v>
      </c>
    </row>
    <row r="27" ht="16.5" customHeight="1">
      <c r="A27" s="4"/>
      <c r="B27" s="79"/>
      <c r="C27" s="79"/>
      <c r="D27" s="15" t="s">
        <v>512</v>
      </c>
      <c r="E27" s="79"/>
      <c r="F27" s="80"/>
      <c r="G27" s="80"/>
      <c r="H27" s="80"/>
      <c r="I27" s="79"/>
    </row>
    <row r="28" ht="16.5" customHeight="1">
      <c r="A28" s="4"/>
      <c r="B28" s="79"/>
      <c r="C28" s="79"/>
      <c r="D28" s="15" t="s">
        <v>182</v>
      </c>
      <c r="E28" s="79"/>
      <c r="F28" s="80"/>
      <c r="G28" s="80"/>
      <c r="H28" s="80"/>
      <c r="I28" s="79"/>
    </row>
    <row r="29" ht="16.5" customHeight="1">
      <c r="A29" s="4"/>
      <c r="B29" s="79"/>
      <c r="C29" s="79"/>
      <c r="D29" s="15" t="s">
        <v>515</v>
      </c>
      <c r="E29" s="79"/>
      <c r="F29" s="80"/>
      <c r="G29" s="80"/>
      <c r="H29" s="80"/>
      <c r="I29" s="79"/>
    </row>
    <row r="30" ht="16.5" customHeight="1">
      <c r="A30" s="4"/>
      <c r="B30" s="79"/>
      <c r="C30" s="79"/>
      <c r="D30" s="15" t="s">
        <v>516</v>
      </c>
      <c r="E30" s="79"/>
      <c r="F30" s="80"/>
      <c r="G30" s="80"/>
      <c r="H30" s="80"/>
      <c r="I30" s="79"/>
    </row>
    <row r="31" ht="16.5" customHeight="1">
      <c r="A31" s="4"/>
      <c r="B31" s="79"/>
      <c r="C31" s="79"/>
      <c r="D31" s="15" t="s">
        <v>517</v>
      </c>
      <c r="E31" s="79"/>
      <c r="F31" s="81"/>
      <c r="G31" s="81"/>
      <c r="H31" s="81"/>
      <c r="I31" s="79"/>
    </row>
    <row r="32" ht="16.5" customHeight="1">
      <c r="A32" s="4"/>
      <c r="B32" s="79"/>
      <c r="C32" s="79"/>
      <c r="D32" s="15" t="s">
        <v>519</v>
      </c>
      <c r="E32" s="79"/>
      <c r="F32" s="81"/>
      <c r="G32" s="81"/>
      <c r="H32" s="81"/>
      <c r="I32" s="79"/>
    </row>
    <row r="33" ht="16.5" customHeight="1">
      <c r="A33" s="4"/>
      <c r="B33" s="79"/>
      <c r="C33" s="79"/>
      <c r="D33" s="15" t="s">
        <v>521</v>
      </c>
      <c r="E33" s="79"/>
      <c r="F33" s="81"/>
      <c r="G33" s="81"/>
      <c r="H33" s="81"/>
      <c r="I33" s="79"/>
    </row>
    <row r="34" ht="16.5" customHeight="1">
      <c r="A34" s="4"/>
      <c r="B34" s="79"/>
      <c r="C34" s="79"/>
      <c r="D34" s="15" t="s">
        <v>522</v>
      </c>
      <c r="E34" s="79"/>
      <c r="F34" s="80"/>
      <c r="G34" s="80"/>
      <c r="H34" s="80"/>
      <c r="I34" s="79"/>
    </row>
    <row r="35" ht="16.5" customHeight="1">
      <c r="A35" s="4"/>
      <c r="B35" s="79"/>
      <c r="C35" s="79"/>
      <c r="D35" s="15" t="s">
        <v>523</v>
      </c>
      <c r="E35" s="79"/>
      <c r="F35" s="82"/>
      <c r="G35" s="82"/>
      <c r="H35" s="82"/>
      <c r="I35" s="79"/>
    </row>
    <row r="36" ht="15.0" customHeight="1">
      <c r="A36" s="83"/>
      <c r="B36" s="6" t="s">
        <v>526</v>
      </c>
      <c r="C36" s="84"/>
      <c r="D36" s="84"/>
      <c r="E36" s="84"/>
      <c r="F36" s="84"/>
      <c r="G36" s="84"/>
      <c r="H36" s="84"/>
      <c r="I36" s="84"/>
    </row>
    <row r="37" ht="25.5" customHeight="1">
      <c r="A37" s="4"/>
      <c r="B37" s="85">
        <v>1.0</v>
      </c>
      <c r="C37" s="86" t="s">
        <v>95</v>
      </c>
      <c r="D37" s="87" t="s">
        <v>527</v>
      </c>
      <c r="E37" s="88" t="s">
        <v>529</v>
      </c>
      <c r="F37" s="87"/>
      <c r="G37" s="87"/>
      <c r="H37" s="87"/>
      <c r="I37" s="87"/>
    </row>
    <row r="38" ht="25.5" customHeight="1">
      <c r="A38" s="4"/>
      <c r="B38" s="85">
        <v>2.0</v>
      </c>
      <c r="C38" s="86" t="s">
        <v>95</v>
      </c>
      <c r="D38" s="87" t="s">
        <v>531</v>
      </c>
      <c r="E38" s="88" t="s">
        <v>532</v>
      </c>
      <c r="F38" s="87"/>
      <c r="G38" s="87"/>
      <c r="H38" s="87"/>
      <c r="I38" s="87"/>
    </row>
    <row r="39" ht="25.5" customHeight="1">
      <c r="A39" s="4"/>
      <c r="B39" s="85">
        <v>3.0</v>
      </c>
      <c r="C39" s="86" t="s">
        <v>95</v>
      </c>
      <c r="D39" s="87" t="s">
        <v>533</v>
      </c>
      <c r="E39" s="88" t="s">
        <v>534</v>
      </c>
      <c r="F39" s="87"/>
      <c r="G39" s="87"/>
      <c r="H39" s="87"/>
      <c r="I39" s="87"/>
    </row>
    <row r="40" ht="25.5" customHeight="1">
      <c r="A40" s="4"/>
      <c r="B40" s="85">
        <v>4.0</v>
      </c>
      <c r="C40" s="86" t="s">
        <v>95</v>
      </c>
      <c r="D40" s="87" t="s">
        <v>535</v>
      </c>
      <c r="E40" s="88" t="s">
        <v>536</v>
      </c>
      <c r="F40" s="87"/>
      <c r="G40" s="87"/>
      <c r="H40" s="87"/>
      <c r="I40" s="87"/>
    </row>
    <row r="41" ht="25.5" customHeight="1">
      <c r="A41" s="4"/>
      <c r="B41" s="85">
        <v>5.0</v>
      </c>
      <c r="C41" s="86" t="s">
        <v>95</v>
      </c>
      <c r="D41" s="87" t="s">
        <v>539</v>
      </c>
      <c r="E41" s="88" t="s">
        <v>540</v>
      </c>
      <c r="F41" s="87"/>
      <c r="G41" s="87"/>
      <c r="H41" s="87"/>
      <c r="I41" s="87"/>
    </row>
    <row r="42" ht="25.5" customHeight="1">
      <c r="A42" s="4"/>
      <c r="B42" s="85">
        <v>6.0</v>
      </c>
      <c r="C42" s="86" t="s">
        <v>95</v>
      </c>
      <c r="D42" s="87" t="s">
        <v>541</v>
      </c>
      <c r="E42" s="88" t="s">
        <v>542</v>
      </c>
      <c r="F42" s="87"/>
      <c r="G42" s="87"/>
      <c r="H42" s="87"/>
      <c r="I42" s="87"/>
    </row>
    <row r="43" ht="25.5" customHeight="1">
      <c r="A43" s="4"/>
      <c r="B43" s="85">
        <v>7.0</v>
      </c>
      <c r="C43" s="86" t="s">
        <v>95</v>
      </c>
      <c r="D43" s="87" t="s">
        <v>543</v>
      </c>
      <c r="E43" s="88" t="s">
        <v>545</v>
      </c>
      <c r="F43" s="87"/>
      <c r="G43" s="87"/>
      <c r="H43" s="87"/>
      <c r="I43" s="87"/>
    </row>
    <row r="44" ht="25.5" customHeight="1">
      <c r="A44" s="4"/>
      <c r="B44" s="85">
        <v>8.0</v>
      </c>
      <c r="C44" s="86" t="s">
        <v>95</v>
      </c>
      <c r="D44" s="87" t="s">
        <v>547</v>
      </c>
      <c r="E44" s="88" t="s">
        <v>548</v>
      </c>
      <c r="F44" s="87"/>
      <c r="G44" s="87"/>
      <c r="H44" s="87"/>
      <c r="I44" s="87"/>
    </row>
    <row r="45" ht="25.5" customHeight="1">
      <c r="A45" s="4"/>
      <c r="B45" s="85">
        <v>9.0</v>
      </c>
      <c r="C45" s="89" t="s">
        <v>549</v>
      </c>
      <c r="D45" s="87" t="s">
        <v>550</v>
      </c>
      <c r="E45" s="88" t="s">
        <v>551</v>
      </c>
      <c r="F45" s="87"/>
      <c r="G45" s="87"/>
      <c r="H45" s="87"/>
      <c r="I45" s="87"/>
    </row>
    <row r="46" ht="25.5" customHeight="1">
      <c r="A46" s="4"/>
      <c r="B46" s="85">
        <v>10.0</v>
      </c>
      <c r="C46" s="89" t="s">
        <v>549</v>
      </c>
      <c r="D46" s="87" t="s">
        <v>554</v>
      </c>
      <c r="E46" s="88" t="s">
        <v>555</v>
      </c>
      <c r="F46" s="87"/>
      <c r="G46" s="87"/>
      <c r="H46" s="87"/>
      <c r="I46" s="87"/>
    </row>
    <row r="47" ht="25.5" customHeight="1">
      <c r="A47" s="4"/>
      <c r="B47" s="85">
        <v>11.0</v>
      </c>
      <c r="C47" s="89" t="s">
        <v>549</v>
      </c>
      <c r="D47" s="87" t="s">
        <v>556</v>
      </c>
      <c r="E47" s="88" t="s">
        <v>557</v>
      </c>
      <c r="F47" s="87"/>
      <c r="G47" s="87"/>
      <c r="H47" s="87"/>
      <c r="I47" s="87"/>
    </row>
    <row r="48" ht="25.5" customHeight="1">
      <c r="A48" s="4"/>
      <c r="B48" s="85">
        <v>12.0</v>
      </c>
      <c r="C48" s="89" t="s">
        <v>549</v>
      </c>
      <c r="D48" s="87" t="s">
        <v>558</v>
      </c>
      <c r="E48" s="88" t="s">
        <v>559</v>
      </c>
      <c r="F48" s="87"/>
      <c r="G48" s="87"/>
      <c r="H48" s="87"/>
      <c r="I48" s="87"/>
    </row>
    <row r="49" ht="25.5" customHeight="1">
      <c r="A49" s="4"/>
      <c r="B49" s="85">
        <v>13.0</v>
      </c>
      <c r="C49" s="89" t="s">
        <v>549</v>
      </c>
      <c r="D49" s="87" t="s">
        <v>561</v>
      </c>
      <c r="E49" s="88" t="s">
        <v>562</v>
      </c>
      <c r="F49" s="87"/>
      <c r="G49" s="87"/>
      <c r="H49" s="87"/>
      <c r="I49" s="87"/>
    </row>
    <row r="50" ht="25.5" customHeight="1">
      <c r="A50" s="4"/>
      <c r="B50" s="85">
        <v>14.0</v>
      </c>
      <c r="C50" s="89" t="s">
        <v>549</v>
      </c>
      <c r="D50" s="87" t="s">
        <v>564</v>
      </c>
      <c r="E50" s="88" t="s">
        <v>565</v>
      </c>
      <c r="F50" s="87"/>
      <c r="G50" s="87"/>
      <c r="H50" s="87"/>
      <c r="I50" s="87"/>
    </row>
    <row r="51" ht="25.5" customHeight="1">
      <c r="A51" s="4"/>
      <c r="B51" s="85">
        <v>15.0</v>
      </c>
      <c r="C51" s="90" t="s">
        <v>566</v>
      </c>
      <c r="D51" s="87" t="s">
        <v>567</v>
      </c>
      <c r="E51" s="88" t="s">
        <v>568</v>
      </c>
      <c r="F51" s="87"/>
      <c r="G51" s="87"/>
      <c r="H51" s="87"/>
      <c r="I51" s="87"/>
    </row>
    <row r="52" ht="25.5" customHeight="1">
      <c r="A52" s="4"/>
      <c r="B52" s="85">
        <v>16.0</v>
      </c>
      <c r="C52" s="90" t="s">
        <v>566</v>
      </c>
      <c r="D52" s="87" t="s">
        <v>569</v>
      </c>
      <c r="E52" s="88" t="s">
        <v>570</v>
      </c>
      <c r="F52" s="87"/>
      <c r="G52" s="87"/>
      <c r="H52" s="87"/>
      <c r="I52" s="87"/>
    </row>
    <row r="53" ht="25.5" customHeight="1">
      <c r="A53" s="4"/>
      <c r="B53" s="85">
        <v>17.0</v>
      </c>
      <c r="C53" s="90" t="s">
        <v>566</v>
      </c>
      <c r="D53" s="87" t="s">
        <v>573</v>
      </c>
      <c r="E53" s="88" t="s">
        <v>574</v>
      </c>
      <c r="F53" s="87"/>
      <c r="G53" s="87"/>
      <c r="H53" s="87"/>
      <c r="I53" s="87"/>
    </row>
    <row r="54" ht="25.5" customHeight="1">
      <c r="A54" s="4"/>
      <c r="B54" s="85">
        <v>18.0</v>
      </c>
      <c r="C54" s="90" t="s">
        <v>566</v>
      </c>
      <c r="D54" s="87" t="s">
        <v>575</v>
      </c>
      <c r="E54" s="88" t="s">
        <v>576</v>
      </c>
      <c r="F54" s="87"/>
      <c r="G54" s="87"/>
      <c r="H54" s="87"/>
      <c r="I54" s="87"/>
    </row>
    <row r="55" ht="25.5" customHeight="1">
      <c r="A55" s="4"/>
      <c r="B55" s="85">
        <v>19.0</v>
      </c>
      <c r="C55" s="90" t="s">
        <v>566</v>
      </c>
      <c r="D55" s="87" t="s">
        <v>577</v>
      </c>
      <c r="E55" s="88" t="s">
        <v>578</v>
      </c>
      <c r="F55" s="87"/>
      <c r="G55" s="87"/>
      <c r="H55" s="87"/>
      <c r="I55" s="87"/>
    </row>
    <row r="56" ht="25.5" customHeight="1">
      <c r="A56" s="4"/>
      <c r="B56" s="85">
        <v>20.0</v>
      </c>
      <c r="C56" s="90" t="s">
        <v>566</v>
      </c>
      <c r="D56" s="87" t="s">
        <v>581</v>
      </c>
      <c r="E56" s="88" t="s">
        <v>582</v>
      </c>
      <c r="F56" s="87"/>
      <c r="G56" s="87"/>
      <c r="H56" s="87"/>
      <c r="I56" s="87"/>
    </row>
    <row r="57" ht="25.5" customHeight="1">
      <c r="A57" s="4"/>
      <c r="B57" s="85">
        <v>21.0</v>
      </c>
      <c r="C57" s="90" t="s">
        <v>566</v>
      </c>
      <c r="D57" s="87" t="s">
        <v>583</v>
      </c>
      <c r="E57" s="88" t="s">
        <v>584</v>
      </c>
      <c r="F57" s="87"/>
      <c r="G57" s="87"/>
      <c r="H57" s="87"/>
      <c r="I57" s="87"/>
    </row>
    <row r="58" ht="25.5" customHeight="1">
      <c r="A58" s="4"/>
      <c r="B58" s="85">
        <v>22.0</v>
      </c>
      <c r="C58" s="90" t="s">
        <v>566</v>
      </c>
      <c r="D58" s="87" t="s">
        <v>585</v>
      </c>
      <c r="E58" s="88" t="s">
        <v>586</v>
      </c>
      <c r="F58" s="87"/>
      <c r="G58" s="87"/>
      <c r="H58" s="87"/>
      <c r="I58" s="87"/>
    </row>
    <row r="59" ht="25.5" customHeight="1">
      <c r="A59" s="4"/>
      <c r="B59" s="85">
        <v>23.0</v>
      </c>
      <c r="C59" s="90" t="s">
        <v>566</v>
      </c>
      <c r="D59" s="87" t="s">
        <v>589</v>
      </c>
      <c r="E59" s="88" t="s">
        <v>590</v>
      </c>
      <c r="F59" s="87"/>
      <c r="G59" s="87"/>
      <c r="H59" s="87"/>
      <c r="I59" s="87"/>
    </row>
    <row r="60" ht="25.5" customHeight="1">
      <c r="A60" s="4"/>
      <c r="B60" s="85">
        <v>24.0</v>
      </c>
      <c r="C60" s="91" t="s">
        <v>591</v>
      </c>
      <c r="D60" s="87" t="s">
        <v>592</v>
      </c>
      <c r="E60" s="88" t="s">
        <v>593</v>
      </c>
      <c r="F60" s="87"/>
      <c r="G60" s="87"/>
      <c r="H60" s="87"/>
      <c r="I60" s="87"/>
    </row>
    <row r="61" ht="25.5" customHeight="1">
      <c r="A61" s="4"/>
      <c r="B61" s="85">
        <v>25.0</v>
      </c>
      <c r="C61" s="91" t="s">
        <v>591</v>
      </c>
      <c r="D61" s="87" t="s">
        <v>594</v>
      </c>
      <c r="E61" s="88" t="s">
        <v>596</v>
      </c>
      <c r="F61" s="87"/>
      <c r="G61" s="87"/>
      <c r="H61" s="87"/>
      <c r="I61" s="87"/>
    </row>
    <row r="62" ht="25.5" customHeight="1">
      <c r="A62" s="4"/>
      <c r="B62" s="85">
        <v>26.0</v>
      </c>
      <c r="C62" s="91" t="s">
        <v>591</v>
      </c>
      <c r="D62" s="87" t="s">
        <v>598</v>
      </c>
      <c r="E62" s="88" t="s">
        <v>599</v>
      </c>
      <c r="F62" s="87"/>
      <c r="G62" s="87"/>
      <c r="H62" s="87"/>
      <c r="I62" s="87"/>
    </row>
    <row r="63" ht="25.5" customHeight="1">
      <c r="A63" s="4"/>
      <c r="B63" s="85">
        <v>27.0</v>
      </c>
      <c r="C63" s="91" t="s">
        <v>591</v>
      </c>
      <c r="D63" s="87" t="s">
        <v>600</v>
      </c>
      <c r="E63" s="88" t="s">
        <v>601</v>
      </c>
      <c r="F63" s="87"/>
      <c r="G63" s="87"/>
      <c r="H63" s="87"/>
      <c r="I63" s="87"/>
    </row>
    <row r="64" ht="16.5" customHeight="1">
      <c r="A64" s="4"/>
      <c r="B64" s="75"/>
      <c r="C64" s="75"/>
      <c r="D64" s="75"/>
      <c r="E64" s="75"/>
      <c r="F64" s="75"/>
      <c r="G64" s="75"/>
      <c r="H64" s="75"/>
      <c r="I64" s="75"/>
    </row>
    <row r="65" ht="16.5" customHeight="1">
      <c r="A65" s="4"/>
      <c r="B65" s="92"/>
      <c r="C65" s="92"/>
      <c r="D65" s="93" t="s">
        <v>602</v>
      </c>
      <c r="E65" s="94" t="s">
        <v>603</v>
      </c>
      <c r="F65" s="80" t="s">
        <v>604</v>
      </c>
      <c r="G65" s="95" t="str">
        <f>IF($F65="Option A",$F27,IF($F65="Option B",$G27,IF($F65="Option C",$H27,"")))</f>
        <v/>
      </c>
      <c r="H65" s="96">
        <f>IF($F65="Option A",IF($F32&gt;0,$F32,$F31),IF($F65="Option B",IF($G32&gt;0,$G32,$G31),IF($F65="Option C",IF($H32&gt;0,$H32,$H31),0)))</f>
        <v>0</v>
      </c>
      <c r="I65" s="93" t="str">
        <f>IF($G65="","-",IF(COUNTIF('05 Vendors'!$D$7:$D$200,$G65)&gt;0,"Yes","NOT YET"))</f>
        <v>-</v>
      </c>
    </row>
    <row r="66" ht="16.5" customHeight="1">
      <c r="A66" s="4"/>
      <c r="B66" s="75"/>
      <c r="C66" s="75"/>
      <c r="D66" s="75"/>
      <c r="E66" s="75"/>
      <c r="F66" s="75"/>
      <c r="G66" s="75"/>
      <c r="H66" s="75"/>
      <c r="I66" s="75"/>
    </row>
    <row r="67" ht="16.5" customHeight="1">
      <c r="A67" s="4"/>
      <c r="B67" s="75"/>
      <c r="C67" s="75"/>
      <c r="D67" s="75"/>
      <c r="E67" s="75"/>
      <c r="F67" s="75"/>
      <c r="G67" s="75"/>
      <c r="H67" s="75"/>
      <c r="I67" s="75"/>
    </row>
    <row r="68" ht="21.75" customHeight="1">
      <c r="A68" s="76"/>
      <c r="B68" s="8" t="s">
        <v>611</v>
      </c>
      <c r="C68" s="77"/>
      <c r="D68" s="77"/>
      <c r="E68" s="77"/>
      <c r="F68" s="77"/>
      <c r="G68" s="77"/>
      <c r="H68" s="77"/>
      <c r="I68" s="78" t="s">
        <v>502</v>
      </c>
    </row>
    <row r="69" ht="30.0" customHeight="1">
      <c r="A69" s="73"/>
      <c r="B69" s="17" t="s">
        <v>460</v>
      </c>
      <c r="C69" s="17" t="s">
        <v>503</v>
      </c>
      <c r="D69" s="17" t="s">
        <v>505</v>
      </c>
      <c r="E69" s="17" t="s">
        <v>506</v>
      </c>
      <c r="F69" s="17" t="s">
        <v>508</v>
      </c>
      <c r="G69" s="17" t="s">
        <v>509</v>
      </c>
      <c r="H69" s="17" t="s">
        <v>510</v>
      </c>
      <c r="I69" s="17" t="s">
        <v>511</v>
      </c>
    </row>
    <row r="70" ht="16.5" customHeight="1">
      <c r="A70" s="4"/>
      <c r="B70" s="79"/>
      <c r="C70" s="79"/>
      <c r="D70" s="15" t="s">
        <v>512</v>
      </c>
      <c r="E70" s="79"/>
      <c r="F70" s="80"/>
      <c r="G70" s="80"/>
      <c r="H70" s="80"/>
      <c r="I70" s="79"/>
    </row>
    <row r="71" ht="16.5" customHeight="1">
      <c r="A71" s="4"/>
      <c r="B71" s="79"/>
      <c r="C71" s="79"/>
      <c r="D71" s="15" t="s">
        <v>182</v>
      </c>
      <c r="E71" s="79"/>
      <c r="F71" s="80"/>
      <c r="G71" s="80"/>
      <c r="H71" s="80"/>
      <c r="I71" s="79"/>
    </row>
    <row r="72" ht="16.5" customHeight="1">
      <c r="A72" s="4"/>
      <c r="B72" s="79"/>
      <c r="C72" s="79"/>
      <c r="D72" s="15" t="s">
        <v>515</v>
      </c>
      <c r="E72" s="79"/>
      <c r="F72" s="80"/>
      <c r="G72" s="80"/>
      <c r="H72" s="80"/>
      <c r="I72" s="79"/>
    </row>
    <row r="73" ht="16.5" customHeight="1">
      <c r="A73" s="4"/>
      <c r="B73" s="79"/>
      <c r="C73" s="79"/>
      <c r="D73" s="15" t="s">
        <v>516</v>
      </c>
      <c r="E73" s="79"/>
      <c r="F73" s="80"/>
      <c r="G73" s="80"/>
      <c r="H73" s="80"/>
      <c r="I73" s="79"/>
    </row>
    <row r="74" ht="16.5" customHeight="1">
      <c r="A74" s="4"/>
      <c r="B74" s="79"/>
      <c r="C74" s="79"/>
      <c r="D74" s="15" t="s">
        <v>517</v>
      </c>
      <c r="E74" s="79"/>
      <c r="F74" s="81"/>
      <c r="G74" s="81"/>
      <c r="H74" s="81"/>
      <c r="I74" s="79"/>
    </row>
    <row r="75" ht="16.5" customHeight="1">
      <c r="A75" s="4"/>
      <c r="B75" s="79"/>
      <c r="C75" s="79"/>
      <c r="D75" s="15" t="s">
        <v>519</v>
      </c>
      <c r="E75" s="79"/>
      <c r="F75" s="81"/>
      <c r="G75" s="81"/>
      <c r="H75" s="81"/>
      <c r="I75" s="79"/>
    </row>
    <row r="76" ht="16.5" customHeight="1">
      <c r="A76" s="4"/>
      <c r="B76" s="79"/>
      <c r="C76" s="79"/>
      <c r="D76" s="15" t="s">
        <v>521</v>
      </c>
      <c r="E76" s="79"/>
      <c r="F76" s="81"/>
      <c r="G76" s="81"/>
      <c r="H76" s="81"/>
      <c r="I76" s="79"/>
    </row>
    <row r="77" ht="16.5" customHeight="1">
      <c r="A77" s="4"/>
      <c r="B77" s="79"/>
      <c r="C77" s="79"/>
      <c r="D77" s="15" t="s">
        <v>522</v>
      </c>
      <c r="E77" s="79"/>
      <c r="F77" s="80"/>
      <c r="G77" s="80"/>
      <c r="H77" s="80"/>
      <c r="I77" s="79"/>
    </row>
    <row r="78" ht="16.5" customHeight="1">
      <c r="A78" s="4"/>
      <c r="B78" s="79"/>
      <c r="C78" s="79"/>
      <c r="D78" s="15" t="s">
        <v>523</v>
      </c>
      <c r="E78" s="79"/>
      <c r="F78" s="82"/>
      <c r="G78" s="82"/>
      <c r="H78" s="82"/>
      <c r="I78" s="79"/>
    </row>
    <row r="79" ht="15.0" customHeight="1">
      <c r="A79" s="83"/>
      <c r="B79" s="6" t="s">
        <v>526</v>
      </c>
      <c r="C79" s="84"/>
      <c r="D79" s="84"/>
      <c r="E79" s="84"/>
      <c r="F79" s="84"/>
      <c r="G79" s="84"/>
      <c r="H79" s="84"/>
      <c r="I79" s="84"/>
    </row>
    <row r="80" ht="25.5" customHeight="1">
      <c r="A80" s="4"/>
      <c r="B80" s="85">
        <v>1.0</v>
      </c>
      <c r="C80" s="86" t="s">
        <v>95</v>
      </c>
      <c r="D80" s="87" t="s">
        <v>620</v>
      </c>
      <c r="E80" s="88" t="s">
        <v>622</v>
      </c>
      <c r="F80" s="87"/>
      <c r="G80" s="87"/>
      <c r="H80" s="87"/>
      <c r="I80" s="87"/>
    </row>
    <row r="81" ht="25.5" customHeight="1">
      <c r="A81" s="4"/>
      <c r="B81" s="85">
        <v>2.0</v>
      </c>
      <c r="C81" s="86" t="s">
        <v>95</v>
      </c>
      <c r="D81" s="87" t="s">
        <v>624</v>
      </c>
      <c r="E81" s="88" t="s">
        <v>625</v>
      </c>
      <c r="F81" s="87"/>
      <c r="G81" s="87"/>
      <c r="H81" s="87"/>
      <c r="I81" s="87"/>
    </row>
    <row r="82" ht="25.5" customHeight="1">
      <c r="A82" s="4"/>
      <c r="B82" s="85">
        <v>3.0</v>
      </c>
      <c r="C82" s="86" t="s">
        <v>95</v>
      </c>
      <c r="D82" s="87" t="s">
        <v>626</v>
      </c>
      <c r="E82" s="88" t="s">
        <v>627</v>
      </c>
      <c r="F82" s="87"/>
      <c r="G82" s="87"/>
      <c r="H82" s="87"/>
      <c r="I82" s="87"/>
    </row>
    <row r="83" ht="25.5" customHeight="1">
      <c r="A83" s="4"/>
      <c r="B83" s="85">
        <v>4.0</v>
      </c>
      <c r="C83" s="86" t="s">
        <v>95</v>
      </c>
      <c r="D83" s="87" t="s">
        <v>628</v>
      </c>
      <c r="E83" s="88" t="s">
        <v>629</v>
      </c>
      <c r="F83" s="87"/>
      <c r="G83" s="87"/>
      <c r="H83" s="87"/>
      <c r="I83" s="87"/>
    </row>
    <row r="84" ht="25.5" customHeight="1">
      <c r="A84" s="4"/>
      <c r="B84" s="85">
        <v>5.0</v>
      </c>
      <c r="C84" s="89" t="s">
        <v>549</v>
      </c>
      <c r="D84" s="87" t="s">
        <v>632</v>
      </c>
      <c r="E84" s="88" t="s">
        <v>633</v>
      </c>
      <c r="F84" s="87"/>
      <c r="G84" s="87"/>
      <c r="H84" s="87"/>
      <c r="I84" s="87"/>
    </row>
    <row r="85" ht="25.5" customHeight="1">
      <c r="A85" s="4"/>
      <c r="B85" s="85">
        <v>6.0</v>
      </c>
      <c r="C85" s="89" t="s">
        <v>549</v>
      </c>
      <c r="D85" s="87" t="s">
        <v>634</v>
      </c>
      <c r="E85" s="88" t="s">
        <v>635</v>
      </c>
      <c r="F85" s="87"/>
      <c r="G85" s="87"/>
      <c r="H85" s="87"/>
      <c r="I85" s="87"/>
    </row>
    <row r="86" ht="25.5" customHeight="1">
      <c r="A86" s="4"/>
      <c r="B86" s="85">
        <v>7.0</v>
      </c>
      <c r="C86" s="89" t="s">
        <v>549</v>
      </c>
      <c r="D86" s="87" t="s">
        <v>636</v>
      </c>
      <c r="E86" s="88" t="s">
        <v>637</v>
      </c>
      <c r="F86" s="87"/>
      <c r="G86" s="87"/>
      <c r="H86" s="87"/>
      <c r="I86" s="87"/>
    </row>
    <row r="87" ht="25.5" customHeight="1">
      <c r="A87" s="4"/>
      <c r="B87" s="85">
        <v>8.0</v>
      </c>
      <c r="C87" s="89" t="s">
        <v>549</v>
      </c>
      <c r="D87" s="87" t="s">
        <v>640</v>
      </c>
      <c r="E87" s="88" t="s">
        <v>641</v>
      </c>
      <c r="F87" s="87"/>
      <c r="G87" s="87"/>
      <c r="H87" s="87"/>
      <c r="I87" s="87"/>
    </row>
    <row r="88" ht="25.5" customHeight="1">
      <c r="A88" s="4"/>
      <c r="B88" s="85">
        <v>9.0</v>
      </c>
      <c r="C88" s="89" t="s">
        <v>549</v>
      </c>
      <c r="D88" s="87" t="s">
        <v>642</v>
      </c>
      <c r="E88" s="88" t="s">
        <v>643</v>
      </c>
      <c r="F88" s="87"/>
      <c r="G88" s="87"/>
      <c r="H88" s="87"/>
      <c r="I88" s="87"/>
    </row>
    <row r="89" ht="25.5" customHeight="1">
      <c r="A89" s="4"/>
      <c r="B89" s="85">
        <v>10.0</v>
      </c>
      <c r="C89" s="89" t="s">
        <v>549</v>
      </c>
      <c r="D89" s="87" t="s">
        <v>644</v>
      </c>
      <c r="E89" s="88" t="s">
        <v>645</v>
      </c>
      <c r="F89" s="87"/>
      <c r="G89" s="87"/>
      <c r="H89" s="87"/>
      <c r="I89" s="87"/>
    </row>
    <row r="90" ht="25.5" customHeight="1">
      <c r="A90" s="4"/>
      <c r="B90" s="85">
        <v>11.0</v>
      </c>
      <c r="C90" s="89" t="s">
        <v>549</v>
      </c>
      <c r="D90" s="87" t="s">
        <v>648</v>
      </c>
      <c r="E90" s="88" t="s">
        <v>649</v>
      </c>
      <c r="F90" s="87"/>
      <c r="G90" s="87"/>
      <c r="H90" s="87"/>
      <c r="I90" s="87"/>
    </row>
    <row r="91" ht="25.5" customHeight="1">
      <c r="A91" s="4"/>
      <c r="B91" s="85">
        <v>12.0</v>
      </c>
      <c r="C91" s="90" t="s">
        <v>566</v>
      </c>
      <c r="D91" s="87" t="s">
        <v>650</v>
      </c>
      <c r="E91" s="88" t="s">
        <v>651</v>
      </c>
      <c r="F91" s="87"/>
      <c r="G91" s="87"/>
      <c r="H91" s="87"/>
      <c r="I91" s="87"/>
    </row>
    <row r="92" ht="25.5" customHeight="1">
      <c r="A92" s="4"/>
      <c r="B92" s="85">
        <v>13.0</v>
      </c>
      <c r="C92" s="90" t="s">
        <v>566</v>
      </c>
      <c r="D92" s="87" t="s">
        <v>652</v>
      </c>
      <c r="E92" s="88" t="s">
        <v>653</v>
      </c>
      <c r="F92" s="87"/>
      <c r="G92" s="87"/>
      <c r="H92" s="87"/>
      <c r="I92" s="87"/>
    </row>
    <row r="93" ht="25.5" customHeight="1">
      <c r="A93" s="4"/>
      <c r="B93" s="85">
        <v>14.0</v>
      </c>
      <c r="C93" s="90" t="s">
        <v>566</v>
      </c>
      <c r="D93" s="87" t="s">
        <v>656</v>
      </c>
      <c r="E93" s="88" t="s">
        <v>657</v>
      </c>
      <c r="F93" s="87"/>
      <c r="G93" s="87"/>
      <c r="H93" s="87"/>
      <c r="I93" s="87"/>
    </row>
    <row r="94" ht="25.5" customHeight="1">
      <c r="A94" s="4"/>
      <c r="B94" s="85">
        <v>15.0</v>
      </c>
      <c r="C94" s="91" t="s">
        <v>591</v>
      </c>
      <c r="D94" s="87" t="s">
        <v>658</v>
      </c>
      <c r="E94" s="88" t="s">
        <v>659</v>
      </c>
      <c r="F94" s="87"/>
      <c r="G94" s="87"/>
      <c r="H94" s="87"/>
      <c r="I94" s="87"/>
    </row>
    <row r="95" ht="25.5" customHeight="1">
      <c r="A95" s="4"/>
      <c r="B95" s="85">
        <v>16.0</v>
      </c>
      <c r="C95" s="91" t="s">
        <v>591</v>
      </c>
      <c r="D95" s="87" t="s">
        <v>662</v>
      </c>
      <c r="E95" s="88" t="s">
        <v>663</v>
      </c>
      <c r="F95" s="87"/>
      <c r="G95" s="87"/>
      <c r="H95" s="87"/>
      <c r="I95" s="87"/>
    </row>
    <row r="96" ht="16.5" customHeight="1">
      <c r="A96" s="4"/>
      <c r="B96" s="75"/>
      <c r="C96" s="75"/>
      <c r="D96" s="75"/>
      <c r="E96" s="75"/>
      <c r="F96" s="75"/>
      <c r="G96" s="75"/>
      <c r="H96" s="75"/>
      <c r="I96" s="75"/>
    </row>
    <row r="97" ht="16.5" customHeight="1">
      <c r="A97" s="4"/>
      <c r="B97" s="92"/>
      <c r="C97" s="92"/>
      <c r="D97" s="93" t="s">
        <v>602</v>
      </c>
      <c r="E97" s="94" t="s">
        <v>603</v>
      </c>
      <c r="F97" s="80" t="s">
        <v>604</v>
      </c>
      <c r="G97" s="95" t="str">
        <f>IF($F97="Option A",$F70,IF($F97="Option B",$G70,IF($F97="Option C",$H70,"")))</f>
        <v/>
      </c>
      <c r="H97" s="96">
        <f>IF($F97="Option A",IF($F75&gt;0,$F75,$F74),IF($F97="Option B",IF($G75&gt;0,$G75,$G74),IF($F97="Option C",IF($H75&gt;0,$H75,$H74),0)))</f>
        <v>0</v>
      </c>
      <c r="I97" s="93" t="str">
        <f>IF($G97="","-",IF(COUNTIF('05 Vendors'!$D$7:$D$200,$G97)&gt;0,"Yes","NOT YET"))</f>
        <v>-</v>
      </c>
    </row>
    <row r="98" ht="16.5" customHeight="1">
      <c r="A98" s="4"/>
      <c r="B98" s="75"/>
      <c r="C98" s="75"/>
      <c r="D98" s="75"/>
      <c r="E98" s="75"/>
      <c r="F98" s="75"/>
      <c r="G98" s="75"/>
      <c r="H98" s="75"/>
      <c r="I98" s="75"/>
    </row>
    <row r="99" ht="16.5" customHeight="1">
      <c r="A99" s="4"/>
      <c r="B99" s="75"/>
      <c r="C99" s="75"/>
      <c r="D99" s="75"/>
      <c r="E99" s="75"/>
      <c r="F99" s="75"/>
      <c r="G99" s="75"/>
      <c r="H99" s="75"/>
      <c r="I99" s="75"/>
    </row>
    <row r="100" ht="21.75" customHeight="1">
      <c r="A100" s="76"/>
      <c r="B100" s="8" t="s">
        <v>671</v>
      </c>
      <c r="C100" s="77"/>
      <c r="D100" s="77"/>
      <c r="E100" s="77"/>
      <c r="F100" s="77"/>
      <c r="G100" s="77"/>
      <c r="H100" s="77"/>
      <c r="I100" s="78" t="s">
        <v>502</v>
      </c>
    </row>
    <row r="101" ht="30.0" customHeight="1">
      <c r="A101" s="73"/>
      <c r="B101" s="17" t="s">
        <v>460</v>
      </c>
      <c r="C101" s="17" t="s">
        <v>503</v>
      </c>
      <c r="D101" s="17" t="s">
        <v>505</v>
      </c>
      <c r="E101" s="17" t="s">
        <v>506</v>
      </c>
      <c r="F101" s="17" t="s">
        <v>508</v>
      </c>
      <c r="G101" s="17" t="s">
        <v>509</v>
      </c>
      <c r="H101" s="17" t="s">
        <v>510</v>
      </c>
      <c r="I101" s="17" t="s">
        <v>511</v>
      </c>
    </row>
    <row r="102" ht="16.5" customHeight="1">
      <c r="A102" s="4"/>
      <c r="B102" s="79"/>
      <c r="C102" s="79"/>
      <c r="D102" s="15" t="s">
        <v>512</v>
      </c>
      <c r="E102" s="79"/>
      <c r="F102" s="80"/>
      <c r="G102" s="80"/>
      <c r="H102" s="80"/>
      <c r="I102" s="79"/>
    </row>
    <row r="103" ht="16.5" customHeight="1">
      <c r="A103" s="4"/>
      <c r="B103" s="79"/>
      <c r="C103" s="79"/>
      <c r="D103" s="15" t="s">
        <v>182</v>
      </c>
      <c r="E103" s="79"/>
      <c r="F103" s="80"/>
      <c r="G103" s="80"/>
      <c r="H103" s="80"/>
      <c r="I103" s="79"/>
    </row>
    <row r="104" ht="16.5" customHeight="1">
      <c r="A104" s="4"/>
      <c r="B104" s="79"/>
      <c r="C104" s="79"/>
      <c r="D104" s="15" t="s">
        <v>515</v>
      </c>
      <c r="E104" s="79"/>
      <c r="F104" s="80"/>
      <c r="G104" s="80"/>
      <c r="H104" s="80"/>
      <c r="I104" s="79"/>
    </row>
    <row r="105" ht="16.5" customHeight="1">
      <c r="A105" s="4"/>
      <c r="B105" s="79"/>
      <c r="C105" s="79"/>
      <c r="D105" s="15" t="s">
        <v>516</v>
      </c>
      <c r="E105" s="79"/>
      <c r="F105" s="80"/>
      <c r="G105" s="80"/>
      <c r="H105" s="80"/>
      <c r="I105" s="79"/>
    </row>
    <row r="106" ht="16.5" customHeight="1">
      <c r="A106" s="4"/>
      <c r="B106" s="79"/>
      <c r="C106" s="79"/>
      <c r="D106" s="15" t="s">
        <v>517</v>
      </c>
      <c r="E106" s="79"/>
      <c r="F106" s="81"/>
      <c r="G106" s="81"/>
      <c r="H106" s="81"/>
      <c r="I106" s="79"/>
    </row>
    <row r="107" ht="16.5" customHeight="1">
      <c r="A107" s="4"/>
      <c r="B107" s="79"/>
      <c r="C107" s="79"/>
      <c r="D107" s="15" t="s">
        <v>519</v>
      </c>
      <c r="E107" s="79"/>
      <c r="F107" s="81"/>
      <c r="G107" s="81"/>
      <c r="H107" s="81"/>
      <c r="I107" s="79"/>
    </row>
    <row r="108" ht="16.5" customHeight="1">
      <c r="A108" s="4"/>
      <c r="B108" s="79"/>
      <c r="C108" s="79"/>
      <c r="D108" s="15" t="s">
        <v>521</v>
      </c>
      <c r="E108" s="79"/>
      <c r="F108" s="81"/>
      <c r="G108" s="81"/>
      <c r="H108" s="81"/>
      <c r="I108" s="79"/>
    </row>
    <row r="109" ht="16.5" customHeight="1">
      <c r="A109" s="4"/>
      <c r="B109" s="79"/>
      <c r="C109" s="79"/>
      <c r="D109" s="15" t="s">
        <v>522</v>
      </c>
      <c r="E109" s="79"/>
      <c r="F109" s="80"/>
      <c r="G109" s="80"/>
      <c r="H109" s="80"/>
      <c r="I109" s="79"/>
    </row>
    <row r="110" ht="16.5" customHeight="1">
      <c r="A110" s="4"/>
      <c r="B110" s="79"/>
      <c r="C110" s="79"/>
      <c r="D110" s="15" t="s">
        <v>523</v>
      </c>
      <c r="E110" s="79"/>
      <c r="F110" s="82"/>
      <c r="G110" s="82"/>
      <c r="H110" s="82"/>
      <c r="I110" s="79"/>
    </row>
    <row r="111" ht="15.0" customHeight="1">
      <c r="A111" s="83"/>
      <c r="B111" s="6" t="s">
        <v>526</v>
      </c>
      <c r="C111" s="84"/>
      <c r="D111" s="84"/>
      <c r="E111" s="84"/>
      <c r="F111" s="84"/>
      <c r="G111" s="84"/>
      <c r="H111" s="84"/>
      <c r="I111" s="84"/>
    </row>
    <row r="112" ht="25.5" customHeight="1">
      <c r="A112" s="4"/>
      <c r="B112" s="85">
        <v>1.0</v>
      </c>
      <c r="C112" s="86" t="s">
        <v>95</v>
      </c>
      <c r="D112" s="87" t="s">
        <v>681</v>
      </c>
      <c r="E112" s="88" t="s">
        <v>682</v>
      </c>
      <c r="F112" s="87"/>
      <c r="G112" s="87"/>
      <c r="H112" s="87"/>
      <c r="I112" s="87"/>
    </row>
    <row r="113" ht="25.5" customHeight="1">
      <c r="A113" s="4"/>
      <c r="B113" s="85">
        <v>2.0</v>
      </c>
      <c r="C113" s="86" t="s">
        <v>95</v>
      </c>
      <c r="D113" s="87" t="s">
        <v>683</v>
      </c>
      <c r="E113" s="88" t="s">
        <v>685</v>
      </c>
      <c r="F113" s="87"/>
      <c r="G113" s="87"/>
      <c r="H113" s="87"/>
      <c r="I113" s="87"/>
    </row>
    <row r="114" ht="25.5" customHeight="1">
      <c r="A114" s="4"/>
      <c r="B114" s="85">
        <v>3.0</v>
      </c>
      <c r="C114" s="86" t="s">
        <v>95</v>
      </c>
      <c r="D114" s="87" t="s">
        <v>686</v>
      </c>
      <c r="E114" s="88" t="s">
        <v>687</v>
      </c>
      <c r="F114" s="87"/>
      <c r="G114" s="87"/>
      <c r="H114" s="87"/>
      <c r="I114" s="87"/>
    </row>
    <row r="115" ht="25.5" customHeight="1">
      <c r="A115" s="4"/>
      <c r="B115" s="85">
        <v>4.0</v>
      </c>
      <c r="C115" s="86" t="s">
        <v>95</v>
      </c>
      <c r="D115" s="87" t="s">
        <v>688</v>
      </c>
      <c r="E115" s="88" t="s">
        <v>689</v>
      </c>
      <c r="F115" s="87"/>
      <c r="G115" s="87"/>
      <c r="H115" s="87"/>
      <c r="I115" s="87"/>
    </row>
    <row r="116" ht="25.5" customHeight="1">
      <c r="A116" s="4"/>
      <c r="B116" s="85">
        <v>5.0</v>
      </c>
      <c r="C116" s="86" t="s">
        <v>95</v>
      </c>
      <c r="D116" s="87" t="s">
        <v>690</v>
      </c>
      <c r="E116" s="88" t="s">
        <v>691</v>
      </c>
      <c r="F116" s="87"/>
      <c r="G116" s="87"/>
      <c r="H116" s="87"/>
      <c r="I116" s="87"/>
    </row>
    <row r="117" ht="25.5" customHeight="1">
      <c r="A117" s="4"/>
      <c r="B117" s="85">
        <v>6.0</v>
      </c>
      <c r="C117" s="89" t="s">
        <v>549</v>
      </c>
      <c r="D117" s="87" t="s">
        <v>694</v>
      </c>
      <c r="E117" s="88" t="s">
        <v>695</v>
      </c>
      <c r="F117" s="87"/>
      <c r="G117" s="87"/>
      <c r="H117" s="87"/>
      <c r="I117" s="87"/>
    </row>
    <row r="118" ht="25.5" customHeight="1">
      <c r="A118" s="4"/>
      <c r="B118" s="85">
        <v>7.0</v>
      </c>
      <c r="C118" s="89" t="s">
        <v>549</v>
      </c>
      <c r="D118" s="87" t="s">
        <v>696</v>
      </c>
      <c r="E118" s="88" t="s">
        <v>697</v>
      </c>
      <c r="F118" s="87"/>
      <c r="G118" s="87"/>
      <c r="H118" s="87"/>
      <c r="I118" s="87"/>
    </row>
    <row r="119" ht="25.5" customHeight="1">
      <c r="A119" s="4"/>
      <c r="B119" s="85">
        <v>8.0</v>
      </c>
      <c r="C119" s="89" t="s">
        <v>549</v>
      </c>
      <c r="D119" s="87" t="s">
        <v>698</v>
      </c>
      <c r="E119" s="88" t="s">
        <v>699</v>
      </c>
      <c r="F119" s="87"/>
      <c r="G119" s="87"/>
      <c r="H119" s="87"/>
      <c r="I119" s="87"/>
    </row>
    <row r="120" ht="25.5" customHeight="1">
      <c r="A120" s="4"/>
      <c r="B120" s="85">
        <v>9.0</v>
      </c>
      <c r="C120" s="89" t="s">
        <v>549</v>
      </c>
      <c r="D120" s="87" t="s">
        <v>702</v>
      </c>
      <c r="E120" s="88" t="s">
        <v>703</v>
      </c>
      <c r="F120" s="87"/>
      <c r="G120" s="87"/>
      <c r="H120" s="87"/>
      <c r="I120" s="87"/>
    </row>
    <row r="121" ht="25.5" customHeight="1">
      <c r="A121" s="4"/>
      <c r="B121" s="85">
        <v>10.0</v>
      </c>
      <c r="C121" s="89" t="s">
        <v>549</v>
      </c>
      <c r="D121" s="87" t="s">
        <v>704</v>
      </c>
      <c r="E121" s="88" t="s">
        <v>705</v>
      </c>
      <c r="F121" s="87"/>
      <c r="G121" s="87"/>
      <c r="H121" s="87"/>
      <c r="I121" s="87"/>
    </row>
    <row r="122" ht="25.5" customHeight="1">
      <c r="A122" s="4"/>
      <c r="B122" s="85">
        <v>11.0</v>
      </c>
      <c r="C122" s="90" t="s">
        <v>566</v>
      </c>
      <c r="D122" s="87" t="s">
        <v>706</v>
      </c>
      <c r="E122" s="88" t="s">
        <v>707</v>
      </c>
      <c r="F122" s="87"/>
      <c r="G122" s="87"/>
      <c r="H122" s="87"/>
      <c r="I122" s="87"/>
    </row>
    <row r="123" ht="25.5" customHeight="1">
      <c r="A123" s="4"/>
      <c r="B123" s="85">
        <v>12.0</v>
      </c>
      <c r="C123" s="90" t="s">
        <v>566</v>
      </c>
      <c r="D123" s="87" t="s">
        <v>708</v>
      </c>
      <c r="E123" s="88" t="s">
        <v>709</v>
      </c>
      <c r="F123" s="87"/>
      <c r="G123" s="87"/>
      <c r="H123" s="87"/>
      <c r="I123" s="87"/>
    </row>
    <row r="124" ht="25.5" customHeight="1">
      <c r="A124" s="4"/>
      <c r="B124" s="85">
        <v>13.0</v>
      </c>
      <c r="C124" s="90" t="s">
        <v>566</v>
      </c>
      <c r="D124" s="87" t="s">
        <v>712</v>
      </c>
      <c r="E124" s="88" t="s">
        <v>713</v>
      </c>
      <c r="F124" s="87"/>
      <c r="G124" s="87"/>
      <c r="H124" s="87"/>
      <c r="I124" s="87"/>
    </row>
    <row r="125" ht="25.5" customHeight="1">
      <c r="A125" s="4"/>
      <c r="B125" s="85">
        <v>14.0</v>
      </c>
      <c r="C125" s="90" t="s">
        <v>566</v>
      </c>
      <c r="D125" s="87" t="s">
        <v>714</v>
      </c>
      <c r="E125" s="88" t="s">
        <v>715</v>
      </c>
      <c r="F125" s="87"/>
      <c r="G125" s="87"/>
      <c r="H125" s="87"/>
      <c r="I125" s="87"/>
    </row>
    <row r="126" ht="25.5" customHeight="1">
      <c r="A126" s="4"/>
      <c r="B126" s="85">
        <v>15.0</v>
      </c>
      <c r="C126" s="90" t="s">
        <v>566</v>
      </c>
      <c r="D126" s="87" t="s">
        <v>716</v>
      </c>
      <c r="E126" s="88" t="s">
        <v>717</v>
      </c>
      <c r="F126" s="87"/>
      <c r="G126" s="87"/>
      <c r="H126" s="87"/>
      <c r="I126" s="87"/>
    </row>
    <row r="127" ht="25.5" customHeight="1">
      <c r="A127" s="4"/>
      <c r="B127" s="85">
        <v>16.0</v>
      </c>
      <c r="C127" s="90" t="s">
        <v>566</v>
      </c>
      <c r="D127" s="87" t="s">
        <v>718</v>
      </c>
      <c r="E127" s="88" t="s">
        <v>719</v>
      </c>
      <c r="F127" s="87"/>
      <c r="G127" s="87"/>
      <c r="H127" s="87"/>
      <c r="I127" s="87"/>
    </row>
    <row r="128" ht="25.5" customHeight="1">
      <c r="A128" s="4"/>
      <c r="B128" s="85">
        <v>17.0</v>
      </c>
      <c r="C128" s="91" t="s">
        <v>591</v>
      </c>
      <c r="D128" s="87" t="s">
        <v>722</v>
      </c>
      <c r="E128" s="88" t="s">
        <v>723</v>
      </c>
      <c r="F128" s="87"/>
      <c r="G128" s="87"/>
      <c r="H128" s="87"/>
      <c r="I128" s="87"/>
    </row>
    <row r="129" ht="25.5" customHeight="1">
      <c r="A129" s="4"/>
      <c r="B129" s="85">
        <v>18.0</v>
      </c>
      <c r="C129" s="91" t="s">
        <v>591</v>
      </c>
      <c r="D129" s="87" t="s">
        <v>724</v>
      </c>
      <c r="E129" s="88" t="s">
        <v>725</v>
      </c>
      <c r="F129" s="87"/>
      <c r="G129" s="87"/>
      <c r="H129" s="87"/>
      <c r="I129" s="87"/>
    </row>
    <row r="130" ht="25.5" customHeight="1">
      <c r="A130" s="4"/>
      <c r="B130" s="85">
        <v>19.0</v>
      </c>
      <c r="C130" s="91" t="s">
        <v>591</v>
      </c>
      <c r="D130" s="87" t="s">
        <v>726</v>
      </c>
      <c r="E130" s="88" t="s">
        <v>727</v>
      </c>
      <c r="F130" s="87"/>
      <c r="G130" s="87"/>
      <c r="H130" s="87"/>
      <c r="I130" s="87"/>
    </row>
    <row r="131" ht="25.5" customHeight="1">
      <c r="A131" s="4"/>
      <c r="B131" s="85">
        <v>20.0</v>
      </c>
      <c r="C131" s="91" t="s">
        <v>591</v>
      </c>
      <c r="D131" s="87" t="s">
        <v>662</v>
      </c>
      <c r="E131" s="88" t="s">
        <v>663</v>
      </c>
      <c r="F131" s="87"/>
      <c r="G131" s="87"/>
      <c r="H131" s="87"/>
      <c r="I131" s="87"/>
    </row>
    <row r="132" ht="16.5" customHeight="1">
      <c r="A132" s="4"/>
      <c r="B132" s="75"/>
      <c r="C132" s="75"/>
      <c r="D132" s="75"/>
      <c r="E132" s="75"/>
      <c r="F132" s="75"/>
      <c r="G132" s="75"/>
      <c r="H132" s="75"/>
      <c r="I132" s="75"/>
    </row>
    <row r="133" ht="16.5" customHeight="1">
      <c r="A133" s="4"/>
      <c r="B133" s="92"/>
      <c r="C133" s="92"/>
      <c r="D133" s="93" t="s">
        <v>602</v>
      </c>
      <c r="E133" s="94" t="s">
        <v>603</v>
      </c>
      <c r="F133" s="80" t="s">
        <v>604</v>
      </c>
      <c r="G133" s="95" t="str">
        <f>IF($F133="Option A",$F102,IF($F133="Option B",$G102,IF($F133="Option C",$H102,"")))</f>
        <v/>
      </c>
      <c r="H133" s="96">
        <f>IF($F133="Option A",IF($F107&gt;0,$F107,$F106),IF($F133="Option B",IF($G107&gt;0,$G107,$G106),IF($F133="Option C",IF($H107&gt;0,$H107,$H106),0)))</f>
        <v>0</v>
      </c>
      <c r="I133" s="93" t="str">
        <f>IF($G133="","-",IF(COUNTIF('05 Vendors'!$D$7:$D$200,$G133)&gt;0,"Yes","NOT YET"))</f>
        <v>-</v>
      </c>
    </row>
    <row r="134" ht="16.5" customHeight="1">
      <c r="A134" s="4"/>
      <c r="B134" s="75"/>
      <c r="C134" s="75"/>
      <c r="D134" s="75"/>
      <c r="E134" s="75"/>
      <c r="F134" s="75"/>
      <c r="G134" s="75"/>
      <c r="H134" s="75"/>
      <c r="I134" s="75"/>
    </row>
    <row r="135" ht="16.5" customHeight="1">
      <c r="A135" s="4"/>
      <c r="B135" s="75"/>
      <c r="C135" s="75"/>
      <c r="D135" s="75"/>
      <c r="E135" s="75"/>
      <c r="F135" s="75"/>
      <c r="G135" s="75"/>
      <c r="H135" s="75"/>
      <c r="I135" s="75"/>
    </row>
    <row r="136" ht="21.75" customHeight="1">
      <c r="A136" s="76"/>
      <c r="B136" s="8" t="s">
        <v>732</v>
      </c>
      <c r="C136" s="77"/>
      <c r="D136" s="77"/>
      <c r="E136" s="77"/>
      <c r="F136" s="77"/>
      <c r="G136" s="77"/>
      <c r="H136" s="77"/>
      <c r="I136" s="78" t="s">
        <v>502</v>
      </c>
    </row>
    <row r="137" ht="30.0" customHeight="1">
      <c r="A137" s="73"/>
      <c r="B137" s="17" t="s">
        <v>460</v>
      </c>
      <c r="C137" s="17" t="s">
        <v>503</v>
      </c>
      <c r="D137" s="17" t="s">
        <v>505</v>
      </c>
      <c r="E137" s="17" t="s">
        <v>506</v>
      </c>
      <c r="F137" s="17" t="s">
        <v>508</v>
      </c>
      <c r="G137" s="17" t="s">
        <v>509</v>
      </c>
      <c r="H137" s="17" t="s">
        <v>510</v>
      </c>
      <c r="I137" s="17" t="s">
        <v>511</v>
      </c>
    </row>
    <row r="138" ht="16.5" customHeight="1">
      <c r="A138" s="4"/>
      <c r="B138" s="79"/>
      <c r="C138" s="79"/>
      <c r="D138" s="15" t="s">
        <v>512</v>
      </c>
      <c r="E138" s="79"/>
      <c r="F138" s="80"/>
      <c r="G138" s="80"/>
      <c r="H138" s="80"/>
      <c r="I138" s="79"/>
    </row>
    <row r="139" ht="16.5" customHeight="1">
      <c r="A139" s="4"/>
      <c r="B139" s="79"/>
      <c r="C139" s="79"/>
      <c r="D139" s="15" t="s">
        <v>182</v>
      </c>
      <c r="E139" s="79"/>
      <c r="F139" s="80"/>
      <c r="G139" s="80"/>
      <c r="H139" s="80"/>
      <c r="I139" s="79"/>
    </row>
    <row r="140" ht="16.5" customHeight="1">
      <c r="A140" s="4"/>
      <c r="B140" s="79"/>
      <c r="C140" s="79"/>
      <c r="D140" s="15" t="s">
        <v>515</v>
      </c>
      <c r="E140" s="79"/>
      <c r="F140" s="80"/>
      <c r="G140" s="80"/>
      <c r="H140" s="80"/>
      <c r="I140" s="79"/>
    </row>
    <row r="141" ht="16.5" customHeight="1">
      <c r="A141" s="4"/>
      <c r="B141" s="79"/>
      <c r="C141" s="79"/>
      <c r="D141" s="15" t="s">
        <v>516</v>
      </c>
      <c r="E141" s="79"/>
      <c r="F141" s="80"/>
      <c r="G141" s="80"/>
      <c r="H141" s="80"/>
      <c r="I141" s="79"/>
    </row>
    <row r="142" ht="16.5" customHeight="1">
      <c r="A142" s="4"/>
      <c r="B142" s="79"/>
      <c r="C142" s="79"/>
      <c r="D142" s="15" t="s">
        <v>517</v>
      </c>
      <c r="E142" s="79"/>
      <c r="F142" s="81"/>
      <c r="G142" s="81"/>
      <c r="H142" s="81"/>
      <c r="I142" s="79"/>
    </row>
    <row r="143" ht="16.5" customHeight="1">
      <c r="A143" s="4"/>
      <c r="B143" s="79"/>
      <c r="C143" s="79"/>
      <c r="D143" s="15" t="s">
        <v>519</v>
      </c>
      <c r="E143" s="79"/>
      <c r="F143" s="81"/>
      <c r="G143" s="81"/>
      <c r="H143" s="81"/>
      <c r="I143" s="79"/>
    </row>
    <row r="144" ht="16.5" customHeight="1">
      <c r="A144" s="4"/>
      <c r="B144" s="79"/>
      <c r="C144" s="79"/>
      <c r="D144" s="15" t="s">
        <v>521</v>
      </c>
      <c r="E144" s="79"/>
      <c r="F144" s="81"/>
      <c r="G144" s="81"/>
      <c r="H144" s="81"/>
      <c r="I144" s="79"/>
    </row>
    <row r="145" ht="16.5" customHeight="1">
      <c r="A145" s="4"/>
      <c r="B145" s="79"/>
      <c r="C145" s="79"/>
      <c r="D145" s="15" t="s">
        <v>522</v>
      </c>
      <c r="E145" s="79"/>
      <c r="F145" s="80"/>
      <c r="G145" s="80"/>
      <c r="H145" s="80"/>
      <c r="I145" s="79"/>
    </row>
    <row r="146" ht="16.5" customHeight="1">
      <c r="A146" s="4"/>
      <c r="B146" s="79"/>
      <c r="C146" s="79"/>
      <c r="D146" s="15" t="s">
        <v>523</v>
      </c>
      <c r="E146" s="79"/>
      <c r="F146" s="82"/>
      <c r="G146" s="82"/>
      <c r="H146" s="82"/>
      <c r="I146" s="79"/>
    </row>
    <row r="147" ht="15.0" customHeight="1">
      <c r="A147" s="83"/>
      <c r="B147" s="6" t="s">
        <v>526</v>
      </c>
      <c r="C147" s="84"/>
      <c r="D147" s="84"/>
      <c r="E147" s="84"/>
      <c r="F147" s="84"/>
      <c r="G147" s="84"/>
      <c r="H147" s="84"/>
      <c r="I147" s="84"/>
    </row>
    <row r="148" ht="25.5" customHeight="1">
      <c r="A148" s="4"/>
      <c r="B148" s="85">
        <v>1.0</v>
      </c>
      <c r="C148" s="86" t="s">
        <v>95</v>
      </c>
      <c r="D148" s="87" t="s">
        <v>741</v>
      </c>
      <c r="E148" s="88" t="s">
        <v>742</v>
      </c>
      <c r="F148" s="87"/>
      <c r="G148" s="87"/>
      <c r="H148" s="87"/>
      <c r="I148" s="87"/>
    </row>
    <row r="149" ht="25.5" customHeight="1">
      <c r="A149" s="4"/>
      <c r="B149" s="85">
        <v>2.0</v>
      </c>
      <c r="C149" s="86" t="s">
        <v>95</v>
      </c>
      <c r="D149" s="87" t="s">
        <v>743</v>
      </c>
      <c r="E149" s="88" t="s">
        <v>744</v>
      </c>
      <c r="F149" s="87"/>
      <c r="G149" s="87"/>
      <c r="H149" s="87"/>
      <c r="I149" s="87"/>
    </row>
    <row r="150" ht="25.5" customHeight="1">
      <c r="A150" s="4"/>
      <c r="B150" s="85">
        <v>3.0</v>
      </c>
      <c r="C150" s="86" t="s">
        <v>95</v>
      </c>
      <c r="D150" s="87" t="s">
        <v>745</v>
      </c>
      <c r="E150" s="88" t="s">
        <v>746</v>
      </c>
      <c r="F150" s="87"/>
      <c r="G150" s="87"/>
      <c r="H150" s="87"/>
      <c r="I150" s="87"/>
    </row>
    <row r="151" ht="25.5" customHeight="1">
      <c r="A151" s="4"/>
      <c r="B151" s="85">
        <v>4.0</v>
      </c>
      <c r="C151" s="86" t="s">
        <v>95</v>
      </c>
      <c r="D151" s="87" t="s">
        <v>749</v>
      </c>
      <c r="E151" s="88" t="s">
        <v>750</v>
      </c>
      <c r="F151" s="87"/>
      <c r="G151" s="87"/>
      <c r="H151" s="87"/>
      <c r="I151" s="87"/>
    </row>
    <row r="152" ht="25.5" customHeight="1">
      <c r="A152" s="4"/>
      <c r="B152" s="85">
        <v>5.0</v>
      </c>
      <c r="C152" s="89" t="s">
        <v>549</v>
      </c>
      <c r="D152" s="87" t="s">
        <v>751</v>
      </c>
      <c r="E152" s="88" t="s">
        <v>752</v>
      </c>
      <c r="F152" s="87"/>
      <c r="G152" s="87"/>
      <c r="H152" s="87"/>
      <c r="I152" s="87"/>
    </row>
    <row r="153" ht="25.5" customHeight="1">
      <c r="A153" s="4"/>
      <c r="B153" s="85">
        <v>6.0</v>
      </c>
      <c r="C153" s="89" t="s">
        <v>549</v>
      </c>
      <c r="D153" s="87" t="s">
        <v>753</v>
      </c>
      <c r="E153" s="88" t="s">
        <v>754</v>
      </c>
      <c r="F153" s="87"/>
      <c r="G153" s="87"/>
      <c r="H153" s="87"/>
      <c r="I153" s="87"/>
    </row>
    <row r="154" ht="25.5" customHeight="1">
      <c r="A154" s="4"/>
      <c r="B154" s="85">
        <v>7.0</v>
      </c>
      <c r="C154" s="89" t="s">
        <v>549</v>
      </c>
      <c r="D154" s="87" t="s">
        <v>755</v>
      </c>
      <c r="E154" s="88" t="s">
        <v>756</v>
      </c>
      <c r="F154" s="87"/>
      <c r="G154" s="87"/>
      <c r="H154" s="87"/>
      <c r="I154" s="87"/>
    </row>
    <row r="155" ht="25.5" customHeight="1">
      <c r="A155" s="4"/>
      <c r="B155" s="85">
        <v>8.0</v>
      </c>
      <c r="C155" s="89" t="s">
        <v>549</v>
      </c>
      <c r="D155" s="87" t="s">
        <v>759</v>
      </c>
      <c r="E155" s="88" t="s">
        <v>760</v>
      </c>
      <c r="F155" s="87"/>
      <c r="G155" s="87"/>
      <c r="H155" s="87"/>
      <c r="I155" s="87"/>
    </row>
    <row r="156" ht="25.5" customHeight="1">
      <c r="A156" s="4"/>
      <c r="B156" s="85">
        <v>9.0</v>
      </c>
      <c r="C156" s="89" t="s">
        <v>549</v>
      </c>
      <c r="D156" s="87" t="s">
        <v>761</v>
      </c>
      <c r="E156" s="88" t="s">
        <v>762</v>
      </c>
      <c r="F156" s="87"/>
      <c r="G156" s="87"/>
      <c r="H156" s="87"/>
      <c r="I156" s="87"/>
    </row>
    <row r="157" ht="25.5" customHeight="1">
      <c r="A157" s="4"/>
      <c r="B157" s="85">
        <v>10.0</v>
      </c>
      <c r="C157" s="90" t="s">
        <v>566</v>
      </c>
      <c r="D157" s="87" t="s">
        <v>763</v>
      </c>
      <c r="E157" s="88" t="s">
        <v>764</v>
      </c>
      <c r="F157" s="87"/>
      <c r="G157" s="87"/>
      <c r="H157" s="87"/>
      <c r="I157" s="87"/>
    </row>
    <row r="158" ht="25.5" customHeight="1">
      <c r="A158" s="4"/>
      <c r="B158" s="85">
        <v>11.0</v>
      </c>
      <c r="C158" s="90" t="s">
        <v>566</v>
      </c>
      <c r="D158" s="87" t="s">
        <v>765</v>
      </c>
      <c r="E158" s="88" t="s">
        <v>766</v>
      </c>
      <c r="F158" s="87"/>
      <c r="G158" s="87"/>
      <c r="H158" s="87"/>
      <c r="I158" s="87"/>
    </row>
    <row r="159" ht="25.5" customHeight="1">
      <c r="A159" s="4"/>
      <c r="B159" s="85">
        <v>12.0</v>
      </c>
      <c r="C159" s="90" t="s">
        <v>566</v>
      </c>
      <c r="D159" s="87" t="s">
        <v>769</v>
      </c>
      <c r="E159" s="88" t="s">
        <v>770</v>
      </c>
      <c r="F159" s="87"/>
      <c r="G159" s="87"/>
      <c r="H159" s="87"/>
      <c r="I159" s="87"/>
    </row>
    <row r="160" ht="25.5" customHeight="1">
      <c r="A160" s="4"/>
      <c r="B160" s="85">
        <v>13.0</v>
      </c>
      <c r="C160" s="90" t="s">
        <v>566</v>
      </c>
      <c r="D160" s="87" t="s">
        <v>771</v>
      </c>
      <c r="E160" s="88" t="s">
        <v>772</v>
      </c>
      <c r="F160" s="87"/>
      <c r="G160" s="87"/>
      <c r="H160" s="87"/>
      <c r="I160" s="87"/>
    </row>
    <row r="161" ht="25.5" customHeight="1">
      <c r="A161" s="4"/>
      <c r="B161" s="85">
        <v>14.0</v>
      </c>
      <c r="C161" s="91" t="s">
        <v>591</v>
      </c>
      <c r="D161" s="87" t="s">
        <v>773</v>
      </c>
      <c r="E161" s="88" t="s">
        <v>774</v>
      </c>
      <c r="F161" s="87"/>
      <c r="G161" s="87"/>
      <c r="H161" s="87"/>
      <c r="I161" s="87"/>
    </row>
    <row r="162" ht="25.5" customHeight="1">
      <c r="A162" s="4"/>
      <c r="B162" s="85">
        <v>15.0</v>
      </c>
      <c r="C162" s="91" t="s">
        <v>591</v>
      </c>
      <c r="D162" s="87" t="s">
        <v>775</v>
      </c>
      <c r="E162" s="88" t="s">
        <v>776</v>
      </c>
      <c r="F162" s="87"/>
      <c r="G162" s="87"/>
      <c r="H162" s="87"/>
      <c r="I162" s="87"/>
    </row>
    <row r="163" ht="25.5" customHeight="1">
      <c r="A163" s="4"/>
      <c r="B163" s="85">
        <v>16.0</v>
      </c>
      <c r="C163" s="91" t="s">
        <v>591</v>
      </c>
      <c r="D163" s="87" t="s">
        <v>662</v>
      </c>
      <c r="E163" s="88" t="s">
        <v>663</v>
      </c>
      <c r="F163" s="87"/>
      <c r="G163" s="87"/>
      <c r="H163" s="87"/>
      <c r="I163" s="87"/>
    </row>
    <row r="164" ht="16.5" customHeight="1">
      <c r="A164" s="4"/>
      <c r="B164" s="75"/>
      <c r="C164" s="75"/>
      <c r="D164" s="75"/>
      <c r="E164" s="75"/>
      <c r="F164" s="75"/>
      <c r="G164" s="75"/>
      <c r="H164" s="75"/>
      <c r="I164" s="75"/>
    </row>
    <row r="165" ht="16.5" customHeight="1">
      <c r="A165" s="4"/>
      <c r="B165" s="92"/>
      <c r="C165" s="92"/>
      <c r="D165" s="93" t="s">
        <v>602</v>
      </c>
      <c r="E165" s="94" t="s">
        <v>603</v>
      </c>
      <c r="F165" s="80" t="s">
        <v>604</v>
      </c>
      <c r="G165" s="95" t="str">
        <f>IF($F165="Option A",$F138,IF($F165="Option B",$G138,IF($F165="Option C",$H138,"")))</f>
        <v/>
      </c>
      <c r="H165" s="96">
        <f>IF($F165="Option A",IF($F143&gt;0,$F143,$F142),IF($F165="Option B",IF($G143&gt;0,$G143,$G142),IF($F165="Option C",IF($H143&gt;0,$H143,$H142),0)))</f>
        <v>0</v>
      </c>
      <c r="I165" s="93" t="str">
        <f>IF($G165="","-",IF(COUNTIF('05 Vendors'!$D$7:$D$200,$G165)&gt;0,"Yes","NOT YET"))</f>
        <v>-</v>
      </c>
    </row>
    <row r="166" ht="16.5" customHeight="1">
      <c r="A166" s="4"/>
      <c r="B166" s="75"/>
      <c r="C166" s="75"/>
      <c r="D166" s="75"/>
      <c r="E166" s="75"/>
      <c r="F166" s="75"/>
      <c r="G166" s="75"/>
      <c r="H166" s="75"/>
      <c r="I166" s="75"/>
    </row>
    <row r="167" ht="16.5" customHeight="1">
      <c r="A167" s="4"/>
      <c r="B167" s="75"/>
      <c r="C167" s="75"/>
      <c r="D167" s="75"/>
      <c r="E167" s="75"/>
      <c r="F167" s="75"/>
      <c r="G167" s="75"/>
      <c r="H167" s="75"/>
      <c r="I167" s="75"/>
    </row>
    <row r="168" ht="21.75" customHeight="1">
      <c r="A168" s="76"/>
      <c r="B168" s="8" t="s">
        <v>783</v>
      </c>
      <c r="C168" s="77"/>
      <c r="D168" s="77"/>
      <c r="E168" s="77"/>
      <c r="F168" s="77"/>
      <c r="G168" s="77"/>
      <c r="H168" s="77"/>
      <c r="I168" s="78" t="s">
        <v>502</v>
      </c>
    </row>
    <row r="169" ht="30.0" customHeight="1">
      <c r="A169" s="73"/>
      <c r="B169" s="17" t="s">
        <v>460</v>
      </c>
      <c r="C169" s="17" t="s">
        <v>503</v>
      </c>
      <c r="D169" s="17" t="s">
        <v>505</v>
      </c>
      <c r="E169" s="17" t="s">
        <v>506</v>
      </c>
      <c r="F169" s="17" t="s">
        <v>508</v>
      </c>
      <c r="G169" s="17" t="s">
        <v>509</v>
      </c>
      <c r="H169" s="17" t="s">
        <v>510</v>
      </c>
      <c r="I169" s="17" t="s">
        <v>511</v>
      </c>
    </row>
    <row r="170" ht="16.5" customHeight="1">
      <c r="A170" s="4"/>
      <c r="B170" s="79"/>
      <c r="C170" s="79"/>
      <c r="D170" s="15" t="s">
        <v>512</v>
      </c>
      <c r="E170" s="79"/>
      <c r="F170" s="80"/>
      <c r="G170" s="80"/>
      <c r="H170" s="80"/>
      <c r="I170" s="79"/>
    </row>
    <row r="171" ht="16.5" customHeight="1">
      <c r="A171" s="4"/>
      <c r="B171" s="79"/>
      <c r="C171" s="79"/>
      <c r="D171" s="15" t="s">
        <v>182</v>
      </c>
      <c r="E171" s="79"/>
      <c r="F171" s="80"/>
      <c r="G171" s="80"/>
      <c r="H171" s="80"/>
      <c r="I171" s="79"/>
    </row>
    <row r="172" ht="16.5" customHeight="1">
      <c r="A172" s="4"/>
      <c r="B172" s="79"/>
      <c r="C172" s="79"/>
      <c r="D172" s="15" t="s">
        <v>515</v>
      </c>
      <c r="E172" s="79"/>
      <c r="F172" s="80"/>
      <c r="G172" s="80"/>
      <c r="H172" s="80"/>
      <c r="I172" s="79"/>
    </row>
    <row r="173" ht="16.5" customHeight="1">
      <c r="A173" s="4"/>
      <c r="B173" s="79"/>
      <c r="C173" s="79"/>
      <c r="D173" s="15" t="s">
        <v>516</v>
      </c>
      <c r="E173" s="79"/>
      <c r="F173" s="80"/>
      <c r="G173" s="80"/>
      <c r="H173" s="80"/>
      <c r="I173" s="79"/>
    </row>
    <row r="174" ht="16.5" customHeight="1">
      <c r="A174" s="4"/>
      <c r="B174" s="79"/>
      <c r="C174" s="79"/>
      <c r="D174" s="15" t="s">
        <v>517</v>
      </c>
      <c r="E174" s="79"/>
      <c r="F174" s="81"/>
      <c r="G174" s="81"/>
      <c r="H174" s="81"/>
      <c r="I174" s="79"/>
    </row>
    <row r="175" ht="16.5" customHeight="1">
      <c r="A175" s="4"/>
      <c r="B175" s="79"/>
      <c r="C175" s="79"/>
      <c r="D175" s="15" t="s">
        <v>519</v>
      </c>
      <c r="E175" s="79"/>
      <c r="F175" s="81"/>
      <c r="G175" s="81"/>
      <c r="H175" s="81"/>
      <c r="I175" s="79"/>
    </row>
    <row r="176" ht="16.5" customHeight="1">
      <c r="A176" s="4"/>
      <c r="B176" s="79"/>
      <c r="C176" s="79"/>
      <c r="D176" s="15" t="s">
        <v>521</v>
      </c>
      <c r="E176" s="79"/>
      <c r="F176" s="81"/>
      <c r="G176" s="81"/>
      <c r="H176" s="81"/>
      <c r="I176" s="79"/>
    </row>
    <row r="177" ht="16.5" customHeight="1">
      <c r="A177" s="4"/>
      <c r="B177" s="79"/>
      <c r="C177" s="79"/>
      <c r="D177" s="15" t="s">
        <v>522</v>
      </c>
      <c r="E177" s="79"/>
      <c r="F177" s="80"/>
      <c r="G177" s="80"/>
      <c r="H177" s="80"/>
      <c r="I177" s="79"/>
    </row>
    <row r="178" ht="16.5" customHeight="1">
      <c r="A178" s="4"/>
      <c r="B178" s="79"/>
      <c r="C178" s="79"/>
      <c r="D178" s="15" t="s">
        <v>523</v>
      </c>
      <c r="E178" s="79"/>
      <c r="F178" s="82"/>
      <c r="G178" s="82"/>
      <c r="H178" s="82"/>
      <c r="I178" s="79"/>
    </row>
    <row r="179" ht="15.0" customHeight="1">
      <c r="A179" s="83"/>
      <c r="B179" s="6" t="s">
        <v>526</v>
      </c>
      <c r="C179" s="84"/>
      <c r="D179" s="84"/>
      <c r="E179" s="84"/>
      <c r="F179" s="84"/>
      <c r="G179" s="84"/>
      <c r="H179" s="84"/>
      <c r="I179" s="84"/>
    </row>
    <row r="180" ht="25.5" customHeight="1">
      <c r="A180" s="4"/>
      <c r="B180" s="85">
        <v>1.0</v>
      </c>
      <c r="C180" s="86" t="s">
        <v>95</v>
      </c>
      <c r="D180" s="87" t="s">
        <v>792</v>
      </c>
      <c r="E180" s="88" t="s">
        <v>793</v>
      </c>
      <c r="F180" s="87"/>
      <c r="G180" s="87"/>
      <c r="H180" s="87"/>
      <c r="I180" s="87"/>
    </row>
    <row r="181" ht="25.5" customHeight="1">
      <c r="A181" s="4"/>
      <c r="B181" s="85">
        <v>2.0</v>
      </c>
      <c r="C181" s="86" t="s">
        <v>95</v>
      </c>
      <c r="D181" s="87" t="s">
        <v>796</v>
      </c>
      <c r="E181" s="88" t="s">
        <v>797</v>
      </c>
      <c r="F181" s="87"/>
      <c r="G181" s="87"/>
      <c r="H181" s="87"/>
      <c r="I181" s="87"/>
    </row>
    <row r="182" ht="25.5" customHeight="1">
      <c r="A182" s="4"/>
      <c r="B182" s="85">
        <v>3.0</v>
      </c>
      <c r="C182" s="86" t="s">
        <v>95</v>
      </c>
      <c r="D182" s="87" t="s">
        <v>798</v>
      </c>
      <c r="E182" s="88" t="s">
        <v>799</v>
      </c>
      <c r="F182" s="87"/>
      <c r="G182" s="87"/>
      <c r="H182" s="87"/>
      <c r="I182" s="87"/>
    </row>
    <row r="183" ht="25.5" customHeight="1">
      <c r="A183" s="4"/>
      <c r="B183" s="85">
        <v>4.0</v>
      </c>
      <c r="C183" s="86" t="s">
        <v>95</v>
      </c>
      <c r="D183" s="87" t="s">
        <v>800</v>
      </c>
      <c r="E183" s="88" t="s">
        <v>801</v>
      </c>
      <c r="F183" s="87"/>
      <c r="G183" s="87"/>
      <c r="H183" s="87"/>
      <c r="I183" s="87"/>
    </row>
    <row r="184" ht="25.5" customHeight="1">
      <c r="A184" s="4"/>
      <c r="B184" s="85">
        <v>5.0</v>
      </c>
      <c r="C184" s="89" t="s">
        <v>549</v>
      </c>
      <c r="D184" s="87" t="s">
        <v>804</v>
      </c>
      <c r="E184" s="88" t="s">
        <v>805</v>
      </c>
      <c r="F184" s="87"/>
      <c r="G184" s="87"/>
      <c r="H184" s="87"/>
      <c r="I184" s="87"/>
    </row>
    <row r="185" ht="25.5" customHeight="1">
      <c r="A185" s="4"/>
      <c r="B185" s="85">
        <v>6.0</v>
      </c>
      <c r="C185" s="89" t="s">
        <v>549</v>
      </c>
      <c r="D185" s="87" t="s">
        <v>806</v>
      </c>
      <c r="E185" s="88" t="s">
        <v>807</v>
      </c>
      <c r="F185" s="87"/>
      <c r="G185" s="87"/>
      <c r="H185" s="87"/>
      <c r="I185" s="87"/>
    </row>
    <row r="186" ht="25.5" customHeight="1">
      <c r="A186" s="4"/>
      <c r="B186" s="85">
        <v>7.0</v>
      </c>
      <c r="C186" s="89" t="s">
        <v>549</v>
      </c>
      <c r="D186" s="87" t="s">
        <v>808</v>
      </c>
      <c r="E186" s="88" t="s">
        <v>809</v>
      </c>
      <c r="F186" s="87"/>
      <c r="G186" s="87"/>
      <c r="H186" s="87"/>
      <c r="I186" s="87"/>
    </row>
    <row r="187" ht="25.5" customHeight="1">
      <c r="A187" s="4"/>
      <c r="B187" s="85">
        <v>8.0</v>
      </c>
      <c r="C187" s="89" t="s">
        <v>549</v>
      </c>
      <c r="D187" s="87" t="s">
        <v>812</v>
      </c>
      <c r="E187" s="88" t="s">
        <v>813</v>
      </c>
      <c r="F187" s="87"/>
      <c r="G187" s="87"/>
      <c r="H187" s="87"/>
      <c r="I187" s="87"/>
    </row>
    <row r="188" ht="25.5" customHeight="1">
      <c r="A188" s="4"/>
      <c r="B188" s="85">
        <v>9.0</v>
      </c>
      <c r="C188" s="89" t="s">
        <v>549</v>
      </c>
      <c r="D188" s="87" t="s">
        <v>814</v>
      </c>
      <c r="E188" s="88" t="s">
        <v>815</v>
      </c>
      <c r="F188" s="87"/>
      <c r="G188" s="87"/>
      <c r="H188" s="87"/>
      <c r="I188" s="87"/>
    </row>
    <row r="189" ht="25.5" customHeight="1">
      <c r="A189" s="4"/>
      <c r="B189" s="85">
        <v>10.0</v>
      </c>
      <c r="C189" s="89" t="s">
        <v>549</v>
      </c>
      <c r="D189" s="87" t="s">
        <v>816</v>
      </c>
      <c r="E189" s="88" t="s">
        <v>817</v>
      </c>
      <c r="F189" s="87"/>
      <c r="G189" s="87"/>
      <c r="H189" s="87"/>
      <c r="I189" s="87"/>
    </row>
    <row r="190" ht="25.5" customHeight="1">
      <c r="A190" s="4"/>
      <c r="B190" s="85">
        <v>11.0</v>
      </c>
      <c r="C190" s="89" t="s">
        <v>549</v>
      </c>
      <c r="D190" s="87" t="s">
        <v>820</v>
      </c>
      <c r="E190" s="88" t="s">
        <v>821</v>
      </c>
      <c r="F190" s="87"/>
      <c r="G190" s="87"/>
      <c r="H190" s="87"/>
      <c r="I190" s="87"/>
    </row>
    <row r="191" ht="25.5" customHeight="1">
      <c r="A191" s="4"/>
      <c r="B191" s="85">
        <v>12.0</v>
      </c>
      <c r="C191" s="89" t="s">
        <v>549</v>
      </c>
      <c r="D191" s="87" t="s">
        <v>822</v>
      </c>
      <c r="E191" s="88" t="s">
        <v>823</v>
      </c>
      <c r="F191" s="87"/>
      <c r="G191" s="87"/>
      <c r="H191" s="87"/>
      <c r="I191" s="87"/>
    </row>
    <row r="192" ht="25.5" customHeight="1">
      <c r="A192" s="4"/>
      <c r="B192" s="85">
        <v>13.0</v>
      </c>
      <c r="C192" s="90" t="s">
        <v>566</v>
      </c>
      <c r="D192" s="87" t="s">
        <v>824</v>
      </c>
      <c r="E192" s="88" t="s">
        <v>825</v>
      </c>
      <c r="F192" s="87"/>
      <c r="G192" s="87"/>
      <c r="H192" s="87"/>
      <c r="I192" s="87"/>
    </row>
    <row r="193" ht="25.5" customHeight="1">
      <c r="A193" s="4"/>
      <c r="B193" s="85">
        <v>14.0</v>
      </c>
      <c r="C193" s="90" t="s">
        <v>566</v>
      </c>
      <c r="D193" s="87" t="s">
        <v>828</v>
      </c>
      <c r="E193" s="88" t="s">
        <v>829</v>
      </c>
      <c r="F193" s="87"/>
      <c r="G193" s="87"/>
      <c r="H193" s="87"/>
      <c r="I193" s="87"/>
    </row>
    <row r="194" ht="25.5" customHeight="1">
      <c r="A194" s="4"/>
      <c r="B194" s="85">
        <v>15.0</v>
      </c>
      <c r="C194" s="90" t="s">
        <v>566</v>
      </c>
      <c r="D194" s="87" t="s">
        <v>830</v>
      </c>
      <c r="E194" s="88" t="s">
        <v>831</v>
      </c>
      <c r="F194" s="87"/>
      <c r="G194" s="87"/>
      <c r="H194" s="87"/>
      <c r="I194" s="87"/>
    </row>
    <row r="195" ht="25.5" customHeight="1">
      <c r="A195" s="4"/>
      <c r="B195" s="85">
        <v>16.0</v>
      </c>
      <c r="C195" s="91" t="s">
        <v>591</v>
      </c>
      <c r="D195" s="87" t="s">
        <v>833</v>
      </c>
      <c r="E195" s="88" t="s">
        <v>835</v>
      </c>
      <c r="F195" s="87"/>
      <c r="G195" s="87"/>
      <c r="H195" s="87"/>
      <c r="I195" s="87"/>
    </row>
    <row r="196" ht="25.5" customHeight="1">
      <c r="A196" s="4"/>
      <c r="B196" s="85">
        <v>17.0</v>
      </c>
      <c r="C196" s="91" t="s">
        <v>591</v>
      </c>
      <c r="D196" s="87" t="s">
        <v>836</v>
      </c>
      <c r="E196" s="88" t="s">
        <v>837</v>
      </c>
      <c r="F196" s="87"/>
      <c r="G196" s="87"/>
      <c r="H196" s="87"/>
      <c r="I196" s="87"/>
    </row>
    <row r="197" ht="25.5" customHeight="1">
      <c r="A197" s="4"/>
      <c r="B197" s="85">
        <v>18.0</v>
      </c>
      <c r="C197" s="91" t="s">
        <v>591</v>
      </c>
      <c r="D197" s="87" t="s">
        <v>838</v>
      </c>
      <c r="E197" s="88" t="s">
        <v>839</v>
      </c>
      <c r="F197" s="87"/>
      <c r="G197" s="87"/>
      <c r="H197" s="87"/>
      <c r="I197" s="87"/>
    </row>
    <row r="198" ht="16.5" customHeight="1">
      <c r="A198" s="4"/>
      <c r="B198" s="75"/>
      <c r="C198" s="75"/>
      <c r="D198" s="75"/>
      <c r="E198" s="75"/>
      <c r="F198" s="75"/>
      <c r="G198" s="75"/>
      <c r="H198" s="75"/>
      <c r="I198" s="75"/>
    </row>
    <row r="199" ht="16.5" customHeight="1">
      <c r="A199" s="4"/>
      <c r="B199" s="92"/>
      <c r="C199" s="92"/>
      <c r="D199" s="93" t="s">
        <v>602</v>
      </c>
      <c r="E199" s="94" t="s">
        <v>603</v>
      </c>
      <c r="F199" s="80" t="s">
        <v>604</v>
      </c>
      <c r="G199" s="95" t="str">
        <f>IF($F199="Option A",$F170,IF($F199="Option B",$G170,IF($F199="Option C",$H170,"")))</f>
        <v/>
      </c>
      <c r="H199" s="96">
        <f>IF($F199="Option A",IF($F175&gt;0,$F175,$F174),IF($F199="Option B",IF($G175&gt;0,$G175,$G174),IF($F199="Option C",IF($H175&gt;0,$H175,$H174),0)))</f>
        <v>0</v>
      </c>
      <c r="I199" s="93" t="str">
        <f>IF($G199="","-",IF(COUNTIF('05 Vendors'!$D$7:$D$200,$G199)&gt;0,"Yes","NOT YET"))</f>
        <v>-</v>
      </c>
    </row>
    <row r="200" ht="16.5" customHeight="1">
      <c r="A200" s="4"/>
      <c r="B200" s="75"/>
      <c r="C200" s="75"/>
      <c r="D200" s="75"/>
      <c r="E200" s="75"/>
      <c r="F200" s="75"/>
      <c r="G200" s="75"/>
      <c r="H200" s="75"/>
      <c r="I200" s="75"/>
    </row>
    <row r="201" ht="16.5" customHeight="1">
      <c r="A201" s="4"/>
      <c r="B201" s="75"/>
      <c r="C201" s="75"/>
      <c r="D201" s="75"/>
      <c r="E201" s="75"/>
      <c r="F201" s="75"/>
      <c r="G201" s="75"/>
      <c r="H201" s="75"/>
      <c r="I201" s="75"/>
    </row>
    <row r="202" ht="21.75" customHeight="1">
      <c r="A202" s="76"/>
      <c r="B202" s="8" t="s">
        <v>847</v>
      </c>
      <c r="C202" s="77"/>
      <c r="D202" s="77"/>
      <c r="E202" s="77"/>
      <c r="F202" s="77"/>
      <c r="G202" s="77"/>
      <c r="H202" s="77"/>
      <c r="I202" s="78" t="s">
        <v>502</v>
      </c>
    </row>
    <row r="203" ht="30.0" customHeight="1">
      <c r="A203" s="73"/>
      <c r="B203" s="17" t="s">
        <v>460</v>
      </c>
      <c r="C203" s="17" t="s">
        <v>503</v>
      </c>
      <c r="D203" s="17" t="s">
        <v>505</v>
      </c>
      <c r="E203" s="17" t="s">
        <v>506</v>
      </c>
      <c r="F203" s="17" t="s">
        <v>508</v>
      </c>
      <c r="G203" s="17" t="s">
        <v>509</v>
      </c>
      <c r="H203" s="17" t="s">
        <v>510</v>
      </c>
      <c r="I203" s="17" t="s">
        <v>511</v>
      </c>
    </row>
    <row r="204" ht="16.5" customHeight="1">
      <c r="A204" s="4"/>
      <c r="B204" s="79"/>
      <c r="C204" s="79"/>
      <c r="D204" s="15" t="s">
        <v>512</v>
      </c>
      <c r="E204" s="79"/>
      <c r="F204" s="80"/>
      <c r="G204" s="80"/>
      <c r="H204" s="80"/>
      <c r="I204" s="79"/>
    </row>
    <row r="205" ht="16.5" customHeight="1">
      <c r="A205" s="4"/>
      <c r="B205" s="79"/>
      <c r="C205" s="79"/>
      <c r="D205" s="15" t="s">
        <v>182</v>
      </c>
      <c r="E205" s="79"/>
      <c r="F205" s="80"/>
      <c r="G205" s="80"/>
      <c r="H205" s="80"/>
      <c r="I205" s="79"/>
    </row>
    <row r="206" ht="16.5" customHeight="1">
      <c r="A206" s="4"/>
      <c r="B206" s="79"/>
      <c r="C206" s="79"/>
      <c r="D206" s="15" t="s">
        <v>515</v>
      </c>
      <c r="E206" s="79"/>
      <c r="F206" s="80"/>
      <c r="G206" s="80"/>
      <c r="H206" s="80"/>
      <c r="I206" s="79"/>
    </row>
    <row r="207" ht="16.5" customHeight="1">
      <c r="A207" s="4"/>
      <c r="B207" s="79"/>
      <c r="C207" s="79"/>
      <c r="D207" s="15" t="s">
        <v>516</v>
      </c>
      <c r="E207" s="79"/>
      <c r="F207" s="80"/>
      <c r="G207" s="80"/>
      <c r="H207" s="80"/>
      <c r="I207" s="79"/>
    </row>
    <row r="208" ht="16.5" customHeight="1">
      <c r="A208" s="4"/>
      <c r="B208" s="79"/>
      <c r="C208" s="79"/>
      <c r="D208" s="15" t="s">
        <v>517</v>
      </c>
      <c r="E208" s="79"/>
      <c r="F208" s="81"/>
      <c r="G208" s="81"/>
      <c r="H208" s="81"/>
      <c r="I208" s="79"/>
    </row>
    <row r="209" ht="16.5" customHeight="1">
      <c r="A209" s="4"/>
      <c r="B209" s="79"/>
      <c r="C209" s="79"/>
      <c r="D209" s="15" t="s">
        <v>519</v>
      </c>
      <c r="E209" s="79"/>
      <c r="F209" s="81"/>
      <c r="G209" s="81"/>
      <c r="H209" s="81"/>
      <c r="I209" s="79"/>
    </row>
    <row r="210" ht="16.5" customHeight="1">
      <c r="A210" s="4"/>
      <c r="B210" s="79"/>
      <c r="C210" s="79"/>
      <c r="D210" s="15" t="s">
        <v>521</v>
      </c>
      <c r="E210" s="79"/>
      <c r="F210" s="81"/>
      <c r="G210" s="81"/>
      <c r="H210" s="81"/>
      <c r="I210" s="79"/>
    </row>
    <row r="211" ht="16.5" customHeight="1">
      <c r="A211" s="4"/>
      <c r="B211" s="79"/>
      <c r="C211" s="79"/>
      <c r="D211" s="15" t="s">
        <v>522</v>
      </c>
      <c r="E211" s="79"/>
      <c r="F211" s="80"/>
      <c r="G211" s="80"/>
      <c r="H211" s="80"/>
      <c r="I211" s="79"/>
    </row>
    <row r="212" ht="16.5" customHeight="1">
      <c r="A212" s="4"/>
      <c r="B212" s="79"/>
      <c r="C212" s="79"/>
      <c r="D212" s="15" t="s">
        <v>523</v>
      </c>
      <c r="E212" s="79"/>
      <c r="F212" s="82"/>
      <c r="G212" s="82"/>
      <c r="H212" s="82"/>
      <c r="I212" s="79"/>
    </row>
    <row r="213" ht="15.0" customHeight="1">
      <c r="A213" s="83"/>
      <c r="B213" s="6" t="s">
        <v>526</v>
      </c>
      <c r="C213" s="84"/>
      <c r="D213" s="84"/>
      <c r="E213" s="84"/>
      <c r="F213" s="84"/>
      <c r="G213" s="84"/>
      <c r="H213" s="84"/>
      <c r="I213" s="84"/>
    </row>
    <row r="214" ht="25.5" customHeight="1">
      <c r="A214" s="4"/>
      <c r="B214" s="85">
        <v>1.0</v>
      </c>
      <c r="C214" s="86" t="s">
        <v>95</v>
      </c>
      <c r="D214" s="87" t="s">
        <v>857</v>
      </c>
      <c r="E214" s="88" t="s">
        <v>858</v>
      </c>
      <c r="F214" s="87"/>
      <c r="G214" s="87"/>
      <c r="H214" s="87"/>
      <c r="I214" s="87"/>
    </row>
    <row r="215" ht="25.5" customHeight="1">
      <c r="A215" s="4"/>
      <c r="B215" s="85">
        <v>2.0</v>
      </c>
      <c r="C215" s="86" t="s">
        <v>95</v>
      </c>
      <c r="D215" s="87" t="s">
        <v>859</v>
      </c>
      <c r="E215" s="88" t="s">
        <v>860</v>
      </c>
      <c r="F215" s="87"/>
      <c r="G215" s="87"/>
      <c r="H215" s="87"/>
      <c r="I215" s="87"/>
    </row>
    <row r="216" ht="25.5" customHeight="1">
      <c r="A216" s="4"/>
      <c r="B216" s="85">
        <v>3.0</v>
      </c>
      <c r="C216" s="86" t="s">
        <v>95</v>
      </c>
      <c r="D216" s="87" t="s">
        <v>861</v>
      </c>
      <c r="E216" s="88" t="s">
        <v>862</v>
      </c>
      <c r="F216" s="87"/>
      <c r="G216" s="87"/>
      <c r="H216" s="87"/>
      <c r="I216" s="87"/>
    </row>
    <row r="217" ht="25.5" customHeight="1">
      <c r="A217" s="4"/>
      <c r="B217" s="85">
        <v>4.0</v>
      </c>
      <c r="C217" s="89" t="s">
        <v>549</v>
      </c>
      <c r="D217" s="87" t="s">
        <v>864</v>
      </c>
      <c r="E217" s="88" t="s">
        <v>866</v>
      </c>
      <c r="F217" s="87"/>
      <c r="G217" s="87"/>
      <c r="H217" s="87"/>
      <c r="I217" s="87"/>
    </row>
    <row r="218" ht="25.5" customHeight="1">
      <c r="A218" s="4"/>
      <c r="B218" s="85">
        <v>5.0</v>
      </c>
      <c r="C218" s="89" t="s">
        <v>549</v>
      </c>
      <c r="D218" s="87" t="s">
        <v>867</v>
      </c>
      <c r="E218" s="88" t="s">
        <v>868</v>
      </c>
      <c r="F218" s="87"/>
      <c r="G218" s="87"/>
      <c r="H218" s="87"/>
      <c r="I218" s="87"/>
    </row>
    <row r="219" ht="25.5" customHeight="1">
      <c r="A219" s="4"/>
      <c r="B219" s="85">
        <v>6.0</v>
      </c>
      <c r="C219" s="89" t="s">
        <v>549</v>
      </c>
      <c r="D219" s="87" t="s">
        <v>869</v>
      </c>
      <c r="E219" s="88" t="s">
        <v>870</v>
      </c>
      <c r="F219" s="87"/>
      <c r="G219" s="87"/>
      <c r="H219" s="87"/>
      <c r="I219" s="87"/>
    </row>
    <row r="220" ht="25.5" customHeight="1">
      <c r="A220" s="4"/>
      <c r="B220" s="85">
        <v>7.0</v>
      </c>
      <c r="C220" s="89" t="s">
        <v>549</v>
      </c>
      <c r="D220" s="87" t="s">
        <v>871</v>
      </c>
      <c r="E220" s="88" t="s">
        <v>872</v>
      </c>
      <c r="F220" s="87"/>
      <c r="G220" s="87"/>
      <c r="H220" s="87"/>
      <c r="I220" s="87"/>
    </row>
    <row r="221" ht="25.5" customHeight="1">
      <c r="A221" s="4"/>
      <c r="B221" s="85">
        <v>8.0</v>
      </c>
      <c r="C221" s="89" t="s">
        <v>549</v>
      </c>
      <c r="D221" s="87" t="s">
        <v>874</v>
      </c>
      <c r="E221" s="88" t="s">
        <v>875</v>
      </c>
      <c r="F221" s="87"/>
      <c r="G221" s="87"/>
      <c r="H221" s="87"/>
      <c r="I221" s="87"/>
    </row>
    <row r="222" ht="25.5" customHeight="1">
      <c r="A222" s="4"/>
      <c r="B222" s="85">
        <v>9.0</v>
      </c>
      <c r="C222" s="90" t="s">
        <v>566</v>
      </c>
      <c r="D222" s="87" t="s">
        <v>877</v>
      </c>
      <c r="E222" s="88" t="s">
        <v>878</v>
      </c>
      <c r="F222" s="87"/>
      <c r="G222" s="87"/>
      <c r="H222" s="87"/>
      <c r="I222" s="87"/>
    </row>
    <row r="223" ht="25.5" customHeight="1">
      <c r="A223" s="4"/>
      <c r="B223" s="85">
        <v>10.0</v>
      </c>
      <c r="C223" s="90" t="s">
        <v>566</v>
      </c>
      <c r="D223" s="87" t="s">
        <v>879</v>
      </c>
      <c r="E223" s="88" t="s">
        <v>880</v>
      </c>
      <c r="F223" s="87"/>
      <c r="G223" s="87"/>
      <c r="H223" s="87"/>
      <c r="I223" s="87"/>
    </row>
    <row r="224" ht="25.5" customHeight="1">
      <c r="A224" s="4"/>
      <c r="B224" s="85">
        <v>11.0</v>
      </c>
      <c r="C224" s="90" t="s">
        <v>566</v>
      </c>
      <c r="D224" s="87" t="s">
        <v>881</v>
      </c>
      <c r="E224" s="88" t="s">
        <v>882</v>
      </c>
      <c r="F224" s="87"/>
      <c r="G224" s="87"/>
      <c r="H224" s="87"/>
      <c r="I224" s="87"/>
    </row>
    <row r="225" ht="25.5" customHeight="1">
      <c r="A225" s="4"/>
      <c r="B225" s="85">
        <v>12.0</v>
      </c>
      <c r="C225" s="90" t="s">
        <v>566</v>
      </c>
      <c r="D225" s="87" t="s">
        <v>883</v>
      </c>
      <c r="E225" s="88" t="s">
        <v>884</v>
      </c>
      <c r="F225" s="87"/>
      <c r="G225" s="87"/>
      <c r="H225" s="87"/>
      <c r="I225" s="87"/>
    </row>
    <row r="226" ht="25.5" customHeight="1">
      <c r="A226" s="4"/>
      <c r="B226" s="85">
        <v>13.0</v>
      </c>
      <c r="C226" s="91" t="s">
        <v>591</v>
      </c>
      <c r="D226" s="87" t="s">
        <v>887</v>
      </c>
      <c r="E226" s="88" t="s">
        <v>888</v>
      </c>
      <c r="F226" s="87"/>
      <c r="G226" s="87"/>
      <c r="H226" s="87"/>
      <c r="I226" s="87"/>
    </row>
    <row r="227" ht="25.5" customHeight="1">
      <c r="A227" s="4"/>
      <c r="B227" s="85">
        <v>14.0</v>
      </c>
      <c r="C227" s="91" t="s">
        <v>591</v>
      </c>
      <c r="D227" s="87" t="s">
        <v>889</v>
      </c>
      <c r="E227" s="88" t="s">
        <v>890</v>
      </c>
      <c r="F227" s="87"/>
      <c r="G227" s="87"/>
      <c r="H227" s="87"/>
      <c r="I227" s="87"/>
    </row>
    <row r="228" ht="25.5" customHeight="1">
      <c r="A228" s="4"/>
      <c r="B228" s="85">
        <v>15.0</v>
      </c>
      <c r="C228" s="91" t="s">
        <v>591</v>
      </c>
      <c r="D228" s="87" t="s">
        <v>891</v>
      </c>
      <c r="E228" s="88" t="s">
        <v>663</v>
      </c>
      <c r="F228" s="87"/>
      <c r="G228" s="87"/>
      <c r="H228" s="87"/>
      <c r="I228" s="87"/>
    </row>
    <row r="229" ht="16.5" customHeight="1">
      <c r="A229" s="4"/>
      <c r="B229" s="75"/>
      <c r="C229" s="75"/>
      <c r="D229" s="75"/>
      <c r="E229" s="75"/>
      <c r="F229" s="75"/>
      <c r="G229" s="75"/>
      <c r="H229" s="75"/>
      <c r="I229" s="75"/>
    </row>
    <row r="230" ht="16.5" customHeight="1">
      <c r="A230" s="4"/>
      <c r="B230" s="92"/>
      <c r="C230" s="92"/>
      <c r="D230" s="93" t="s">
        <v>602</v>
      </c>
      <c r="E230" s="94" t="s">
        <v>603</v>
      </c>
      <c r="F230" s="80" t="s">
        <v>604</v>
      </c>
      <c r="G230" s="95" t="str">
        <f>IF($F230="Option A",$F204,IF($F230="Option B",$G204,IF($F230="Option C",$H204,"")))</f>
        <v/>
      </c>
      <c r="H230" s="96">
        <f>IF($F230="Option A",IF($F209&gt;0,$F209,$F208),IF($F230="Option B",IF($G209&gt;0,$G209,$G208),IF($F230="Option C",IF($H209&gt;0,$H209,$H208),0)))</f>
        <v>0</v>
      </c>
      <c r="I230" s="93" t="str">
        <f>IF($G230="","-",IF(COUNTIF('05 Vendors'!$D$7:$D$200,$G230)&gt;0,"Yes","NOT YET"))</f>
        <v>-</v>
      </c>
    </row>
    <row r="231" ht="16.5" customHeight="1">
      <c r="A231" s="4"/>
      <c r="B231" s="75"/>
      <c r="C231" s="75"/>
      <c r="D231" s="75"/>
      <c r="E231" s="75"/>
      <c r="F231" s="75"/>
      <c r="G231" s="75"/>
      <c r="H231" s="75"/>
      <c r="I231" s="75"/>
    </row>
    <row r="232" ht="16.5" customHeight="1">
      <c r="A232" s="4"/>
      <c r="B232" s="75"/>
      <c r="C232" s="75"/>
      <c r="D232" s="75"/>
      <c r="E232" s="75"/>
      <c r="F232" s="75"/>
      <c r="G232" s="75"/>
      <c r="H232" s="75"/>
      <c r="I232" s="75"/>
    </row>
    <row r="233" ht="21.75" customHeight="1">
      <c r="A233" s="76"/>
      <c r="B233" s="8" t="s">
        <v>898</v>
      </c>
      <c r="C233" s="77"/>
      <c r="D233" s="77"/>
      <c r="E233" s="77"/>
      <c r="F233" s="77"/>
      <c r="G233" s="77"/>
      <c r="H233" s="77"/>
      <c r="I233" s="78" t="s">
        <v>502</v>
      </c>
    </row>
    <row r="234" ht="30.0" customHeight="1">
      <c r="A234" s="73"/>
      <c r="B234" s="17" t="s">
        <v>460</v>
      </c>
      <c r="C234" s="17" t="s">
        <v>503</v>
      </c>
      <c r="D234" s="17" t="s">
        <v>505</v>
      </c>
      <c r="E234" s="17" t="s">
        <v>506</v>
      </c>
      <c r="F234" s="17" t="s">
        <v>508</v>
      </c>
      <c r="G234" s="17" t="s">
        <v>509</v>
      </c>
      <c r="H234" s="17" t="s">
        <v>510</v>
      </c>
      <c r="I234" s="17" t="s">
        <v>511</v>
      </c>
    </row>
    <row r="235" ht="16.5" customHeight="1">
      <c r="A235" s="4"/>
      <c r="B235" s="79"/>
      <c r="C235" s="79"/>
      <c r="D235" s="15" t="s">
        <v>512</v>
      </c>
      <c r="E235" s="79"/>
      <c r="F235" s="80"/>
      <c r="G235" s="80"/>
      <c r="H235" s="80"/>
      <c r="I235" s="79"/>
    </row>
    <row r="236" ht="16.5" customHeight="1">
      <c r="A236" s="4"/>
      <c r="B236" s="79"/>
      <c r="C236" s="79"/>
      <c r="D236" s="15" t="s">
        <v>182</v>
      </c>
      <c r="E236" s="79"/>
      <c r="F236" s="80"/>
      <c r="G236" s="80"/>
      <c r="H236" s="80"/>
      <c r="I236" s="79"/>
    </row>
    <row r="237" ht="16.5" customHeight="1">
      <c r="A237" s="4"/>
      <c r="B237" s="79"/>
      <c r="C237" s="79"/>
      <c r="D237" s="15" t="s">
        <v>515</v>
      </c>
      <c r="E237" s="79"/>
      <c r="F237" s="80"/>
      <c r="G237" s="80"/>
      <c r="H237" s="80"/>
      <c r="I237" s="79"/>
    </row>
    <row r="238" ht="16.5" customHeight="1">
      <c r="A238" s="4"/>
      <c r="B238" s="79"/>
      <c r="C238" s="79"/>
      <c r="D238" s="15" t="s">
        <v>516</v>
      </c>
      <c r="E238" s="79"/>
      <c r="F238" s="80"/>
      <c r="G238" s="80"/>
      <c r="H238" s="80"/>
      <c r="I238" s="79"/>
    </row>
    <row r="239" ht="16.5" customHeight="1">
      <c r="A239" s="4"/>
      <c r="B239" s="79"/>
      <c r="C239" s="79"/>
      <c r="D239" s="15" t="s">
        <v>517</v>
      </c>
      <c r="E239" s="79"/>
      <c r="F239" s="81"/>
      <c r="G239" s="81"/>
      <c r="H239" s="81"/>
      <c r="I239" s="79"/>
    </row>
    <row r="240" ht="16.5" customHeight="1">
      <c r="A240" s="4"/>
      <c r="B240" s="79"/>
      <c r="C240" s="79"/>
      <c r="D240" s="15" t="s">
        <v>519</v>
      </c>
      <c r="E240" s="79"/>
      <c r="F240" s="81"/>
      <c r="G240" s="81"/>
      <c r="H240" s="81"/>
      <c r="I240" s="79"/>
    </row>
    <row r="241" ht="16.5" customHeight="1">
      <c r="A241" s="4"/>
      <c r="B241" s="79"/>
      <c r="C241" s="79"/>
      <c r="D241" s="15" t="s">
        <v>521</v>
      </c>
      <c r="E241" s="79"/>
      <c r="F241" s="81"/>
      <c r="G241" s="81"/>
      <c r="H241" s="81"/>
      <c r="I241" s="79"/>
    </row>
    <row r="242" ht="16.5" customHeight="1">
      <c r="A242" s="4"/>
      <c r="B242" s="79"/>
      <c r="C242" s="79"/>
      <c r="D242" s="15" t="s">
        <v>522</v>
      </c>
      <c r="E242" s="79"/>
      <c r="F242" s="80"/>
      <c r="G242" s="80"/>
      <c r="H242" s="80"/>
      <c r="I242" s="79"/>
    </row>
    <row r="243" ht="16.5" customHeight="1">
      <c r="A243" s="4"/>
      <c r="B243" s="79"/>
      <c r="C243" s="79"/>
      <c r="D243" s="15" t="s">
        <v>523</v>
      </c>
      <c r="E243" s="79"/>
      <c r="F243" s="82"/>
      <c r="G243" s="82"/>
      <c r="H243" s="82"/>
      <c r="I243" s="79"/>
    </row>
    <row r="244" ht="15.0" customHeight="1">
      <c r="A244" s="83"/>
      <c r="B244" s="6" t="s">
        <v>526</v>
      </c>
      <c r="C244" s="84"/>
      <c r="D244" s="84"/>
      <c r="E244" s="84"/>
      <c r="F244" s="84"/>
      <c r="G244" s="84"/>
      <c r="H244" s="84"/>
      <c r="I244" s="84"/>
    </row>
    <row r="245" ht="25.5" customHeight="1">
      <c r="A245" s="4"/>
      <c r="B245" s="85">
        <v>1.0</v>
      </c>
      <c r="C245" s="86" t="s">
        <v>95</v>
      </c>
      <c r="D245" s="87" t="s">
        <v>907</v>
      </c>
      <c r="E245" s="88" t="s">
        <v>908</v>
      </c>
      <c r="F245" s="87"/>
      <c r="G245" s="87"/>
      <c r="H245" s="87"/>
      <c r="I245" s="87"/>
    </row>
    <row r="246" ht="25.5" customHeight="1">
      <c r="A246" s="4"/>
      <c r="B246" s="85">
        <v>2.0</v>
      </c>
      <c r="C246" s="86" t="s">
        <v>95</v>
      </c>
      <c r="D246" s="87" t="s">
        <v>909</v>
      </c>
      <c r="E246" s="88" t="s">
        <v>910</v>
      </c>
      <c r="F246" s="87"/>
      <c r="G246" s="87"/>
      <c r="H246" s="87"/>
      <c r="I246" s="87"/>
    </row>
    <row r="247" ht="25.5" customHeight="1">
      <c r="A247" s="4"/>
      <c r="B247" s="85">
        <v>3.0</v>
      </c>
      <c r="C247" s="86" t="s">
        <v>95</v>
      </c>
      <c r="D247" s="87" t="s">
        <v>913</v>
      </c>
      <c r="E247" s="88" t="s">
        <v>914</v>
      </c>
      <c r="F247" s="87"/>
      <c r="G247" s="87"/>
      <c r="H247" s="87"/>
      <c r="I247" s="87"/>
    </row>
    <row r="248" ht="25.5" customHeight="1">
      <c r="A248" s="4"/>
      <c r="B248" s="85">
        <v>4.0</v>
      </c>
      <c r="C248" s="86" t="s">
        <v>95</v>
      </c>
      <c r="D248" s="87" t="s">
        <v>915</v>
      </c>
      <c r="E248" s="88" t="s">
        <v>916</v>
      </c>
      <c r="F248" s="87"/>
      <c r="G248" s="87"/>
      <c r="H248" s="87"/>
      <c r="I248" s="87"/>
    </row>
    <row r="249" ht="25.5" customHeight="1">
      <c r="A249" s="4"/>
      <c r="B249" s="85">
        <v>5.0</v>
      </c>
      <c r="C249" s="89" t="s">
        <v>549</v>
      </c>
      <c r="D249" s="87" t="s">
        <v>917</v>
      </c>
      <c r="E249" s="88" t="s">
        <v>919</v>
      </c>
      <c r="F249" s="87"/>
      <c r="G249" s="87"/>
      <c r="H249" s="87"/>
      <c r="I249" s="87"/>
    </row>
    <row r="250" ht="25.5" customHeight="1">
      <c r="A250" s="4"/>
      <c r="B250" s="85">
        <v>6.0</v>
      </c>
      <c r="C250" s="89" t="s">
        <v>549</v>
      </c>
      <c r="D250" s="87" t="s">
        <v>921</v>
      </c>
      <c r="E250" s="88" t="s">
        <v>922</v>
      </c>
      <c r="F250" s="87"/>
      <c r="G250" s="87"/>
      <c r="H250" s="87"/>
      <c r="I250" s="87"/>
    </row>
    <row r="251" ht="25.5" customHeight="1">
      <c r="A251" s="4"/>
      <c r="B251" s="85">
        <v>7.0</v>
      </c>
      <c r="C251" s="89" t="s">
        <v>549</v>
      </c>
      <c r="D251" s="87" t="s">
        <v>923</v>
      </c>
      <c r="E251" s="88" t="s">
        <v>924</v>
      </c>
      <c r="F251" s="87"/>
      <c r="G251" s="87"/>
      <c r="H251" s="87"/>
      <c r="I251" s="87"/>
    </row>
    <row r="252" ht="25.5" customHeight="1">
      <c r="A252" s="4"/>
      <c r="B252" s="85">
        <v>8.0</v>
      </c>
      <c r="C252" s="89" t="s">
        <v>549</v>
      </c>
      <c r="D252" s="87" t="s">
        <v>925</v>
      </c>
      <c r="E252" s="88" t="s">
        <v>926</v>
      </c>
      <c r="F252" s="87"/>
      <c r="G252" s="87"/>
      <c r="H252" s="87"/>
      <c r="I252" s="87"/>
    </row>
    <row r="253" ht="25.5" customHeight="1">
      <c r="A253" s="4"/>
      <c r="B253" s="85">
        <v>9.0</v>
      </c>
      <c r="C253" s="89" t="s">
        <v>549</v>
      </c>
      <c r="D253" s="87" t="s">
        <v>929</v>
      </c>
      <c r="E253" s="88" t="s">
        <v>930</v>
      </c>
      <c r="F253" s="87"/>
      <c r="G253" s="87"/>
      <c r="H253" s="87"/>
      <c r="I253" s="87"/>
    </row>
    <row r="254" ht="25.5" customHeight="1">
      <c r="A254" s="4"/>
      <c r="B254" s="85">
        <v>10.0</v>
      </c>
      <c r="C254" s="90" t="s">
        <v>566</v>
      </c>
      <c r="D254" s="87" t="s">
        <v>931</v>
      </c>
      <c r="E254" s="88" t="s">
        <v>932</v>
      </c>
      <c r="F254" s="87"/>
      <c r="G254" s="87"/>
      <c r="H254" s="87"/>
      <c r="I254" s="87"/>
    </row>
    <row r="255" ht="25.5" customHeight="1">
      <c r="A255" s="4"/>
      <c r="B255" s="85">
        <v>11.0</v>
      </c>
      <c r="C255" s="90" t="s">
        <v>566</v>
      </c>
      <c r="D255" s="87" t="s">
        <v>933</v>
      </c>
      <c r="E255" s="88" t="s">
        <v>934</v>
      </c>
      <c r="F255" s="87"/>
      <c r="G255" s="87"/>
      <c r="H255" s="87"/>
      <c r="I255" s="87"/>
    </row>
    <row r="256" ht="25.5" customHeight="1">
      <c r="A256" s="4"/>
      <c r="B256" s="85">
        <v>12.0</v>
      </c>
      <c r="C256" s="90" t="s">
        <v>566</v>
      </c>
      <c r="D256" s="87" t="s">
        <v>937</v>
      </c>
      <c r="E256" s="88" t="s">
        <v>938</v>
      </c>
      <c r="F256" s="87"/>
      <c r="G256" s="87"/>
      <c r="H256" s="87"/>
      <c r="I256" s="87"/>
    </row>
    <row r="257" ht="25.5" customHeight="1">
      <c r="A257" s="4"/>
      <c r="B257" s="85">
        <v>13.0</v>
      </c>
      <c r="C257" s="91" t="s">
        <v>591</v>
      </c>
      <c r="D257" s="87" t="s">
        <v>939</v>
      </c>
      <c r="E257" s="88" t="s">
        <v>940</v>
      </c>
      <c r="F257" s="87"/>
      <c r="G257" s="87"/>
      <c r="H257" s="87"/>
      <c r="I257" s="87"/>
    </row>
    <row r="258" ht="25.5" customHeight="1">
      <c r="A258" s="4"/>
      <c r="B258" s="85">
        <v>14.0</v>
      </c>
      <c r="C258" s="91" t="s">
        <v>591</v>
      </c>
      <c r="D258" s="87" t="s">
        <v>941</v>
      </c>
      <c r="E258" s="88" t="s">
        <v>942</v>
      </c>
      <c r="F258" s="87"/>
      <c r="G258" s="87"/>
      <c r="H258" s="87"/>
      <c r="I258" s="87"/>
    </row>
    <row r="259" ht="16.5" customHeight="1">
      <c r="A259" s="4"/>
      <c r="B259" s="75"/>
      <c r="C259" s="75"/>
      <c r="D259" s="75"/>
      <c r="E259" s="75"/>
      <c r="F259" s="75"/>
      <c r="G259" s="75"/>
      <c r="H259" s="75"/>
      <c r="I259" s="75"/>
    </row>
    <row r="260" ht="16.5" customHeight="1">
      <c r="A260" s="4"/>
      <c r="B260" s="92"/>
      <c r="C260" s="92"/>
      <c r="D260" s="93" t="s">
        <v>602</v>
      </c>
      <c r="E260" s="94" t="s">
        <v>603</v>
      </c>
      <c r="F260" s="80" t="s">
        <v>604</v>
      </c>
      <c r="G260" s="95" t="str">
        <f>IF($F260="Option A",$F235,IF($F260="Option B",$G235,IF($F260="Option C",$H235,"")))</f>
        <v/>
      </c>
      <c r="H260" s="96">
        <f>IF($F260="Option A",IF($F240&gt;0,$F240,$F239),IF($F260="Option B",IF($G240&gt;0,$G240,$G239),IF($F260="Option C",IF($H240&gt;0,$H240,$H239),0)))</f>
        <v>0</v>
      </c>
      <c r="I260" s="93" t="str">
        <f>IF($G260="","-",IF(COUNTIF('05 Vendors'!$D$7:$D$200,$G260)&gt;0,"Yes","NOT YET"))</f>
        <v>-</v>
      </c>
    </row>
    <row r="261" ht="16.5" customHeight="1">
      <c r="A261" s="4"/>
      <c r="B261" s="75"/>
      <c r="C261" s="75"/>
      <c r="D261" s="75"/>
      <c r="E261" s="75"/>
      <c r="F261" s="75"/>
      <c r="G261" s="75"/>
      <c r="H261" s="75"/>
      <c r="I261" s="75"/>
    </row>
    <row r="262" ht="16.5" customHeight="1">
      <c r="A262" s="4"/>
      <c r="B262" s="75"/>
      <c r="C262" s="75"/>
      <c r="D262" s="75"/>
      <c r="E262" s="75"/>
      <c r="F262" s="75"/>
      <c r="G262" s="75"/>
      <c r="H262" s="75"/>
      <c r="I262" s="75"/>
    </row>
    <row r="263" ht="21.75" customHeight="1">
      <c r="A263" s="76"/>
      <c r="B263" s="8" t="s">
        <v>950</v>
      </c>
      <c r="C263" s="77"/>
      <c r="D263" s="77"/>
      <c r="E263" s="77"/>
      <c r="F263" s="77"/>
      <c r="G263" s="77"/>
      <c r="H263" s="77"/>
      <c r="I263" s="78" t="s">
        <v>502</v>
      </c>
    </row>
    <row r="264" ht="30.0" customHeight="1">
      <c r="A264" s="73"/>
      <c r="B264" s="17" t="s">
        <v>460</v>
      </c>
      <c r="C264" s="17" t="s">
        <v>503</v>
      </c>
      <c r="D264" s="17" t="s">
        <v>505</v>
      </c>
      <c r="E264" s="17" t="s">
        <v>506</v>
      </c>
      <c r="F264" s="17" t="s">
        <v>508</v>
      </c>
      <c r="G264" s="17" t="s">
        <v>509</v>
      </c>
      <c r="H264" s="17" t="s">
        <v>510</v>
      </c>
      <c r="I264" s="17" t="s">
        <v>511</v>
      </c>
    </row>
    <row r="265" ht="16.5" customHeight="1">
      <c r="A265" s="4"/>
      <c r="B265" s="79"/>
      <c r="C265" s="79"/>
      <c r="D265" s="15" t="s">
        <v>512</v>
      </c>
      <c r="E265" s="79"/>
      <c r="F265" s="97" t="s">
        <v>952</v>
      </c>
      <c r="G265" s="80"/>
      <c r="H265" s="80"/>
      <c r="I265" s="79"/>
    </row>
    <row r="266" ht="16.5" customHeight="1">
      <c r="A266" s="4"/>
      <c r="B266" s="79"/>
      <c r="C266" s="79"/>
      <c r="D266" s="15" t="s">
        <v>182</v>
      </c>
      <c r="E266" s="79"/>
      <c r="F266" s="97" t="s">
        <v>266</v>
      </c>
      <c r="G266" s="80"/>
      <c r="H266" s="80"/>
      <c r="I266" s="79"/>
    </row>
    <row r="267" ht="16.5" customHeight="1">
      <c r="A267" s="4"/>
      <c r="B267" s="79"/>
      <c r="C267" s="79"/>
      <c r="D267" s="15" t="s">
        <v>515</v>
      </c>
      <c r="E267" s="79"/>
      <c r="F267" s="80"/>
      <c r="G267" s="80"/>
      <c r="H267" s="80"/>
      <c r="I267" s="79"/>
    </row>
    <row r="268" ht="16.5" customHeight="1">
      <c r="A268" s="4"/>
      <c r="B268" s="79"/>
      <c r="C268" s="79"/>
      <c r="D268" s="15" t="s">
        <v>516</v>
      </c>
      <c r="E268" s="79"/>
      <c r="F268" s="80"/>
      <c r="G268" s="80"/>
      <c r="H268" s="80"/>
      <c r="I268" s="79"/>
    </row>
    <row r="269" ht="16.5" customHeight="1">
      <c r="A269" s="4"/>
      <c r="B269" s="79"/>
      <c r="C269" s="79"/>
      <c r="D269" s="15" t="s">
        <v>517</v>
      </c>
      <c r="E269" s="79"/>
      <c r="F269" s="81"/>
      <c r="G269" s="81"/>
      <c r="H269" s="81"/>
      <c r="I269" s="79"/>
    </row>
    <row r="270" ht="16.5" customHeight="1">
      <c r="A270" s="4"/>
      <c r="B270" s="79"/>
      <c r="C270" s="79"/>
      <c r="D270" s="15" t="s">
        <v>519</v>
      </c>
      <c r="E270" s="79"/>
      <c r="F270" s="81"/>
      <c r="G270" s="81"/>
      <c r="H270" s="81"/>
      <c r="I270" s="79"/>
    </row>
    <row r="271" ht="16.5" customHeight="1">
      <c r="A271" s="4"/>
      <c r="B271" s="79"/>
      <c r="C271" s="79"/>
      <c r="D271" s="15" t="s">
        <v>521</v>
      </c>
      <c r="E271" s="79"/>
      <c r="F271" s="81"/>
      <c r="G271" s="81"/>
      <c r="H271" s="81"/>
      <c r="I271" s="79"/>
    </row>
    <row r="272" ht="16.5" customHeight="1">
      <c r="A272" s="4"/>
      <c r="B272" s="79"/>
      <c r="C272" s="79"/>
      <c r="D272" s="15" t="s">
        <v>522</v>
      </c>
      <c r="E272" s="79"/>
      <c r="F272" s="97" t="s">
        <v>114</v>
      </c>
      <c r="G272" s="80"/>
      <c r="H272" s="80"/>
      <c r="I272" s="79"/>
    </row>
    <row r="273" ht="16.5" customHeight="1">
      <c r="A273" s="4"/>
      <c r="B273" s="79"/>
      <c r="C273" s="79"/>
      <c r="D273" s="15" t="s">
        <v>523</v>
      </c>
      <c r="E273" s="79"/>
      <c r="F273" s="82"/>
      <c r="G273" s="82"/>
      <c r="H273" s="82"/>
      <c r="I273" s="79"/>
    </row>
    <row r="274" ht="15.0" customHeight="1">
      <c r="A274" s="83"/>
      <c r="B274" s="6" t="s">
        <v>526</v>
      </c>
      <c r="C274" s="84"/>
      <c r="D274" s="84"/>
      <c r="E274" s="84"/>
      <c r="F274" s="84"/>
      <c r="G274" s="84"/>
      <c r="H274" s="84"/>
      <c r="I274" s="84"/>
    </row>
    <row r="275" ht="25.5" customHeight="1">
      <c r="A275" s="4"/>
      <c r="B275" s="85">
        <v>1.0</v>
      </c>
      <c r="C275" s="86" t="s">
        <v>95</v>
      </c>
      <c r="D275" s="87" t="s">
        <v>961</v>
      </c>
      <c r="E275" s="88" t="s">
        <v>962</v>
      </c>
      <c r="F275" s="87"/>
      <c r="G275" s="87"/>
      <c r="H275" s="87"/>
      <c r="I275" s="87"/>
    </row>
    <row r="276" ht="25.5" customHeight="1">
      <c r="A276" s="4"/>
      <c r="B276" s="85">
        <v>2.0</v>
      </c>
      <c r="C276" s="86" t="s">
        <v>95</v>
      </c>
      <c r="D276" s="87" t="s">
        <v>963</v>
      </c>
      <c r="E276" s="88" t="s">
        <v>964</v>
      </c>
      <c r="F276" s="87"/>
      <c r="G276" s="87"/>
      <c r="H276" s="87"/>
      <c r="I276" s="87"/>
    </row>
    <row r="277" ht="25.5" customHeight="1">
      <c r="A277" s="4"/>
      <c r="B277" s="85">
        <v>3.0</v>
      </c>
      <c r="C277" s="86" t="s">
        <v>95</v>
      </c>
      <c r="D277" s="87" t="s">
        <v>967</v>
      </c>
      <c r="E277" s="88" t="s">
        <v>968</v>
      </c>
      <c r="F277" s="87"/>
      <c r="G277" s="87"/>
      <c r="H277" s="87"/>
      <c r="I277" s="87"/>
    </row>
    <row r="278" ht="25.5" customHeight="1">
      <c r="A278" s="4"/>
      <c r="B278" s="85">
        <v>4.0</v>
      </c>
      <c r="C278" s="89" t="s">
        <v>549</v>
      </c>
      <c r="D278" s="87" t="s">
        <v>969</v>
      </c>
      <c r="E278" s="88" t="s">
        <v>970</v>
      </c>
      <c r="F278" s="87"/>
      <c r="G278" s="87"/>
      <c r="H278" s="87"/>
      <c r="I278" s="87"/>
    </row>
    <row r="279" ht="25.5" customHeight="1">
      <c r="A279" s="4"/>
      <c r="B279" s="85">
        <v>5.0</v>
      </c>
      <c r="C279" s="89" t="s">
        <v>549</v>
      </c>
      <c r="D279" s="87" t="s">
        <v>971</v>
      </c>
      <c r="E279" s="88" t="s">
        <v>972</v>
      </c>
      <c r="F279" s="87"/>
      <c r="G279" s="87"/>
      <c r="H279" s="87"/>
      <c r="I279" s="87"/>
    </row>
    <row r="280" ht="25.5" customHeight="1">
      <c r="A280" s="4"/>
      <c r="B280" s="85">
        <v>6.0</v>
      </c>
      <c r="C280" s="89" t="s">
        <v>549</v>
      </c>
      <c r="D280" s="87" t="s">
        <v>975</v>
      </c>
      <c r="E280" s="88" t="s">
        <v>976</v>
      </c>
      <c r="F280" s="87"/>
      <c r="G280" s="87"/>
      <c r="H280" s="87"/>
      <c r="I280" s="87"/>
    </row>
    <row r="281" ht="25.5" customHeight="1">
      <c r="A281" s="4"/>
      <c r="B281" s="85">
        <v>7.0</v>
      </c>
      <c r="C281" s="90" t="s">
        <v>566</v>
      </c>
      <c r="D281" s="87" t="s">
        <v>977</v>
      </c>
      <c r="E281" s="88" t="s">
        <v>978</v>
      </c>
      <c r="F281" s="87"/>
      <c r="G281" s="87"/>
      <c r="H281" s="87"/>
      <c r="I281" s="87"/>
    </row>
    <row r="282" ht="25.5" customHeight="1">
      <c r="A282" s="4"/>
      <c r="B282" s="85">
        <v>8.0</v>
      </c>
      <c r="C282" s="90" t="s">
        <v>566</v>
      </c>
      <c r="D282" s="87" t="s">
        <v>979</v>
      </c>
      <c r="E282" s="88" t="s">
        <v>980</v>
      </c>
      <c r="F282" s="87"/>
      <c r="G282" s="87"/>
      <c r="H282" s="87"/>
      <c r="I282" s="87"/>
    </row>
    <row r="283" ht="25.5" customHeight="1">
      <c r="A283" s="4"/>
      <c r="B283" s="85">
        <v>9.0</v>
      </c>
      <c r="C283" s="90" t="s">
        <v>566</v>
      </c>
      <c r="D283" s="87" t="s">
        <v>983</v>
      </c>
      <c r="E283" s="88" t="s">
        <v>984</v>
      </c>
      <c r="F283" s="87"/>
      <c r="G283" s="87"/>
      <c r="H283" s="87"/>
      <c r="I283" s="87"/>
    </row>
    <row r="284" ht="25.5" customHeight="1">
      <c r="A284" s="4"/>
      <c r="B284" s="85">
        <v>10.0</v>
      </c>
      <c r="C284" s="91" t="s">
        <v>591</v>
      </c>
      <c r="D284" s="87" t="s">
        <v>985</v>
      </c>
      <c r="E284" s="88" t="s">
        <v>986</v>
      </c>
      <c r="F284" s="87"/>
      <c r="G284" s="87"/>
      <c r="H284" s="87"/>
      <c r="I284" s="87"/>
    </row>
    <row r="285" ht="25.5" customHeight="1">
      <c r="A285" s="4"/>
      <c r="B285" s="85">
        <v>11.0</v>
      </c>
      <c r="C285" s="91" t="s">
        <v>591</v>
      </c>
      <c r="D285" s="87" t="s">
        <v>987</v>
      </c>
      <c r="E285" s="88" t="s">
        <v>988</v>
      </c>
      <c r="F285" s="87"/>
      <c r="G285" s="87"/>
      <c r="H285" s="87"/>
      <c r="I285" s="87"/>
    </row>
    <row r="286" ht="25.5" customHeight="1">
      <c r="A286" s="4"/>
      <c r="B286" s="85">
        <v>12.0</v>
      </c>
      <c r="C286" s="91" t="s">
        <v>591</v>
      </c>
      <c r="D286" s="87" t="s">
        <v>991</v>
      </c>
      <c r="E286" s="88" t="s">
        <v>992</v>
      </c>
      <c r="F286" s="87"/>
      <c r="G286" s="87"/>
      <c r="H286" s="87"/>
      <c r="I286" s="87"/>
    </row>
    <row r="287" ht="16.5" customHeight="1">
      <c r="A287" s="4"/>
      <c r="B287" s="75"/>
      <c r="C287" s="75"/>
      <c r="D287" s="75"/>
      <c r="E287" s="75"/>
      <c r="F287" s="75"/>
      <c r="G287" s="75"/>
      <c r="H287" s="75"/>
      <c r="I287" s="75"/>
    </row>
    <row r="288" ht="16.5" customHeight="1">
      <c r="A288" s="4"/>
      <c r="B288" s="92"/>
      <c r="C288" s="92"/>
      <c r="D288" s="93" t="s">
        <v>602</v>
      </c>
      <c r="E288" s="94" t="s">
        <v>603</v>
      </c>
      <c r="F288" s="97" t="s">
        <v>995</v>
      </c>
      <c r="G288" s="95" t="str">
        <f>IF($F288="Option A",$F265,IF($F288="Option B",$G265,IF($F288="Option C",$H265,"")))</f>
        <v>Panadura Gold house</v>
      </c>
      <c r="H288" s="96" t="str">
        <f>IF($F288="Option A",IF($F270&gt;0,$F270,$F269),IF($F288="Option B",IF($G270&gt;0,$G270,$G269),IF($F288="Option C",IF($H270&gt;0,$H270,$H269),0)))</f>
        <v/>
      </c>
      <c r="I288" s="93" t="str">
        <f>IF($G288="","-",IF(COUNTIF('05 Vendors'!$D$7:$D$200,$G288)&gt;0,"Yes","NOT YET"))</f>
        <v>Yes</v>
      </c>
    </row>
    <row r="289" ht="16.5" customHeight="1">
      <c r="A289" s="4"/>
      <c r="B289" s="75"/>
      <c r="C289" s="75"/>
      <c r="D289" s="75"/>
      <c r="E289" s="75"/>
      <c r="F289" s="75"/>
      <c r="G289" s="75"/>
      <c r="H289" s="75"/>
      <c r="I289" s="75"/>
    </row>
    <row r="290" ht="16.5" customHeight="1">
      <c r="A290" s="4"/>
      <c r="B290" s="75"/>
      <c r="C290" s="75"/>
      <c r="D290" s="75"/>
      <c r="E290" s="75"/>
      <c r="F290" s="75"/>
      <c r="G290" s="75"/>
      <c r="H290" s="75"/>
      <c r="I290" s="75"/>
    </row>
    <row r="291" ht="21.75" customHeight="1">
      <c r="A291" s="76"/>
      <c r="B291" s="8" t="s">
        <v>999</v>
      </c>
      <c r="C291" s="77"/>
      <c r="D291" s="77"/>
      <c r="E291" s="77"/>
      <c r="F291" s="77"/>
      <c r="G291" s="77"/>
      <c r="H291" s="77"/>
      <c r="I291" s="78" t="s">
        <v>502</v>
      </c>
    </row>
    <row r="292" ht="30.0" customHeight="1">
      <c r="A292" s="73"/>
      <c r="B292" s="17" t="s">
        <v>460</v>
      </c>
      <c r="C292" s="17" t="s">
        <v>503</v>
      </c>
      <c r="D292" s="17" t="s">
        <v>505</v>
      </c>
      <c r="E292" s="17" t="s">
        <v>506</v>
      </c>
      <c r="F292" s="17" t="s">
        <v>508</v>
      </c>
      <c r="G292" s="17" t="s">
        <v>509</v>
      </c>
      <c r="H292" s="17" t="s">
        <v>510</v>
      </c>
      <c r="I292" s="17" t="s">
        <v>511</v>
      </c>
    </row>
    <row r="293" ht="16.5" customHeight="1">
      <c r="A293" s="4"/>
      <c r="B293" s="79"/>
      <c r="C293" s="79"/>
      <c r="D293" s="15" t="s">
        <v>512</v>
      </c>
      <c r="E293" s="79"/>
      <c r="F293" s="80"/>
      <c r="G293" s="80"/>
      <c r="H293" s="80"/>
      <c r="I293" s="79"/>
    </row>
    <row r="294" ht="16.5" customHeight="1">
      <c r="A294" s="4"/>
      <c r="B294" s="79"/>
      <c r="C294" s="79"/>
      <c r="D294" s="15" t="s">
        <v>182</v>
      </c>
      <c r="E294" s="79"/>
      <c r="F294" s="80"/>
      <c r="G294" s="80"/>
      <c r="H294" s="80"/>
      <c r="I294" s="79"/>
    </row>
    <row r="295" ht="16.5" customHeight="1">
      <c r="A295" s="4"/>
      <c r="B295" s="79"/>
      <c r="C295" s="79"/>
      <c r="D295" s="15" t="s">
        <v>515</v>
      </c>
      <c r="E295" s="79"/>
      <c r="F295" s="80"/>
      <c r="G295" s="80"/>
      <c r="H295" s="80"/>
      <c r="I295" s="79"/>
    </row>
    <row r="296" ht="16.5" customHeight="1">
      <c r="A296" s="4"/>
      <c r="B296" s="79"/>
      <c r="C296" s="79"/>
      <c r="D296" s="15" t="s">
        <v>516</v>
      </c>
      <c r="E296" s="79"/>
      <c r="F296" s="80"/>
      <c r="G296" s="80"/>
      <c r="H296" s="80"/>
      <c r="I296" s="79"/>
    </row>
    <row r="297" ht="16.5" customHeight="1">
      <c r="A297" s="4"/>
      <c r="B297" s="79"/>
      <c r="C297" s="79"/>
      <c r="D297" s="15" t="s">
        <v>517</v>
      </c>
      <c r="E297" s="79"/>
      <c r="F297" s="81"/>
      <c r="G297" s="81"/>
      <c r="H297" s="81"/>
      <c r="I297" s="79"/>
    </row>
    <row r="298" ht="16.5" customHeight="1">
      <c r="A298" s="4"/>
      <c r="B298" s="79"/>
      <c r="C298" s="79"/>
      <c r="D298" s="15" t="s">
        <v>519</v>
      </c>
      <c r="E298" s="79"/>
      <c r="F298" s="81"/>
      <c r="G298" s="81"/>
      <c r="H298" s="81"/>
      <c r="I298" s="79"/>
    </row>
    <row r="299" ht="16.5" customHeight="1">
      <c r="A299" s="4"/>
      <c r="B299" s="79"/>
      <c r="C299" s="79"/>
      <c r="D299" s="15" t="s">
        <v>521</v>
      </c>
      <c r="E299" s="79"/>
      <c r="F299" s="81"/>
      <c r="G299" s="81"/>
      <c r="H299" s="81"/>
      <c r="I299" s="79"/>
    </row>
    <row r="300" ht="16.5" customHeight="1">
      <c r="A300" s="4"/>
      <c r="B300" s="79"/>
      <c r="C300" s="79"/>
      <c r="D300" s="15" t="s">
        <v>522</v>
      </c>
      <c r="E300" s="79"/>
      <c r="F300" s="80"/>
      <c r="G300" s="80"/>
      <c r="H300" s="80"/>
      <c r="I300" s="79"/>
    </row>
    <row r="301" ht="16.5" customHeight="1">
      <c r="A301" s="4"/>
      <c r="B301" s="79"/>
      <c r="C301" s="79"/>
      <c r="D301" s="15" t="s">
        <v>523</v>
      </c>
      <c r="E301" s="79"/>
      <c r="F301" s="82"/>
      <c r="G301" s="82"/>
      <c r="H301" s="82"/>
      <c r="I301" s="79"/>
    </row>
    <row r="302" ht="15.0" customHeight="1">
      <c r="A302" s="83"/>
      <c r="B302" s="6" t="s">
        <v>526</v>
      </c>
      <c r="C302" s="84"/>
      <c r="D302" s="84"/>
      <c r="E302" s="84"/>
      <c r="F302" s="84"/>
      <c r="G302" s="84"/>
      <c r="H302" s="84"/>
      <c r="I302" s="84"/>
    </row>
    <row r="303" ht="25.5" customHeight="1">
      <c r="A303" s="4"/>
      <c r="B303" s="85">
        <v>1.0</v>
      </c>
      <c r="C303" s="86" t="s">
        <v>95</v>
      </c>
      <c r="D303" s="87" t="s">
        <v>1007</v>
      </c>
      <c r="E303" s="88" t="s">
        <v>1008</v>
      </c>
      <c r="F303" s="87"/>
      <c r="G303" s="87"/>
      <c r="H303" s="87"/>
      <c r="I303" s="87"/>
    </row>
    <row r="304" ht="25.5" customHeight="1">
      <c r="A304" s="4"/>
      <c r="B304" s="85">
        <v>2.0</v>
      </c>
      <c r="C304" s="86" t="s">
        <v>95</v>
      </c>
      <c r="D304" s="87" t="s">
        <v>1011</v>
      </c>
      <c r="E304" s="88" t="s">
        <v>1012</v>
      </c>
      <c r="F304" s="87"/>
      <c r="G304" s="87"/>
      <c r="H304" s="87"/>
      <c r="I304" s="87"/>
    </row>
    <row r="305" ht="25.5" customHeight="1">
      <c r="A305" s="4"/>
      <c r="B305" s="85">
        <v>3.0</v>
      </c>
      <c r="C305" s="86" t="s">
        <v>95</v>
      </c>
      <c r="D305" s="87" t="s">
        <v>1013</v>
      </c>
      <c r="E305" s="88" t="s">
        <v>1014</v>
      </c>
      <c r="F305" s="87"/>
      <c r="G305" s="87"/>
      <c r="H305" s="87"/>
      <c r="I305" s="87"/>
    </row>
    <row r="306" ht="25.5" customHeight="1">
      <c r="A306" s="4"/>
      <c r="B306" s="85">
        <v>4.0</v>
      </c>
      <c r="C306" s="89" t="s">
        <v>549</v>
      </c>
      <c r="D306" s="87" t="s">
        <v>1015</v>
      </c>
      <c r="E306" s="88" t="s">
        <v>1016</v>
      </c>
      <c r="F306" s="87"/>
      <c r="G306" s="87"/>
      <c r="H306" s="87"/>
      <c r="I306" s="87"/>
    </row>
    <row r="307" ht="25.5" customHeight="1">
      <c r="A307" s="4"/>
      <c r="B307" s="85">
        <v>5.0</v>
      </c>
      <c r="C307" s="89" t="s">
        <v>549</v>
      </c>
      <c r="D307" s="87" t="s">
        <v>1018</v>
      </c>
      <c r="E307" s="88" t="s">
        <v>1020</v>
      </c>
      <c r="F307" s="87"/>
      <c r="G307" s="87"/>
      <c r="H307" s="87"/>
      <c r="I307" s="87"/>
    </row>
    <row r="308" ht="25.5" customHeight="1">
      <c r="A308" s="4"/>
      <c r="B308" s="85">
        <v>6.0</v>
      </c>
      <c r="C308" s="89" t="s">
        <v>549</v>
      </c>
      <c r="D308" s="87" t="s">
        <v>1021</v>
      </c>
      <c r="E308" s="88" t="s">
        <v>1022</v>
      </c>
      <c r="F308" s="87"/>
      <c r="G308" s="87"/>
      <c r="H308" s="87"/>
      <c r="I308" s="87"/>
    </row>
    <row r="309" ht="25.5" customHeight="1">
      <c r="A309" s="4"/>
      <c r="B309" s="85">
        <v>7.0</v>
      </c>
      <c r="C309" s="90" t="s">
        <v>566</v>
      </c>
      <c r="D309" s="87" t="s">
        <v>1023</v>
      </c>
      <c r="E309" s="88" t="s">
        <v>1024</v>
      </c>
      <c r="F309" s="87"/>
      <c r="G309" s="87"/>
      <c r="H309" s="87"/>
      <c r="I309" s="87"/>
    </row>
    <row r="310" ht="25.5" customHeight="1">
      <c r="A310" s="4"/>
      <c r="B310" s="85">
        <v>8.0</v>
      </c>
      <c r="C310" s="90" t="s">
        <v>566</v>
      </c>
      <c r="D310" s="87" t="s">
        <v>1025</v>
      </c>
      <c r="E310" s="88" t="s">
        <v>1026</v>
      </c>
      <c r="F310" s="87"/>
      <c r="G310" s="87"/>
      <c r="H310" s="87"/>
      <c r="I310" s="87"/>
    </row>
    <row r="311" ht="25.5" customHeight="1">
      <c r="A311" s="4"/>
      <c r="B311" s="85">
        <v>9.0</v>
      </c>
      <c r="C311" s="90" t="s">
        <v>566</v>
      </c>
      <c r="D311" s="87" t="s">
        <v>1029</v>
      </c>
      <c r="E311" s="88" t="s">
        <v>1030</v>
      </c>
      <c r="F311" s="87"/>
      <c r="G311" s="87"/>
      <c r="H311" s="87"/>
      <c r="I311" s="87"/>
    </row>
    <row r="312" ht="25.5" customHeight="1">
      <c r="A312" s="4"/>
      <c r="B312" s="85">
        <v>10.0</v>
      </c>
      <c r="C312" s="91" t="s">
        <v>591</v>
      </c>
      <c r="D312" s="87" t="s">
        <v>1031</v>
      </c>
      <c r="E312" s="88" t="s">
        <v>1032</v>
      </c>
      <c r="F312" s="87"/>
      <c r="G312" s="87"/>
      <c r="H312" s="87"/>
      <c r="I312" s="87"/>
    </row>
    <row r="313" ht="25.5" customHeight="1">
      <c r="A313" s="4"/>
      <c r="B313" s="85">
        <v>11.0</v>
      </c>
      <c r="C313" s="91" t="s">
        <v>591</v>
      </c>
      <c r="D313" s="87" t="s">
        <v>1033</v>
      </c>
      <c r="E313" s="88" t="s">
        <v>1034</v>
      </c>
      <c r="F313" s="87"/>
      <c r="G313" s="87"/>
      <c r="H313" s="87"/>
      <c r="I313" s="87"/>
    </row>
    <row r="314" ht="25.5" customHeight="1">
      <c r="A314" s="4"/>
      <c r="B314" s="85">
        <v>12.0</v>
      </c>
      <c r="C314" s="91" t="s">
        <v>591</v>
      </c>
      <c r="D314" s="87" t="s">
        <v>1036</v>
      </c>
      <c r="E314" s="88" t="s">
        <v>663</v>
      </c>
      <c r="F314" s="87"/>
      <c r="G314" s="87"/>
      <c r="H314" s="87"/>
      <c r="I314" s="87"/>
    </row>
    <row r="315" ht="16.5" customHeight="1">
      <c r="A315" s="4"/>
      <c r="B315" s="75"/>
      <c r="C315" s="75"/>
      <c r="D315" s="75"/>
      <c r="E315" s="75"/>
      <c r="F315" s="75"/>
      <c r="G315" s="75"/>
      <c r="H315" s="75"/>
      <c r="I315" s="75"/>
    </row>
    <row r="316" ht="16.5" customHeight="1">
      <c r="A316" s="4"/>
      <c r="B316" s="92"/>
      <c r="C316" s="92"/>
      <c r="D316" s="93" t="s">
        <v>602</v>
      </c>
      <c r="E316" s="94" t="s">
        <v>603</v>
      </c>
      <c r="F316" s="80" t="s">
        <v>604</v>
      </c>
      <c r="G316" s="95" t="str">
        <f>IF($F316="Option A",$F293,IF($F316="Option B",$G293,IF($F316="Option C",$H293,"")))</f>
        <v/>
      </c>
      <c r="H316" s="96">
        <f>IF($F316="Option A",IF($F298&gt;0,$F298,$F297),IF($F316="Option B",IF($G298&gt;0,$G298,$G297),IF($F316="Option C",IF($H298&gt;0,$H298,$H297),0)))</f>
        <v>0</v>
      </c>
      <c r="I316" s="93" t="str">
        <f>IF($G316="","-",IF(COUNTIF('05 Vendors'!$D$7:$D$200,$G316)&gt;0,"Yes","NOT YET"))</f>
        <v>-</v>
      </c>
    </row>
    <row r="317" ht="16.5" customHeight="1">
      <c r="A317" s="4"/>
      <c r="B317" s="75"/>
      <c r="C317" s="75"/>
      <c r="D317" s="75"/>
      <c r="E317" s="75"/>
      <c r="F317" s="75"/>
      <c r="G317" s="75"/>
      <c r="H317" s="75"/>
      <c r="I317" s="75"/>
    </row>
    <row r="318" ht="16.5" customHeight="1">
      <c r="A318" s="4"/>
      <c r="B318" s="75"/>
      <c r="C318" s="75"/>
      <c r="D318" s="75"/>
      <c r="E318" s="75"/>
      <c r="F318" s="75"/>
      <c r="G318" s="75"/>
      <c r="H318" s="75"/>
      <c r="I318" s="75"/>
    </row>
    <row r="319" ht="21.75" customHeight="1">
      <c r="A319" s="76"/>
      <c r="B319" s="8" t="s">
        <v>1039</v>
      </c>
      <c r="C319" s="77"/>
      <c r="D319" s="77"/>
      <c r="E319" s="77"/>
      <c r="F319" s="77"/>
      <c r="G319" s="77"/>
      <c r="H319" s="77"/>
      <c r="I319" s="78" t="s">
        <v>502</v>
      </c>
    </row>
    <row r="320" ht="30.0" customHeight="1">
      <c r="A320" s="73"/>
      <c r="B320" s="17" t="s">
        <v>460</v>
      </c>
      <c r="C320" s="17" t="s">
        <v>503</v>
      </c>
      <c r="D320" s="17" t="s">
        <v>505</v>
      </c>
      <c r="E320" s="17" t="s">
        <v>506</v>
      </c>
      <c r="F320" s="17" t="s">
        <v>508</v>
      </c>
      <c r="G320" s="17" t="s">
        <v>509</v>
      </c>
      <c r="H320" s="17" t="s">
        <v>510</v>
      </c>
      <c r="I320" s="17" t="s">
        <v>511</v>
      </c>
    </row>
    <row r="321" ht="16.5" customHeight="1">
      <c r="A321" s="4"/>
      <c r="B321" s="79"/>
      <c r="C321" s="79"/>
      <c r="D321" s="15" t="s">
        <v>512</v>
      </c>
      <c r="E321" s="79"/>
      <c r="F321" s="80"/>
      <c r="G321" s="80"/>
      <c r="H321" s="80"/>
      <c r="I321" s="79"/>
    </row>
    <row r="322" ht="16.5" customHeight="1">
      <c r="A322" s="4"/>
      <c r="B322" s="79"/>
      <c r="C322" s="79"/>
      <c r="D322" s="15" t="s">
        <v>182</v>
      </c>
      <c r="E322" s="79"/>
      <c r="F322" s="80"/>
      <c r="G322" s="80"/>
      <c r="H322" s="80"/>
      <c r="I322" s="79"/>
    </row>
    <row r="323" ht="16.5" customHeight="1">
      <c r="A323" s="4"/>
      <c r="B323" s="79"/>
      <c r="C323" s="79"/>
      <c r="D323" s="15" t="s">
        <v>515</v>
      </c>
      <c r="E323" s="79"/>
      <c r="F323" s="80"/>
      <c r="G323" s="80"/>
      <c r="H323" s="80"/>
      <c r="I323" s="79"/>
    </row>
    <row r="324" ht="16.5" customHeight="1">
      <c r="A324" s="4"/>
      <c r="B324" s="79"/>
      <c r="C324" s="79"/>
      <c r="D324" s="15" t="s">
        <v>516</v>
      </c>
      <c r="E324" s="79"/>
      <c r="F324" s="80"/>
      <c r="G324" s="80"/>
      <c r="H324" s="80"/>
      <c r="I324" s="79"/>
    </row>
    <row r="325" ht="16.5" customHeight="1">
      <c r="A325" s="4"/>
      <c r="B325" s="79"/>
      <c r="C325" s="79"/>
      <c r="D325" s="15" t="s">
        <v>517</v>
      </c>
      <c r="E325" s="79"/>
      <c r="F325" s="81"/>
      <c r="G325" s="81"/>
      <c r="H325" s="81"/>
      <c r="I325" s="79"/>
    </row>
    <row r="326" ht="16.5" customHeight="1">
      <c r="A326" s="4"/>
      <c r="B326" s="79"/>
      <c r="C326" s="79"/>
      <c r="D326" s="15" t="s">
        <v>519</v>
      </c>
      <c r="E326" s="79"/>
      <c r="F326" s="81"/>
      <c r="G326" s="81"/>
      <c r="H326" s="81"/>
      <c r="I326" s="79"/>
    </row>
    <row r="327" ht="16.5" customHeight="1">
      <c r="A327" s="4"/>
      <c r="B327" s="79"/>
      <c r="C327" s="79"/>
      <c r="D327" s="15" t="s">
        <v>521</v>
      </c>
      <c r="E327" s="79"/>
      <c r="F327" s="81"/>
      <c r="G327" s="81"/>
      <c r="H327" s="81"/>
      <c r="I327" s="79"/>
    </row>
    <row r="328" ht="16.5" customHeight="1">
      <c r="A328" s="4"/>
      <c r="B328" s="79"/>
      <c r="C328" s="79"/>
      <c r="D328" s="15" t="s">
        <v>522</v>
      </c>
      <c r="E328" s="79"/>
      <c r="F328" s="80"/>
      <c r="G328" s="80"/>
      <c r="H328" s="80"/>
      <c r="I328" s="79"/>
    </row>
    <row r="329" ht="16.5" customHeight="1">
      <c r="A329" s="4"/>
      <c r="B329" s="79"/>
      <c r="C329" s="79"/>
      <c r="D329" s="15" t="s">
        <v>523</v>
      </c>
      <c r="E329" s="79"/>
      <c r="F329" s="82"/>
      <c r="G329" s="82"/>
      <c r="H329" s="82"/>
      <c r="I329" s="79"/>
    </row>
    <row r="330" ht="15.0" customHeight="1">
      <c r="A330" s="83"/>
      <c r="B330" s="6" t="s">
        <v>526</v>
      </c>
      <c r="C330" s="84"/>
      <c r="D330" s="84"/>
      <c r="E330" s="84"/>
      <c r="F330" s="84"/>
      <c r="G330" s="84"/>
      <c r="H330" s="84"/>
      <c r="I330" s="84"/>
    </row>
    <row r="331" ht="25.5" customHeight="1">
      <c r="A331" s="4"/>
      <c r="B331" s="85">
        <v>1.0</v>
      </c>
      <c r="C331" s="86" t="s">
        <v>95</v>
      </c>
      <c r="D331" s="87" t="s">
        <v>1040</v>
      </c>
      <c r="E331" s="88" t="s">
        <v>1041</v>
      </c>
      <c r="F331" s="87"/>
      <c r="G331" s="87"/>
      <c r="H331" s="87"/>
      <c r="I331" s="87"/>
    </row>
    <row r="332" ht="25.5" customHeight="1">
      <c r="A332" s="4"/>
      <c r="B332" s="85">
        <v>2.0</v>
      </c>
      <c r="C332" s="86" t="s">
        <v>95</v>
      </c>
      <c r="D332" s="87" t="s">
        <v>1042</v>
      </c>
      <c r="E332" s="88" t="s">
        <v>1043</v>
      </c>
      <c r="F332" s="87"/>
      <c r="G332" s="87"/>
      <c r="H332" s="87"/>
      <c r="I332" s="87"/>
    </row>
    <row r="333" ht="25.5" customHeight="1">
      <c r="A333" s="4"/>
      <c r="B333" s="85">
        <v>3.0</v>
      </c>
      <c r="C333" s="86" t="s">
        <v>95</v>
      </c>
      <c r="D333" s="87" t="s">
        <v>1044</v>
      </c>
      <c r="E333" s="88" t="s">
        <v>1045</v>
      </c>
      <c r="F333" s="87"/>
      <c r="G333" s="87"/>
      <c r="H333" s="87"/>
      <c r="I333" s="87"/>
    </row>
    <row r="334" ht="25.5" customHeight="1">
      <c r="A334" s="4"/>
      <c r="B334" s="85">
        <v>4.0</v>
      </c>
      <c r="C334" s="89" t="s">
        <v>549</v>
      </c>
      <c r="D334" s="87" t="s">
        <v>1046</v>
      </c>
      <c r="E334" s="88" t="s">
        <v>1047</v>
      </c>
      <c r="F334" s="87"/>
      <c r="G334" s="87"/>
      <c r="H334" s="87"/>
      <c r="I334" s="87"/>
    </row>
    <row r="335" ht="25.5" customHeight="1">
      <c r="A335" s="4"/>
      <c r="B335" s="85">
        <v>5.0</v>
      </c>
      <c r="C335" s="89" t="s">
        <v>549</v>
      </c>
      <c r="D335" s="87" t="s">
        <v>1048</v>
      </c>
      <c r="E335" s="88" t="s">
        <v>1049</v>
      </c>
      <c r="F335" s="87"/>
      <c r="G335" s="87"/>
      <c r="H335" s="87"/>
      <c r="I335" s="87"/>
    </row>
    <row r="336" ht="25.5" customHeight="1">
      <c r="A336" s="4"/>
      <c r="B336" s="85">
        <v>6.0</v>
      </c>
      <c r="C336" s="89" t="s">
        <v>549</v>
      </c>
      <c r="D336" s="87" t="s">
        <v>1050</v>
      </c>
      <c r="E336" s="88" t="s">
        <v>1051</v>
      </c>
      <c r="F336" s="87"/>
      <c r="G336" s="87"/>
      <c r="H336" s="87"/>
      <c r="I336" s="87"/>
    </row>
    <row r="337" ht="25.5" customHeight="1">
      <c r="A337" s="4"/>
      <c r="B337" s="85">
        <v>7.0</v>
      </c>
      <c r="C337" s="90" t="s">
        <v>566</v>
      </c>
      <c r="D337" s="87" t="s">
        <v>1052</v>
      </c>
      <c r="E337" s="88" t="s">
        <v>1024</v>
      </c>
      <c r="F337" s="87"/>
      <c r="G337" s="87"/>
      <c r="H337" s="87"/>
      <c r="I337" s="87"/>
    </row>
    <row r="338" ht="25.5" customHeight="1">
      <c r="A338" s="4"/>
      <c r="B338" s="85">
        <v>8.0</v>
      </c>
      <c r="C338" s="90" t="s">
        <v>566</v>
      </c>
      <c r="D338" s="87" t="s">
        <v>1053</v>
      </c>
      <c r="E338" s="88" t="s">
        <v>1054</v>
      </c>
      <c r="F338" s="87"/>
      <c r="G338" s="87"/>
      <c r="H338" s="87"/>
      <c r="I338" s="87"/>
    </row>
    <row r="339" ht="25.5" customHeight="1">
      <c r="A339" s="4"/>
      <c r="B339" s="85">
        <v>9.0</v>
      </c>
      <c r="C339" s="90" t="s">
        <v>566</v>
      </c>
      <c r="D339" s="87" t="s">
        <v>1055</v>
      </c>
      <c r="E339" s="88" t="s">
        <v>1056</v>
      </c>
      <c r="F339" s="87"/>
      <c r="G339" s="87"/>
      <c r="H339" s="87"/>
      <c r="I339" s="87"/>
    </row>
    <row r="340" ht="25.5" customHeight="1">
      <c r="A340" s="4"/>
      <c r="B340" s="85">
        <v>10.0</v>
      </c>
      <c r="C340" s="91" t="s">
        <v>591</v>
      </c>
      <c r="D340" s="87" t="s">
        <v>1057</v>
      </c>
      <c r="E340" s="88" t="s">
        <v>1058</v>
      </c>
      <c r="F340" s="87"/>
      <c r="G340" s="87"/>
      <c r="H340" s="87"/>
      <c r="I340" s="87"/>
    </row>
    <row r="341" ht="25.5" customHeight="1">
      <c r="A341" s="4"/>
      <c r="B341" s="85">
        <v>11.0</v>
      </c>
      <c r="C341" s="91" t="s">
        <v>591</v>
      </c>
      <c r="D341" s="87" t="s">
        <v>891</v>
      </c>
      <c r="E341" s="88" t="s">
        <v>663</v>
      </c>
      <c r="F341" s="87"/>
      <c r="G341" s="87"/>
      <c r="H341" s="87"/>
      <c r="I341" s="87"/>
    </row>
    <row r="342" ht="16.5" customHeight="1">
      <c r="A342" s="4"/>
      <c r="B342" s="75"/>
      <c r="C342" s="75"/>
      <c r="D342" s="75"/>
      <c r="E342" s="75"/>
      <c r="F342" s="75"/>
      <c r="G342" s="75"/>
      <c r="H342" s="75"/>
      <c r="I342" s="75"/>
    </row>
    <row r="343" ht="16.5" customHeight="1">
      <c r="A343" s="4"/>
      <c r="B343" s="92"/>
      <c r="C343" s="92"/>
      <c r="D343" s="93" t="s">
        <v>602</v>
      </c>
      <c r="E343" s="94" t="s">
        <v>603</v>
      </c>
      <c r="F343" s="80" t="s">
        <v>604</v>
      </c>
      <c r="G343" s="95" t="str">
        <f>IF($F343="Option A",$F321,IF($F343="Option B",$G321,IF($F343="Option C",$H321,"")))</f>
        <v/>
      </c>
      <c r="H343" s="96">
        <f>IF($F343="Option A",IF($F326&gt;0,$F326,$F325),IF($F343="Option B",IF($G326&gt;0,$G326,$G325),IF($F343="Option C",IF($H326&gt;0,$H326,$H325),0)))</f>
        <v>0</v>
      </c>
      <c r="I343" s="93" t="str">
        <f>IF($G343="","-",IF(COUNTIF('05 Vendors'!$D$7:$D$200,$G343)&gt;0,"Yes","NOT YET"))</f>
        <v>-</v>
      </c>
    </row>
    <row r="344" ht="16.5" customHeight="1">
      <c r="A344" s="4"/>
      <c r="B344" s="75"/>
      <c r="C344" s="75"/>
      <c r="D344" s="75"/>
      <c r="E344" s="75"/>
      <c r="F344" s="75"/>
      <c r="G344" s="75"/>
      <c r="H344" s="75"/>
      <c r="I344" s="75"/>
    </row>
    <row r="345" ht="16.5" customHeight="1">
      <c r="A345" s="4"/>
      <c r="B345" s="75"/>
      <c r="C345" s="75"/>
      <c r="D345" s="75"/>
      <c r="E345" s="75"/>
      <c r="F345" s="75"/>
      <c r="G345" s="75"/>
      <c r="H345" s="75"/>
      <c r="I345" s="75"/>
    </row>
    <row r="346" ht="21.75" customHeight="1">
      <c r="A346" s="76"/>
      <c r="B346" s="8" t="s">
        <v>1059</v>
      </c>
      <c r="C346" s="77"/>
      <c r="D346" s="77"/>
      <c r="E346" s="77"/>
      <c r="F346" s="77"/>
      <c r="G346" s="77"/>
      <c r="H346" s="77"/>
      <c r="I346" s="78" t="s">
        <v>502</v>
      </c>
    </row>
    <row r="347" ht="30.0" customHeight="1">
      <c r="A347" s="73"/>
      <c r="B347" s="17" t="s">
        <v>460</v>
      </c>
      <c r="C347" s="17" t="s">
        <v>503</v>
      </c>
      <c r="D347" s="17" t="s">
        <v>505</v>
      </c>
      <c r="E347" s="17" t="s">
        <v>506</v>
      </c>
      <c r="F347" s="17" t="s">
        <v>508</v>
      </c>
      <c r="G347" s="17" t="s">
        <v>509</v>
      </c>
      <c r="H347" s="17" t="s">
        <v>510</v>
      </c>
      <c r="I347" s="17" t="s">
        <v>511</v>
      </c>
    </row>
    <row r="348" ht="16.5" customHeight="1">
      <c r="A348" s="4"/>
      <c r="B348" s="79"/>
      <c r="C348" s="79"/>
      <c r="D348" s="15" t="s">
        <v>512</v>
      </c>
      <c r="E348" s="79"/>
      <c r="F348" s="80"/>
      <c r="G348" s="80"/>
      <c r="H348" s="80"/>
      <c r="I348" s="79"/>
    </row>
    <row r="349" ht="16.5" customHeight="1">
      <c r="A349" s="4"/>
      <c r="B349" s="79"/>
      <c r="C349" s="79"/>
      <c r="D349" s="15" t="s">
        <v>182</v>
      </c>
      <c r="E349" s="79"/>
      <c r="F349" s="80"/>
      <c r="G349" s="80"/>
      <c r="H349" s="80"/>
      <c r="I349" s="79"/>
    </row>
    <row r="350" ht="16.5" customHeight="1">
      <c r="A350" s="4"/>
      <c r="B350" s="79"/>
      <c r="C350" s="79"/>
      <c r="D350" s="15" t="s">
        <v>515</v>
      </c>
      <c r="E350" s="79"/>
      <c r="F350" s="80"/>
      <c r="G350" s="80"/>
      <c r="H350" s="80"/>
      <c r="I350" s="79"/>
    </row>
    <row r="351" ht="16.5" customHeight="1">
      <c r="A351" s="4"/>
      <c r="B351" s="79"/>
      <c r="C351" s="79"/>
      <c r="D351" s="15" t="s">
        <v>516</v>
      </c>
      <c r="E351" s="79"/>
      <c r="F351" s="80"/>
      <c r="G351" s="80"/>
      <c r="H351" s="80"/>
      <c r="I351" s="79"/>
    </row>
    <row r="352" ht="16.5" customHeight="1">
      <c r="A352" s="4"/>
      <c r="B352" s="79"/>
      <c r="C352" s="79"/>
      <c r="D352" s="15" t="s">
        <v>517</v>
      </c>
      <c r="E352" s="79"/>
      <c r="F352" s="81"/>
      <c r="G352" s="81"/>
      <c r="H352" s="81"/>
      <c r="I352" s="79"/>
    </row>
    <row r="353" ht="16.5" customHeight="1">
      <c r="A353" s="4"/>
      <c r="B353" s="79"/>
      <c r="C353" s="79"/>
      <c r="D353" s="15" t="s">
        <v>519</v>
      </c>
      <c r="E353" s="79"/>
      <c r="F353" s="81"/>
      <c r="G353" s="81"/>
      <c r="H353" s="81"/>
      <c r="I353" s="79"/>
    </row>
    <row r="354" ht="16.5" customHeight="1">
      <c r="A354" s="4"/>
      <c r="B354" s="79"/>
      <c r="C354" s="79"/>
      <c r="D354" s="15" t="s">
        <v>521</v>
      </c>
      <c r="E354" s="79"/>
      <c r="F354" s="81"/>
      <c r="G354" s="81"/>
      <c r="H354" s="81"/>
      <c r="I354" s="79"/>
    </row>
    <row r="355" ht="16.5" customHeight="1">
      <c r="A355" s="4"/>
      <c r="B355" s="79"/>
      <c r="C355" s="79"/>
      <c r="D355" s="15" t="s">
        <v>522</v>
      </c>
      <c r="E355" s="79"/>
      <c r="F355" s="80"/>
      <c r="G355" s="80"/>
      <c r="H355" s="80"/>
      <c r="I355" s="79"/>
    </row>
    <row r="356" ht="16.5" customHeight="1">
      <c r="A356" s="4"/>
      <c r="B356" s="79"/>
      <c r="C356" s="79"/>
      <c r="D356" s="15" t="s">
        <v>523</v>
      </c>
      <c r="E356" s="79"/>
      <c r="F356" s="82"/>
      <c r="G356" s="82"/>
      <c r="H356" s="82"/>
      <c r="I356" s="79"/>
    </row>
    <row r="357" ht="15.0" customHeight="1">
      <c r="A357" s="83"/>
      <c r="B357" s="6" t="s">
        <v>526</v>
      </c>
      <c r="C357" s="84"/>
      <c r="D357" s="84"/>
      <c r="E357" s="84"/>
      <c r="F357" s="84"/>
      <c r="G357" s="84"/>
      <c r="H357" s="84"/>
      <c r="I357" s="84"/>
    </row>
    <row r="358" ht="25.5" customHeight="1">
      <c r="A358" s="4"/>
      <c r="B358" s="85">
        <v>1.0</v>
      </c>
      <c r="C358" s="86" t="s">
        <v>95</v>
      </c>
      <c r="D358" s="87" t="s">
        <v>1060</v>
      </c>
      <c r="E358" s="88" t="s">
        <v>1061</v>
      </c>
      <c r="F358" s="87"/>
      <c r="G358" s="87"/>
      <c r="H358" s="87"/>
      <c r="I358" s="87"/>
    </row>
    <row r="359" ht="25.5" customHeight="1">
      <c r="A359" s="4"/>
      <c r="B359" s="85">
        <v>2.0</v>
      </c>
      <c r="C359" s="86" t="s">
        <v>95</v>
      </c>
      <c r="D359" s="87" t="s">
        <v>1062</v>
      </c>
      <c r="E359" s="88" t="s">
        <v>1063</v>
      </c>
      <c r="F359" s="87"/>
      <c r="G359" s="87"/>
      <c r="H359" s="87"/>
      <c r="I359" s="87"/>
    </row>
    <row r="360" ht="25.5" customHeight="1">
      <c r="A360" s="4"/>
      <c r="B360" s="85">
        <v>3.0</v>
      </c>
      <c r="C360" s="89" t="s">
        <v>549</v>
      </c>
      <c r="D360" s="87" t="s">
        <v>1064</v>
      </c>
      <c r="E360" s="88" t="s">
        <v>1065</v>
      </c>
      <c r="F360" s="87"/>
      <c r="G360" s="87"/>
      <c r="H360" s="87"/>
      <c r="I360" s="87"/>
    </row>
    <row r="361" ht="25.5" customHeight="1">
      <c r="A361" s="4"/>
      <c r="B361" s="85">
        <v>4.0</v>
      </c>
      <c r="C361" s="89" t="s">
        <v>549</v>
      </c>
      <c r="D361" s="87" t="s">
        <v>1066</v>
      </c>
      <c r="E361" s="88" t="s">
        <v>1067</v>
      </c>
      <c r="F361" s="87"/>
      <c r="G361" s="87"/>
      <c r="H361" s="87"/>
      <c r="I361" s="87"/>
    </row>
    <row r="362" ht="25.5" customHeight="1">
      <c r="A362" s="4"/>
      <c r="B362" s="85">
        <v>5.0</v>
      </c>
      <c r="C362" s="89" t="s">
        <v>549</v>
      </c>
      <c r="D362" s="87" t="s">
        <v>1068</v>
      </c>
      <c r="E362" s="88" t="s">
        <v>1069</v>
      </c>
      <c r="F362" s="87"/>
      <c r="G362" s="87"/>
      <c r="H362" s="87"/>
      <c r="I362" s="87"/>
    </row>
    <row r="363" ht="25.5" customHeight="1">
      <c r="A363" s="4"/>
      <c r="B363" s="85">
        <v>6.0</v>
      </c>
      <c r="C363" s="90" t="s">
        <v>566</v>
      </c>
      <c r="D363" s="87" t="s">
        <v>1070</v>
      </c>
      <c r="E363" s="88" t="s">
        <v>1071</v>
      </c>
      <c r="F363" s="87"/>
      <c r="G363" s="87"/>
      <c r="H363" s="87"/>
      <c r="I363" s="87"/>
    </row>
    <row r="364" ht="25.5" customHeight="1">
      <c r="A364" s="4"/>
      <c r="B364" s="85">
        <v>7.0</v>
      </c>
      <c r="C364" s="90" t="s">
        <v>566</v>
      </c>
      <c r="D364" s="87" t="s">
        <v>1072</v>
      </c>
      <c r="E364" s="88" t="s">
        <v>1073</v>
      </c>
      <c r="F364" s="87"/>
      <c r="G364" s="87"/>
      <c r="H364" s="87"/>
      <c r="I364" s="87"/>
    </row>
    <row r="365" ht="25.5" customHeight="1">
      <c r="A365" s="4"/>
      <c r="B365" s="85">
        <v>8.0</v>
      </c>
      <c r="C365" s="90" t="s">
        <v>566</v>
      </c>
      <c r="D365" s="87" t="s">
        <v>1074</v>
      </c>
      <c r="E365" s="88" t="s">
        <v>1024</v>
      </c>
      <c r="F365" s="87"/>
      <c r="G365" s="87"/>
      <c r="H365" s="87"/>
      <c r="I365" s="87"/>
    </row>
    <row r="366" ht="25.5" customHeight="1">
      <c r="A366" s="4"/>
      <c r="B366" s="85">
        <v>9.0</v>
      </c>
      <c r="C366" s="90" t="s">
        <v>566</v>
      </c>
      <c r="D366" s="87" t="s">
        <v>1075</v>
      </c>
      <c r="E366" s="88" t="s">
        <v>1076</v>
      </c>
      <c r="F366" s="87"/>
      <c r="G366" s="87"/>
      <c r="H366" s="87"/>
      <c r="I366" s="87"/>
    </row>
    <row r="367" ht="25.5" customHeight="1">
      <c r="A367" s="4"/>
      <c r="B367" s="85">
        <v>10.0</v>
      </c>
      <c r="C367" s="91" t="s">
        <v>591</v>
      </c>
      <c r="D367" s="87" t="s">
        <v>1077</v>
      </c>
      <c r="E367" s="88" t="s">
        <v>1078</v>
      </c>
      <c r="F367" s="87"/>
      <c r="G367" s="87"/>
      <c r="H367" s="87"/>
      <c r="I367" s="87"/>
    </row>
    <row r="368" ht="16.5" customHeight="1">
      <c r="A368" s="4"/>
      <c r="B368" s="75"/>
      <c r="C368" s="75"/>
      <c r="D368" s="75"/>
      <c r="E368" s="75"/>
      <c r="F368" s="75"/>
      <c r="G368" s="75"/>
      <c r="H368" s="75"/>
      <c r="I368" s="75"/>
    </row>
    <row r="369" ht="16.5" customHeight="1">
      <c r="A369" s="4"/>
      <c r="B369" s="92"/>
      <c r="C369" s="92"/>
      <c r="D369" s="93" t="s">
        <v>602</v>
      </c>
      <c r="E369" s="94" t="s">
        <v>603</v>
      </c>
      <c r="F369" s="80" t="s">
        <v>604</v>
      </c>
      <c r="G369" s="95" t="str">
        <f>IF($F369="Option A",$F348,IF($F369="Option B",$G348,IF($F369="Option C",$H348,"")))</f>
        <v/>
      </c>
      <c r="H369" s="96">
        <f>IF($F369="Option A",IF($F353&gt;0,$F353,$F352),IF($F369="Option B",IF($G353&gt;0,$G353,$G352),IF($F369="Option C",IF($H353&gt;0,$H353,$H352),0)))</f>
        <v>0</v>
      </c>
      <c r="I369" s="93" t="str">
        <f>IF($G369="","-",IF(COUNTIF('05 Vendors'!$D$7:$D$200,$G369)&gt;0,"Yes","NOT YET"))</f>
        <v>-</v>
      </c>
    </row>
    <row r="370" ht="16.5" customHeight="1">
      <c r="A370" s="4"/>
      <c r="B370" s="75"/>
      <c r="C370" s="75"/>
      <c r="D370" s="75"/>
      <c r="E370" s="75"/>
      <c r="F370" s="75"/>
      <c r="G370" s="75"/>
      <c r="H370" s="75"/>
      <c r="I370" s="75"/>
    </row>
    <row r="371" ht="16.5" customHeight="1">
      <c r="A371" s="4"/>
      <c r="B371" s="75"/>
      <c r="C371" s="75"/>
      <c r="D371" s="75"/>
      <c r="E371" s="75"/>
      <c r="F371" s="75"/>
      <c r="G371" s="75"/>
      <c r="H371" s="75"/>
      <c r="I371" s="75"/>
    </row>
    <row r="372" ht="21.75" customHeight="1">
      <c r="A372" s="76"/>
      <c r="B372" s="8" t="s">
        <v>1079</v>
      </c>
      <c r="C372" s="77"/>
      <c r="D372" s="77"/>
      <c r="E372" s="77"/>
      <c r="F372" s="77"/>
      <c r="G372" s="77"/>
      <c r="H372" s="77"/>
      <c r="I372" s="78" t="s">
        <v>502</v>
      </c>
    </row>
    <row r="373" ht="30.0" customHeight="1">
      <c r="A373" s="73"/>
      <c r="B373" s="17" t="s">
        <v>460</v>
      </c>
      <c r="C373" s="17" t="s">
        <v>503</v>
      </c>
      <c r="D373" s="17" t="s">
        <v>505</v>
      </c>
      <c r="E373" s="17" t="s">
        <v>506</v>
      </c>
      <c r="F373" s="17" t="s">
        <v>508</v>
      </c>
      <c r="G373" s="17" t="s">
        <v>509</v>
      </c>
      <c r="H373" s="17" t="s">
        <v>510</v>
      </c>
      <c r="I373" s="17" t="s">
        <v>511</v>
      </c>
    </row>
    <row r="374" ht="16.5" customHeight="1">
      <c r="A374" s="4"/>
      <c r="B374" s="79"/>
      <c r="C374" s="79"/>
      <c r="D374" s="15" t="s">
        <v>512</v>
      </c>
      <c r="E374" s="79"/>
      <c r="F374" s="80"/>
      <c r="G374" s="80"/>
      <c r="H374" s="80"/>
      <c r="I374" s="79"/>
    </row>
    <row r="375" ht="16.5" customHeight="1">
      <c r="A375" s="4"/>
      <c r="B375" s="79"/>
      <c r="C375" s="79"/>
      <c r="D375" s="15" t="s">
        <v>182</v>
      </c>
      <c r="E375" s="79"/>
      <c r="F375" s="80"/>
      <c r="G375" s="80"/>
      <c r="H375" s="80"/>
      <c r="I375" s="79"/>
    </row>
    <row r="376" ht="16.5" customHeight="1">
      <c r="A376" s="4"/>
      <c r="B376" s="79"/>
      <c r="C376" s="79"/>
      <c r="D376" s="15" t="s">
        <v>515</v>
      </c>
      <c r="E376" s="79"/>
      <c r="F376" s="80"/>
      <c r="G376" s="80"/>
      <c r="H376" s="80"/>
      <c r="I376" s="79"/>
    </row>
    <row r="377" ht="16.5" customHeight="1">
      <c r="A377" s="4"/>
      <c r="B377" s="79"/>
      <c r="C377" s="79"/>
      <c r="D377" s="15" t="s">
        <v>516</v>
      </c>
      <c r="E377" s="79"/>
      <c r="F377" s="80"/>
      <c r="G377" s="80"/>
      <c r="H377" s="80"/>
      <c r="I377" s="79"/>
    </row>
    <row r="378" ht="16.5" customHeight="1">
      <c r="A378" s="4"/>
      <c r="B378" s="79"/>
      <c r="C378" s="79"/>
      <c r="D378" s="15" t="s">
        <v>517</v>
      </c>
      <c r="E378" s="79"/>
      <c r="F378" s="81"/>
      <c r="G378" s="81"/>
      <c r="H378" s="81"/>
      <c r="I378" s="79"/>
    </row>
    <row r="379" ht="16.5" customHeight="1">
      <c r="A379" s="4"/>
      <c r="B379" s="79"/>
      <c r="C379" s="79"/>
      <c r="D379" s="15" t="s">
        <v>519</v>
      </c>
      <c r="E379" s="79"/>
      <c r="F379" s="81"/>
      <c r="G379" s="81"/>
      <c r="H379" s="81"/>
      <c r="I379" s="79"/>
    </row>
    <row r="380" ht="16.5" customHeight="1">
      <c r="A380" s="4"/>
      <c r="B380" s="79"/>
      <c r="C380" s="79"/>
      <c r="D380" s="15" t="s">
        <v>521</v>
      </c>
      <c r="E380" s="79"/>
      <c r="F380" s="81"/>
      <c r="G380" s="81"/>
      <c r="H380" s="81"/>
      <c r="I380" s="79"/>
    </row>
    <row r="381" ht="16.5" customHeight="1">
      <c r="A381" s="4"/>
      <c r="B381" s="79"/>
      <c r="C381" s="79"/>
      <c r="D381" s="15" t="s">
        <v>522</v>
      </c>
      <c r="E381" s="79"/>
      <c r="F381" s="80"/>
      <c r="G381" s="80"/>
      <c r="H381" s="80"/>
      <c r="I381" s="79"/>
    </row>
    <row r="382" ht="16.5" customHeight="1">
      <c r="A382" s="4"/>
      <c r="B382" s="79"/>
      <c r="C382" s="79"/>
      <c r="D382" s="15" t="s">
        <v>523</v>
      </c>
      <c r="E382" s="79"/>
      <c r="F382" s="82"/>
      <c r="G382" s="82"/>
      <c r="H382" s="82"/>
      <c r="I382" s="79"/>
    </row>
    <row r="383" ht="15.0" customHeight="1">
      <c r="A383" s="83"/>
      <c r="B383" s="6" t="s">
        <v>526</v>
      </c>
      <c r="C383" s="84"/>
      <c r="D383" s="84"/>
      <c r="E383" s="84"/>
      <c r="F383" s="84"/>
      <c r="G383" s="84"/>
      <c r="H383" s="84"/>
      <c r="I383" s="84"/>
    </row>
    <row r="384" ht="25.5" customHeight="1">
      <c r="A384" s="4"/>
      <c r="B384" s="85">
        <v>1.0</v>
      </c>
      <c r="C384" s="86" t="s">
        <v>95</v>
      </c>
      <c r="D384" s="87" t="s">
        <v>1080</v>
      </c>
      <c r="E384" s="88" t="s">
        <v>1081</v>
      </c>
      <c r="F384" s="87"/>
      <c r="G384" s="87"/>
      <c r="H384" s="87"/>
      <c r="I384" s="87"/>
    </row>
    <row r="385" ht="25.5" customHeight="1">
      <c r="A385" s="4"/>
      <c r="B385" s="85">
        <v>2.0</v>
      </c>
      <c r="C385" s="89" t="s">
        <v>549</v>
      </c>
      <c r="D385" s="87" t="s">
        <v>1082</v>
      </c>
      <c r="E385" s="88" t="s">
        <v>1083</v>
      </c>
      <c r="F385" s="87"/>
      <c r="G385" s="87"/>
      <c r="H385" s="87"/>
      <c r="I385" s="87"/>
    </row>
    <row r="386" ht="25.5" customHeight="1">
      <c r="A386" s="4"/>
      <c r="B386" s="85">
        <v>3.0</v>
      </c>
      <c r="C386" s="89" t="s">
        <v>549</v>
      </c>
      <c r="D386" s="87" t="s">
        <v>1084</v>
      </c>
      <c r="E386" s="88" t="s">
        <v>1085</v>
      </c>
      <c r="F386" s="87"/>
      <c r="G386" s="87"/>
      <c r="H386" s="87"/>
      <c r="I386" s="87"/>
    </row>
    <row r="387" ht="25.5" customHeight="1">
      <c r="A387" s="4"/>
      <c r="B387" s="85">
        <v>4.0</v>
      </c>
      <c r="C387" s="90" t="s">
        <v>566</v>
      </c>
      <c r="D387" s="87" t="s">
        <v>1086</v>
      </c>
      <c r="E387" s="88" t="s">
        <v>1087</v>
      </c>
      <c r="F387" s="87"/>
      <c r="G387" s="87"/>
      <c r="H387" s="87"/>
      <c r="I387" s="87"/>
    </row>
    <row r="388" ht="25.5" customHeight="1">
      <c r="A388" s="4"/>
      <c r="B388" s="85">
        <v>5.0</v>
      </c>
      <c r="C388" s="90" t="s">
        <v>566</v>
      </c>
      <c r="D388" s="87" t="s">
        <v>1088</v>
      </c>
      <c r="E388" s="88" t="s">
        <v>1089</v>
      </c>
      <c r="F388" s="87"/>
      <c r="G388" s="87"/>
      <c r="H388" s="87"/>
      <c r="I388" s="87"/>
    </row>
    <row r="389" ht="25.5" customHeight="1">
      <c r="A389" s="4"/>
      <c r="B389" s="85">
        <v>6.0</v>
      </c>
      <c r="C389" s="90" t="s">
        <v>566</v>
      </c>
      <c r="D389" s="87" t="s">
        <v>1090</v>
      </c>
      <c r="E389" s="88" t="s">
        <v>1091</v>
      </c>
      <c r="F389" s="87"/>
      <c r="G389" s="87"/>
      <c r="H389" s="87"/>
      <c r="I389" s="87"/>
    </row>
    <row r="390" ht="25.5" customHeight="1">
      <c r="A390" s="4"/>
      <c r="B390" s="85">
        <v>7.0</v>
      </c>
      <c r="C390" s="90" t="s">
        <v>566</v>
      </c>
      <c r="D390" s="87" t="s">
        <v>1092</v>
      </c>
      <c r="E390" s="88" t="s">
        <v>1093</v>
      </c>
      <c r="F390" s="87"/>
      <c r="G390" s="87"/>
      <c r="H390" s="87"/>
      <c r="I390" s="87"/>
    </row>
    <row r="391" ht="25.5" customHeight="1">
      <c r="A391" s="4"/>
      <c r="B391" s="85">
        <v>8.0</v>
      </c>
      <c r="C391" s="90" t="s">
        <v>566</v>
      </c>
      <c r="D391" s="87" t="s">
        <v>1094</v>
      </c>
      <c r="E391" s="88" t="s">
        <v>1095</v>
      </c>
      <c r="F391" s="87"/>
      <c r="G391" s="87"/>
      <c r="H391" s="87"/>
      <c r="I391" s="87"/>
    </row>
    <row r="392" ht="25.5" customHeight="1">
      <c r="A392" s="4"/>
      <c r="B392" s="85">
        <v>9.0</v>
      </c>
      <c r="C392" s="91" t="s">
        <v>591</v>
      </c>
      <c r="D392" s="87" t="s">
        <v>1096</v>
      </c>
      <c r="E392" s="88" t="s">
        <v>1097</v>
      </c>
      <c r="F392" s="87"/>
      <c r="G392" s="87"/>
      <c r="H392" s="87"/>
      <c r="I392" s="87"/>
    </row>
    <row r="393" ht="16.5" customHeight="1">
      <c r="A393" s="4"/>
      <c r="B393" s="75"/>
      <c r="C393" s="75"/>
      <c r="D393" s="75"/>
      <c r="E393" s="75"/>
      <c r="F393" s="75"/>
      <c r="G393" s="75"/>
      <c r="H393" s="75"/>
      <c r="I393" s="75"/>
    </row>
    <row r="394" ht="16.5" customHeight="1">
      <c r="A394" s="4"/>
      <c r="B394" s="92"/>
      <c r="C394" s="92"/>
      <c r="D394" s="93" t="s">
        <v>602</v>
      </c>
      <c r="E394" s="94" t="s">
        <v>603</v>
      </c>
      <c r="F394" s="80" t="s">
        <v>604</v>
      </c>
      <c r="G394" s="95" t="str">
        <f>IF($F394="Option A",$F374,IF($F394="Option B",$G374,IF($F394="Option C",$H374,"")))</f>
        <v/>
      </c>
      <c r="H394" s="96">
        <f>IF($F394="Option A",IF($F379&gt;0,$F379,$F378),IF($F394="Option B",IF($G379&gt;0,$G379,$G378),IF($F394="Option C",IF($H379&gt;0,$H379,$H378),0)))</f>
        <v>0</v>
      </c>
      <c r="I394" s="93" t="str">
        <f>IF($G394="","-",IF(COUNTIF('05 Vendors'!$D$7:$D$200,$G394)&gt;0,"Yes","NOT YET"))</f>
        <v>-</v>
      </c>
    </row>
    <row r="395" ht="16.5" customHeight="1">
      <c r="A395" s="4"/>
      <c r="B395" s="75"/>
      <c r="C395" s="75"/>
      <c r="D395" s="75"/>
      <c r="E395" s="75"/>
      <c r="F395" s="75"/>
      <c r="G395" s="75"/>
      <c r="H395" s="75"/>
      <c r="I395" s="75"/>
    </row>
    <row r="396" ht="16.5" customHeight="1">
      <c r="A396" s="4"/>
      <c r="B396" s="75"/>
      <c r="C396" s="75"/>
      <c r="D396" s="75"/>
      <c r="E396" s="75"/>
      <c r="F396" s="75"/>
      <c r="G396" s="75"/>
      <c r="H396" s="75"/>
      <c r="I396" s="75"/>
    </row>
    <row r="397" ht="21.75" customHeight="1">
      <c r="A397" s="76"/>
      <c r="B397" s="8" t="s">
        <v>1098</v>
      </c>
      <c r="C397" s="77"/>
      <c r="D397" s="77"/>
      <c r="E397" s="77"/>
      <c r="F397" s="77"/>
      <c r="G397" s="77"/>
      <c r="H397" s="77"/>
      <c r="I397" s="78" t="s">
        <v>502</v>
      </c>
    </row>
    <row r="398" ht="30.0" customHeight="1">
      <c r="A398" s="73"/>
      <c r="B398" s="17" t="s">
        <v>460</v>
      </c>
      <c r="C398" s="17" t="s">
        <v>503</v>
      </c>
      <c r="D398" s="17" t="s">
        <v>505</v>
      </c>
      <c r="E398" s="17" t="s">
        <v>506</v>
      </c>
      <c r="F398" s="17" t="s">
        <v>508</v>
      </c>
      <c r="G398" s="17" t="s">
        <v>509</v>
      </c>
      <c r="H398" s="17" t="s">
        <v>510</v>
      </c>
      <c r="I398" s="17" t="s">
        <v>511</v>
      </c>
    </row>
    <row r="399" ht="16.5" customHeight="1">
      <c r="A399" s="4"/>
      <c r="B399" s="79"/>
      <c r="C399" s="79"/>
      <c r="D399" s="15" t="s">
        <v>512</v>
      </c>
      <c r="E399" s="79"/>
      <c r="F399" s="80"/>
      <c r="G399" s="80"/>
      <c r="H399" s="80"/>
      <c r="I399" s="79"/>
    </row>
    <row r="400" ht="16.5" customHeight="1">
      <c r="A400" s="4"/>
      <c r="B400" s="79"/>
      <c r="C400" s="79"/>
      <c r="D400" s="15" t="s">
        <v>182</v>
      </c>
      <c r="E400" s="79"/>
      <c r="F400" s="80"/>
      <c r="G400" s="80"/>
      <c r="H400" s="80"/>
      <c r="I400" s="79"/>
    </row>
    <row r="401" ht="16.5" customHeight="1">
      <c r="A401" s="4"/>
      <c r="B401" s="79"/>
      <c r="C401" s="79"/>
      <c r="D401" s="15" t="s">
        <v>515</v>
      </c>
      <c r="E401" s="79"/>
      <c r="F401" s="80"/>
      <c r="G401" s="80"/>
      <c r="H401" s="80"/>
      <c r="I401" s="79"/>
    </row>
    <row r="402" ht="16.5" customHeight="1">
      <c r="A402" s="4"/>
      <c r="B402" s="79"/>
      <c r="C402" s="79"/>
      <c r="D402" s="15" t="s">
        <v>516</v>
      </c>
      <c r="E402" s="79"/>
      <c r="F402" s="80"/>
      <c r="G402" s="80"/>
      <c r="H402" s="80"/>
      <c r="I402" s="79"/>
    </row>
    <row r="403" ht="16.5" customHeight="1">
      <c r="A403" s="4"/>
      <c r="B403" s="79"/>
      <c r="C403" s="79"/>
      <c r="D403" s="15" t="s">
        <v>517</v>
      </c>
      <c r="E403" s="79"/>
      <c r="F403" s="81"/>
      <c r="G403" s="81"/>
      <c r="H403" s="81"/>
      <c r="I403" s="79"/>
    </row>
    <row r="404" ht="16.5" customHeight="1">
      <c r="A404" s="4"/>
      <c r="B404" s="79"/>
      <c r="C404" s="79"/>
      <c r="D404" s="15" t="s">
        <v>519</v>
      </c>
      <c r="E404" s="79"/>
      <c r="F404" s="81"/>
      <c r="G404" s="81"/>
      <c r="H404" s="81"/>
      <c r="I404" s="79"/>
    </row>
    <row r="405" ht="16.5" customHeight="1">
      <c r="A405" s="4"/>
      <c r="B405" s="79"/>
      <c r="C405" s="79"/>
      <c r="D405" s="15" t="s">
        <v>521</v>
      </c>
      <c r="E405" s="79"/>
      <c r="F405" s="81"/>
      <c r="G405" s="81"/>
      <c r="H405" s="81"/>
      <c r="I405" s="79"/>
    </row>
    <row r="406" ht="16.5" customHeight="1">
      <c r="A406" s="4"/>
      <c r="B406" s="79"/>
      <c r="C406" s="79"/>
      <c r="D406" s="15" t="s">
        <v>522</v>
      </c>
      <c r="E406" s="79"/>
      <c r="F406" s="80"/>
      <c r="G406" s="80"/>
      <c r="H406" s="80"/>
      <c r="I406" s="79"/>
    </row>
    <row r="407" ht="16.5" customHeight="1">
      <c r="A407" s="4"/>
      <c r="B407" s="79"/>
      <c r="C407" s="79"/>
      <c r="D407" s="15" t="s">
        <v>523</v>
      </c>
      <c r="E407" s="79"/>
      <c r="F407" s="82"/>
      <c r="G407" s="82"/>
      <c r="H407" s="82"/>
      <c r="I407" s="79"/>
    </row>
    <row r="408" ht="15.0" customHeight="1">
      <c r="A408" s="83"/>
      <c r="B408" s="6" t="s">
        <v>526</v>
      </c>
      <c r="C408" s="84"/>
      <c r="D408" s="84"/>
      <c r="E408" s="84"/>
      <c r="F408" s="84"/>
      <c r="G408" s="84"/>
      <c r="H408" s="84"/>
      <c r="I408" s="84"/>
    </row>
    <row r="409" ht="25.5" customHeight="1">
      <c r="A409" s="4"/>
      <c r="B409" s="85">
        <v>1.0</v>
      </c>
      <c r="C409" s="86" t="s">
        <v>95</v>
      </c>
      <c r="D409" s="87" t="s">
        <v>1099</v>
      </c>
      <c r="E409" s="88" t="s">
        <v>1100</v>
      </c>
      <c r="F409" s="87"/>
      <c r="G409" s="87"/>
      <c r="H409" s="87"/>
      <c r="I409" s="87"/>
    </row>
    <row r="410" ht="25.5" customHeight="1">
      <c r="A410" s="4"/>
      <c r="B410" s="85">
        <v>2.0</v>
      </c>
      <c r="C410" s="86" t="s">
        <v>95</v>
      </c>
      <c r="D410" s="87" t="s">
        <v>1101</v>
      </c>
      <c r="E410" s="88" t="s">
        <v>1102</v>
      </c>
      <c r="F410" s="87"/>
      <c r="G410" s="87"/>
      <c r="H410" s="87"/>
      <c r="I410" s="87"/>
    </row>
    <row r="411" ht="25.5" customHeight="1">
      <c r="A411" s="4"/>
      <c r="B411" s="85">
        <v>3.0</v>
      </c>
      <c r="C411" s="89" t="s">
        <v>549</v>
      </c>
      <c r="D411" s="87" t="s">
        <v>1103</v>
      </c>
      <c r="E411" s="88" t="s">
        <v>1104</v>
      </c>
      <c r="F411" s="87"/>
      <c r="G411" s="87"/>
      <c r="H411" s="87"/>
      <c r="I411" s="87"/>
    </row>
    <row r="412" ht="25.5" customHeight="1">
      <c r="A412" s="4"/>
      <c r="B412" s="85">
        <v>4.0</v>
      </c>
      <c r="C412" s="89" t="s">
        <v>549</v>
      </c>
      <c r="D412" s="87" t="s">
        <v>1105</v>
      </c>
      <c r="E412" s="88" t="s">
        <v>1106</v>
      </c>
      <c r="F412" s="87"/>
      <c r="G412" s="87"/>
      <c r="H412" s="87"/>
      <c r="I412" s="87"/>
    </row>
    <row r="413" ht="25.5" customHeight="1">
      <c r="A413" s="4"/>
      <c r="B413" s="85">
        <v>5.0</v>
      </c>
      <c r="C413" s="89" t="s">
        <v>549</v>
      </c>
      <c r="D413" s="87" t="s">
        <v>1107</v>
      </c>
      <c r="E413" s="88" t="s">
        <v>1108</v>
      </c>
      <c r="F413" s="87"/>
      <c r="G413" s="87"/>
      <c r="H413" s="87"/>
      <c r="I413" s="87"/>
    </row>
    <row r="414" ht="25.5" customHeight="1">
      <c r="A414" s="4"/>
      <c r="B414" s="85">
        <v>6.0</v>
      </c>
      <c r="C414" s="90" t="s">
        <v>566</v>
      </c>
      <c r="D414" s="87" t="s">
        <v>1109</v>
      </c>
      <c r="E414" s="88" t="s">
        <v>1110</v>
      </c>
      <c r="F414" s="87"/>
      <c r="G414" s="87"/>
      <c r="H414" s="87"/>
      <c r="I414" s="87"/>
    </row>
    <row r="415" ht="25.5" customHeight="1">
      <c r="A415" s="4"/>
      <c r="B415" s="85">
        <v>7.0</v>
      </c>
      <c r="C415" s="90" t="s">
        <v>566</v>
      </c>
      <c r="D415" s="87" t="s">
        <v>1111</v>
      </c>
      <c r="E415" s="88" t="s">
        <v>1112</v>
      </c>
      <c r="F415" s="87"/>
      <c r="G415" s="87"/>
      <c r="H415" s="87"/>
      <c r="I415" s="87"/>
    </row>
    <row r="416" ht="25.5" customHeight="1">
      <c r="A416" s="4"/>
      <c r="B416" s="85">
        <v>8.0</v>
      </c>
      <c r="C416" s="90" t="s">
        <v>566</v>
      </c>
      <c r="D416" s="87" t="s">
        <v>1113</v>
      </c>
      <c r="E416" s="88" t="s">
        <v>1114</v>
      </c>
      <c r="F416" s="87"/>
      <c r="G416" s="87"/>
      <c r="H416" s="87"/>
      <c r="I416" s="87"/>
    </row>
    <row r="417" ht="25.5" customHeight="1">
      <c r="A417" s="4"/>
      <c r="B417" s="85">
        <v>9.0</v>
      </c>
      <c r="C417" s="90" t="s">
        <v>566</v>
      </c>
      <c r="D417" s="87" t="s">
        <v>1115</v>
      </c>
      <c r="E417" s="88" t="s">
        <v>1116</v>
      </c>
      <c r="F417" s="87"/>
      <c r="G417" s="87"/>
      <c r="H417" s="87"/>
      <c r="I417" s="87"/>
    </row>
    <row r="418" ht="25.5" customHeight="1">
      <c r="A418" s="4"/>
      <c r="B418" s="85">
        <v>10.0</v>
      </c>
      <c r="C418" s="90" t="s">
        <v>566</v>
      </c>
      <c r="D418" s="87" t="s">
        <v>1117</v>
      </c>
      <c r="E418" s="88" t="s">
        <v>1118</v>
      </c>
      <c r="F418" s="87"/>
      <c r="G418" s="87"/>
      <c r="H418" s="87"/>
      <c r="I418" s="87"/>
    </row>
    <row r="419" ht="25.5" customHeight="1">
      <c r="A419" s="4"/>
      <c r="B419" s="85">
        <v>11.0</v>
      </c>
      <c r="C419" s="91" t="s">
        <v>591</v>
      </c>
      <c r="D419" s="87" t="s">
        <v>1119</v>
      </c>
      <c r="E419" s="88" t="s">
        <v>1120</v>
      </c>
      <c r="F419" s="87"/>
      <c r="G419" s="87"/>
      <c r="H419" s="87"/>
      <c r="I419" s="87"/>
    </row>
    <row r="420" ht="25.5" customHeight="1">
      <c r="A420" s="4"/>
      <c r="B420" s="85">
        <v>12.0</v>
      </c>
      <c r="C420" s="91" t="s">
        <v>591</v>
      </c>
      <c r="D420" s="87" t="s">
        <v>891</v>
      </c>
      <c r="E420" s="88" t="s">
        <v>663</v>
      </c>
      <c r="F420" s="87"/>
      <c r="G420" s="87"/>
      <c r="H420" s="87"/>
      <c r="I420" s="87"/>
    </row>
    <row r="421" ht="16.5" customHeight="1">
      <c r="A421" s="4"/>
      <c r="B421" s="75"/>
      <c r="C421" s="75"/>
      <c r="D421" s="75"/>
      <c r="E421" s="75"/>
      <c r="F421" s="75"/>
      <c r="G421" s="75"/>
      <c r="H421" s="75"/>
      <c r="I421" s="75"/>
    </row>
    <row r="422" ht="16.5" customHeight="1">
      <c r="A422" s="4"/>
      <c r="B422" s="92"/>
      <c r="C422" s="92"/>
      <c r="D422" s="93" t="s">
        <v>602</v>
      </c>
      <c r="E422" s="94" t="s">
        <v>603</v>
      </c>
      <c r="F422" s="80" t="s">
        <v>604</v>
      </c>
      <c r="G422" s="95" t="str">
        <f>IF($F422="Option A",$F399,IF($F422="Option B",$G399,IF($F422="Option C",$H399,"")))</f>
        <v/>
      </c>
      <c r="H422" s="96">
        <f>IF($F422="Option A",IF($F404&gt;0,$F404,$F403),IF($F422="Option B",IF($G404&gt;0,$G404,$G403),IF($F422="Option C",IF($H404&gt;0,$H404,$H403),0)))</f>
        <v>0</v>
      </c>
      <c r="I422" s="93" t="str">
        <f>IF($G422="","-",IF(COUNTIF('05 Vendors'!$D$7:$D$200,$G422)&gt;0,"Yes","NOT YET"))</f>
        <v>-</v>
      </c>
    </row>
    <row r="423" ht="16.5" customHeight="1">
      <c r="A423" s="4"/>
      <c r="B423" s="75"/>
      <c r="C423" s="75"/>
      <c r="D423" s="75"/>
      <c r="E423" s="75"/>
      <c r="F423" s="75"/>
      <c r="G423" s="75"/>
      <c r="H423" s="75"/>
      <c r="I423" s="75"/>
    </row>
    <row r="424" ht="16.5" customHeight="1">
      <c r="A424" s="4"/>
      <c r="B424" s="75"/>
      <c r="C424" s="75"/>
      <c r="D424" s="75"/>
      <c r="E424" s="75"/>
      <c r="F424" s="75"/>
      <c r="G424" s="75"/>
      <c r="H424" s="75"/>
      <c r="I424" s="75"/>
    </row>
    <row r="425" ht="21.75" customHeight="1">
      <c r="A425" s="76"/>
      <c r="B425" s="8" t="s">
        <v>1121</v>
      </c>
      <c r="C425" s="77"/>
      <c r="D425" s="77"/>
      <c r="E425" s="77"/>
      <c r="F425" s="77"/>
      <c r="G425" s="77"/>
      <c r="H425" s="77"/>
      <c r="I425" s="78" t="s">
        <v>502</v>
      </c>
    </row>
    <row r="426" ht="30.0" customHeight="1">
      <c r="A426" s="73"/>
      <c r="B426" s="17" t="s">
        <v>460</v>
      </c>
      <c r="C426" s="17" t="s">
        <v>503</v>
      </c>
      <c r="D426" s="17" t="s">
        <v>505</v>
      </c>
      <c r="E426" s="17" t="s">
        <v>506</v>
      </c>
      <c r="F426" s="17" t="s">
        <v>508</v>
      </c>
      <c r="G426" s="17" t="s">
        <v>509</v>
      </c>
      <c r="H426" s="17" t="s">
        <v>510</v>
      </c>
      <c r="I426" s="17" t="s">
        <v>511</v>
      </c>
    </row>
    <row r="427" ht="16.5" customHeight="1">
      <c r="A427" s="4"/>
      <c r="B427" s="79"/>
      <c r="C427" s="79"/>
      <c r="D427" s="15" t="s">
        <v>512</v>
      </c>
      <c r="E427" s="79"/>
      <c r="F427" s="80"/>
      <c r="G427" s="80"/>
      <c r="H427" s="80"/>
      <c r="I427" s="79"/>
    </row>
    <row r="428" ht="16.5" customHeight="1">
      <c r="A428" s="4"/>
      <c r="B428" s="79"/>
      <c r="C428" s="79"/>
      <c r="D428" s="15" t="s">
        <v>182</v>
      </c>
      <c r="E428" s="79"/>
      <c r="F428" s="80"/>
      <c r="G428" s="80"/>
      <c r="H428" s="80"/>
      <c r="I428" s="79"/>
    </row>
    <row r="429" ht="16.5" customHeight="1">
      <c r="A429" s="4"/>
      <c r="B429" s="79"/>
      <c r="C429" s="79"/>
      <c r="D429" s="15" t="s">
        <v>515</v>
      </c>
      <c r="E429" s="79"/>
      <c r="F429" s="80"/>
      <c r="G429" s="80"/>
      <c r="H429" s="80"/>
      <c r="I429" s="79"/>
    </row>
    <row r="430" ht="16.5" customHeight="1">
      <c r="A430" s="4"/>
      <c r="B430" s="79"/>
      <c r="C430" s="79"/>
      <c r="D430" s="15" t="s">
        <v>516</v>
      </c>
      <c r="E430" s="79"/>
      <c r="F430" s="80"/>
      <c r="G430" s="80"/>
      <c r="H430" s="80"/>
      <c r="I430" s="79"/>
    </row>
    <row r="431" ht="16.5" customHeight="1">
      <c r="A431" s="4"/>
      <c r="B431" s="79"/>
      <c r="C431" s="79"/>
      <c r="D431" s="15" t="s">
        <v>517</v>
      </c>
      <c r="E431" s="79"/>
      <c r="F431" s="81"/>
      <c r="G431" s="81"/>
      <c r="H431" s="81"/>
      <c r="I431" s="79"/>
    </row>
    <row r="432" ht="16.5" customHeight="1">
      <c r="A432" s="4"/>
      <c r="B432" s="79"/>
      <c r="C432" s="79"/>
      <c r="D432" s="15" t="s">
        <v>519</v>
      </c>
      <c r="E432" s="79"/>
      <c r="F432" s="81"/>
      <c r="G432" s="81"/>
      <c r="H432" s="81"/>
      <c r="I432" s="79"/>
    </row>
    <row r="433" ht="16.5" customHeight="1">
      <c r="A433" s="4"/>
      <c r="B433" s="79"/>
      <c r="C433" s="79"/>
      <c r="D433" s="15" t="s">
        <v>521</v>
      </c>
      <c r="E433" s="79"/>
      <c r="F433" s="81"/>
      <c r="G433" s="81"/>
      <c r="H433" s="81"/>
      <c r="I433" s="79"/>
    </row>
    <row r="434" ht="16.5" customHeight="1">
      <c r="A434" s="4"/>
      <c r="B434" s="79"/>
      <c r="C434" s="79"/>
      <c r="D434" s="15" t="s">
        <v>522</v>
      </c>
      <c r="E434" s="79"/>
      <c r="F434" s="80"/>
      <c r="G434" s="80"/>
      <c r="H434" s="80"/>
      <c r="I434" s="79"/>
    </row>
    <row r="435" ht="16.5" customHeight="1">
      <c r="A435" s="4"/>
      <c r="B435" s="79"/>
      <c r="C435" s="79"/>
      <c r="D435" s="15" t="s">
        <v>523</v>
      </c>
      <c r="E435" s="79"/>
      <c r="F435" s="82"/>
      <c r="G435" s="82"/>
      <c r="H435" s="82"/>
      <c r="I435" s="79"/>
    </row>
    <row r="436" ht="15.0" customHeight="1">
      <c r="A436" s="83"/>
      <c r="B436" s="6" t="s">
        <v>526</v>
      </c>
      <c r="C436" s="84"/>
      <c r="D436" s="84"/>
      <c r="E436" s="84"/>
      <c r="F436" s="84"/>
      <c r="G436" s="84"/>
      <c r="H436" s="84"/>
      <c r="I436" s="84"/>
    </row>
    <row r="437" ht="25.5" customHeight="1">
      <c r="A437" s="4"/>
      <c r="B437" s="85">
        <v>1.0</v>
      </c>
      <c r="C437" s="86" t="s">
        <v>95</v>
      </c>
      <c r="D437" s="87" t="s">
        <v>1122</v>
      </c>
      <c r="E437" s="88" t="s">
        <v>1123</v>
      </c>
      <c r="F437" s="87"/>
      <c r="G437" s="87"/>
      <c r="H437" s="87"/>
      <c r="I437" s="87"/>
    </row>
    <row r="438" ht="25.5" customHeight="1">
      <c r="A438" s="4"/>
      <c r="B438" s="85">
        <v>2.0</v>
      </c>
      <c r="C438" s="86" t="s">
        <v>95</v>
      </c>
      <c r="D438" s="87" t="s">
        <v>1124</v>
      </c>
      <c r="E438" s="88" t="s">
        <v>1125</v>
      </c>
      <c r="F438" s="87"/>
      <c r="G438" s="87"/>
      <c r="H438" s="87"/>
      <c r="I438" s="87"/>
    </row>
    <row r="439" ht="25.5" customHeight="1">
      <c r="A439" s="4"/>
      <c r="B439" s="85">
        <v>3.0</v>
      </c>
      <c r="C439" s="86" t="s">
        <v>95</v>
      </c>
      <c r="D439" s="87" t="s">
        <v>1126</v>
      </c>
      <c r="E439" s="88" t="s">
        <v>1127</v>
      </c>
      <c r="F439" s="87"/>
      <c r="G439" s="87"/>
      <c r="H439" s="87"/>
      <c r="I439" s="87"/>
    </row>
    <row r="440" ht="25.5" customHeight="1">
      <c r="A440" s="4"/>
      <c r="B440" s="85">
        <v>4.0</v>
      </c>
      <c r="C440" s="86" t="s">
        <v>95</v>
      </c>
      <c r="D440" s="87" t="s">
        <v>1128</v>
      </c>
      <c r="E440" s="88" t="s">
        <v>1129</v>
      </c>
      <c r="F440" s="87"/>
      <c r="G440" s="87"/>
      <c r="H440" s="87"/>
      <c r="I440" s="87"/>
    </row>
    <row r="441" ht="25.5" customHeight="1">
      <c r="A441" s="4"/>
      <c r="B441" s="85">
        <v>5.0</v>
      </c>
      <c r="C441" s="89" t="s">
        <v>549</v>
      </c>
      <c r="D441" s="87" t="s">
        <v>1130</v>
      </c>
      <c r="E441" s="88" t="s">
        <v>1131</v>
      </c>
      <c r="F441" s="87"/>
      <c r="G441" s="87"/>
      <c r="H441" s="87"/>
      <c r="I441" s="87"/>
    </row>
    <row r="442" ht="25.5" customHeight="1">
      <c r="A442" s="4"/>
      <c r="B442" s="85">
        <v>6.0</v>
      </c>
      <c r="C442" s="89" t="s">
        <v>549</v>
      </c>
      <c r="D442" s="87" t="s">
        <v>1132</v>
      </c>
      <c r="E442" s="88" t="s">
        <v>1133</v>
      </c>
      <c r="F442" s="87"/>
      <c r="G442" s="87"/>
      <c r="H442" s="87"/>
      <c r="I442" s="87"/>
    </row>
    <row r="443" ht="25.5" customHeight="1">
      <c r="A443" s="4"/>
      <c r="B443" s="85">
        <v>7.0</v>
      </c>
      <c r="C443" s="90" t="s">
        <v>566</v>
      </c>
      <c r="D443" s="87" t="s">
        <v>1134</v>
      </c>
      <c r="E443" s="88" t="s">
        <v>1135</v>
      </c>
      <c r="F443" s="87"/>
      <c r="G443" s="87"/>
      <c r="H443" s="87"/>
      <c r="I443" s="87"/>
    </row>
    <row r="444" ht="25.5" customHeight="1">
      <c r="A444" s="4"/>
      <c r="B444" s="85">
        <v>8.0</v>
      </c>
      <c r="C444" s="90" t="s">
        <v>566</v>
      </c>
      <c r="D444" s="87" t="s">
        <v>1136</v>
      </c>
      <c r="E444" s="88" t="s">
        <v>1137</v>
      </c>
      <c r="F444" s="87"/>
      <c r="G444" s="87"/>
      <c r="H444" s="87"/>
      <c r="I444" s="87"/>
    </row>
    <row r="445" ht="25.5" customHeight="1">
      <c r="A445" s="4"/>
      <c r="B445" s="85">
        <v>9.0</v>
      </c>
      <c r="C445" s="90" t="s">
        <v>566</v>
      </c>
      <c r="D445" s="87" t="s">
        <v>1138</v>
      </c>
      <c r="E445" s="88" t="s">
        <v>1139</v>
      </c>
      <c r="F445" s="87"/>
      <c r="G445" s="87"/>
      <c r="H445" s="87"/>
      <c r="I445" s="87"/>
    </row>
    <row r="446" ht="25.5" customHeight="1">
      <c r="A446" s="4"/>
      <c r="B446" s="85">
        <v>10.0</v>
      </c>
      <c r="C446" s="90" t="s">
        <v>566</v>
      </c>
      <c r="D446" s="87" t="s">
        <v>1140</v>
      </c>
      <c r="E446" s="88" t="s">
        <v>1141</v>
      </c>
      <c r="F446" s="87"/>
      <c r="G446" s="87"/>
      <c r="H446" s="87"/>
      <c r="I446" s="87"/>
    </row>
    <row r="447" ht="25.5" customHeight="1">
      <c r="A447" s="4"/>
      <c r="B447" s="85">
        <v>11.0</v>
      </c>
      <c r="C447" s="91" t="s">
        <v>591</v>
      </c>
      <c r="D447" s="87" t="s">
        <v>1142</v>
      </c>
      <c r="E447" s="88" t="s">
        <v>1143</v>
      </c>
      <c r="F447" s="87"/>
      <c r="G447" s="87"/>
      <c r="H447" s="87"/>
      <c r="I447" s="87"/>
    </row>
    <row r="448" ht="25.5" customHeight="1">
      <c r="A448" s="4"/>
      <c r="B448" s="85">
        <v>12.0</v>
      </c>
      <c r="C448" s="91" t="s">
        <v>591</v>
      </c>
      <c r="D448" s="87" t="s">
        <v>1144</v>
      </c>
      <c r="E448" s="88" t="s">
        <v>1145</v>
      </c>
      <c r="F448" s="87"/>
      <c r="G448" s="87"/>
      <c r="H448" s="87"/>
      <c r="I448" s="87"/>
    </row>
    <row r="449" ht="16.5" customHeight="1">
      <c r="A449" s="4"/>
      <c r="B449" s="75"/>
      <c r="C449" s="75"/>
      <c r="D449" s="75"/>
      <c r="E449" s="75"/>
      <c r="F449" s="75"/>
      <c r="G449" s="75"/>
      <c r="H449" s="75"/>
      <c r="I449" s="75"/>
    </row>
    <row r="450" ht="16.5" customHeight="1">
      <c r="A450" s="4"/>
      <c r="B450" s="92"/>
      <c r="C450" s="92"/>
      <c r="D450" s="93" t="s">
        <v>602</v>
      </c>
      <c r="E450" s="94" t="s">
        <v>603</v>
      </c>
      <c r="F450" s="80" t="s">
        <v>604</v>
      </c>
      <c r="G450" s="95" t="str">
        <f>IF($F450="Option A",$F427,IF($F450="Option B",$G427,IF($F450="Option C",$H427,"")))</f>
        <v/>
      </c>
      <c r="H450" s="96">
        <f>IF($F450="Option A",IF($F432&gt;0,$F432,$F431),IF($F450="Option B",IF($G432&gt;0,$G432,$G431),IF($F450="Option C",IF($H432&gt;0,$H432,$H431),0)))</f>
        <v>0</v>
      </c>
      <c r="I450" s="93" t="str">
        <f>IF($G450="","-",IF(COUNTIF('05 Vendors'!$D$7:$D$200,$G450)&gt;0,"Yes","NOT YET"))</f>
        <v>-</v>
      </c>
    </row>
    <row r="451" ht="16.5" customHeight="1">
      <c r="A451" s="4"/>
      <c r="B451" s="75"/>
      <c r="C451" s="75"/>
      <c r="D451" s="75"/>
      <c r="E451" s="75"/>
      <c r="F451" s="75"/>
      <c r="G451" s="75"/>
      <c r="H451" s="75"/>
      <c r="I451" s="75"/>
    </row>
    <row r="452" ht="16.5" customHeight="1">
      <c r="A452" s="4"/>
      <c r="B452" s="75"/>
      <c r="C452" s="75"/>
      <c r="D452" s="75"/>
      <c r="E452" s="75"/>
      <c r="F452" s="75"/>
      <c r="G452" s="75"/>
      <c r="H452" s="75"/>
      <c r="I452" s="75"/>
    </row>
    <row r="453" ht="21.75" customHeight="1">
      <c r="A453" s="76"/>
      <c r="B453" s="8" t="s">
        <v>1146</v>
      </c>
      <c r="C453" s="77"/>
      <c r="D453" s="77"/>
      <c r="E453" s="77"/>
      <c r="F453" s="77"/>
      <c r="G453" s="77"/>
      <c r="H453" s="77"/>
      <c r="I453" s="78" t="s">
        <v>502</v>
      </c>
    </row>
    <row r="454" ht="30.0" customHeight="1">
      <c r="A454" s="73"/>
      <c r="B454" s="17" t="s">
        <v>460</v>
      </c>
      <c r="C454" s="17" t="s">
        <v>503</v>
      </c>
      <c r="D454" s="17" t="s">
        <v>505</v>
      </c>
      <c r="E454" s="17" t="s">
        <v>506</v>
      </c>
      <c r="F454" s="17" t="s">
        <v>508</v>
      </c>
      <c r="G454" s="17" t="s">
        <v>509</v>
      </c>
      <c r="H454" s="17" t="s">
        <v>510</v>
      </c>
      <c r="I454" s="17" t="s">
        <v>511</v>
      </c>
    </row>
    <row r="455" ht="16.5" customHeight="1">
      <c r="A455" s="4"/>
      <c r="B455" s="79"/>
      <c r="C455" s="79"/>
      <c r="D455" s="15" t="s">
        <v>512</v>
      </c>
      <c r="E455" s="79"/>
      <c r="F455" s="80"/>
      <c r="G455" s="80"/>
      <c r="H455" s="80"/>
      <c r="I455" s="79"/>
    </row>
    <row r="456" ht="16.5" customHeight="1">
      <c r="A456" s="4"/>
      <c r="B456" s="79"/>
      <c r="C456" s="79"/>
      <c r="D456" s="15" t="s">
        <v>182</v>
      </c>
      <c r="E456" s="79"/>
      <c r="F456" s="80"/>
      <c r="G456" s="80"/>
      <c r="H456" s="80"/>
      <c r="I456" s="79"/>
    </row>
    <row r="457" ht="16.5" customHeight="1">
      <c r="A457" s="4"/>
      <c r="B457" s="79"/>
      <c r="C457" s="79"/>
      <c r="D457" s="15" t="s">
        <v>515</v>
      </c>
      <c r="E457" s="79"/>
      <c r="F457" s="80"/>
      <c r="G457" s="80"/>
      <c r="H457" s="80"/>
      <c r="I457" s="79"/>
    </row>
    <row r="458" ht="16.5" customHeight="1">
      <c r="A458" s="4"/>
      <c r="B458" s="79"/>
      <c r="C458" s="79"/>
      <c r="D458" s="15" t="s">
        <v>516</v>
      </c>
      <c r="E458" s="79"/>
      <c r="F458" s="80"/>
      <c r="G458" s="80"/>
      <c r="H458" s="80"/>
      <c r="I458" s="79"/>
    </row>
    <row r="459" ht="16.5" customHeight="1">
      <c r="A459" s="4"/>
      <c r="B459" s="79"/>
      <c r="C459" s="79"/>
      <c r="D459" s="15" t="s">
        <v>517</v>
      </c>
      <c r="E459" s="79"/>
      <c r="F459" s="81"/>
      <c r="G459" s="81"/>
      <c r="H459" s="81"/>
      <c r="I459" s="79"/>
    </row>
    <row r="460" ht="16.5" customHeight="1">
      <c r="A460" s="4"/>
      <c r="B460" s="79"/>
      <c r="C460" s="79"/>
      <c r="D460" s="15" t="s">
        <v>519</v>
      </c>
      <c r="E460" s="79"/>
      <c r="F460" s="81"/>
      <c r="G460" s="81"/>
      <c r="H460" s="81"/>
      <c r="I460" s="79"/>
    </row>
    <row r="461" ht="16.5" customHeight="1">
      <c r="A461" s="4"/>
      <c r="B461" s="79"/>
      <c r="C461" s="79"/>
      <c r="D461" s="15" t="s">
        <v>521</v>
      </c>
      <c r="E461" s="79"/>
      <c r="F461" s="81"/>
      <c r="G461" s="81"/>
      <c r="H461" s="81"/>
      <c r="I461" s="79"/>
    </row>
    <row r="462" ht="16.5" customHeight="1">
      <c r="A462" s="4"/>
      <c r="B462" s="79"/>
      <c r="C462" s="79"/>
      <c r="D462" s="15" t="s">
        <v>522</v>
      </c>
      <c r="E462" s="79"/>
      <c r="F462" s="80"/>
      <c r="G462" s="80"/>
      <c r="H462" s="80"/>
      <c r="I462" s="79"/>
    </row>
    <row r="463" ht="16.5" customHeight="1">
      <c r="A463" s="4"/>
      <c r="B463" s="79"/>
      <c r="C463" s="79"/>
      <c r="D463" s="15" t="s">
        <v>523</v>
      </c>
      <c r="E463" s="79"/>
      <c r="F463" s="82"/>
      <c r="G463" s="82"/>
      <c r="H463" s="82"/>
      <c r="I463" s="79"/>
    </row>
    <row r="464" ht="15.0" customHeight="1">
      <c r="A464" s="83"/>
      <c r="B464" s="6" t="s">
        <v>526</v>
      </c>
      <c r="C464" s="84"/>
      <c r="D464" s="84"/>
      <c r="E464" s="84"/>
      <c r="F464" s="84"/>
      <c r="G464" s="84"/>
      <c r="H464" s="84"/>
      <c r="I464" s="84"/>
    </row>
    <row r="465" ht="25.5" customHeight="1">
      <c r="A465" s="4"/>
      <c r="B465" s="85">
        <v>1.0</v>
      </c>
      <c r="C465" s="86" t="s">
        <v>95</v>
      </c>
      <c r="D465" s="87" t="s">
        <v>1147</v>
      </c>
      <c r="E465" s="88" t="s">
        <v>1148</v>
      </c>
      <c r="F465" s="87"/>
      <c r="G465" s="87"/>
      <c r="H465" s="87"/>
      <c r="I465" s="87"/>
    </row>
    <row r="466" ht="25.5" customHeight="1">
      <c r="A466" s="4"/>
      <c r="B466" s="85">
        <v>2.0</v>
      </c>
      <c r="C466" s="86" t="s">
        <v>95</v>
      </c>
      <c r="D466" s="87" t="s">
        <v>1149</v>
      </c>
      <c r="E466" s="88" t="s">
        <v>1150</v>
      </c>
      <c r="F466" s="87"/>
      <c r="G466" s="87"/>
      <c r="H466" s="87"/>
      <c r="I466" s="87"/>
    </row>
    <row r="467" ht="25.5" customHeight="1">
      <c r="A467" s="4"/>
      <c r="B467" s="85">
        <v>3.0</v>
      </c>
      <c r="C467" s="86" t="s">
        <v>95</v>
      </c>
      <c r="D467" s="87" t="s">
        <v>1151</v>
      </c>
      <c r="E467" s="88" t="s">
        <v>1152</v>
      </c>
      <c r="F467" s="87"/>
      <c r="G467" s="87"/>
      <c r="H467" s="87"/>
      <c r="I467" s="87"/>
    </row>
    <row r="468" ht="25.5" customHeight="1">
      <c r="A468" s="4"/>
      <c r="B468" s="85">
        <v>4.0</v>
      </c>
      <c r="C468" s="89" t="s">
        <v>549</v>
      </c>
      <c r="D468" s="87" t="s">
        <v>1153</v>
      </c>
      <c r="E468" s="88" t="s">
        <v>1154</v>
      </c>
      <c r="F468" s="87"/>
      <c r="G468" s="87"/>
      <c r="H468" s="87"/>
      <c r="I468" s="87"/>
    </row>
    <row r="469" ht="25.5" customHeight="1">
      <c r="A469" s="4"/>
      <c r="B469" s="85">
        <v>5.0</v>
      </c>
      <c r="C469" s="89" t="s">
        <v>549</v>
      </c>
      <c r="D469" s="87" t="s">
        <v>1155</v>
      </c>
      <c r="E469" s="88" t="s">
        <v>815</v>
      </c>
      <c r="F469" s="87"/>
      <c r="G469" s="87"/>
      <c r="H469" s="87"/>
      <c r="I469" s="87"/>
    </row>
    <row r="470" ht="25.5" customHeight="1">
      <c r="A470" s="4"/>
      <c r="B470" s="85">
        <v>6.0</v>
      </c>
      <c r="C470" s="89" t="s">
        <v>549</v>
      </c>
      <c r="D470" s="87" t="s">
        <v>1156</v>
      </c>
      <c r="E470" s="88" t="s">
        <v>1157</v>
      </c>
      <c r="F470" s="87"/>
      <c r="G470" s="87"/>
      <c r="H470" s="87"/>
      <c r="I470" s="87"/>
    </row>
    <row r="471" ht="25.5" customHeight="1">
      <c r="A471" s="4"/>
      <c r="B471" s="85">
        <v>7.0</v>
      </c>
      <c r="C471" s="89" t="s">
        <v>549</v>
      </c>
      <c r="D471" s="87" t="s">
        <v>1158</v>
      </c>
      <c r="E471" s="88" t="s">
        <v>1159</v>
      </c>
      <c r="F471" s="87"/>
      <c r="G471" s="87"/>
      <c r="H471" s="87"/>
      <c r="I471" s="87"/>
    </row>
    <row r="472" ht="25.5" customHeight="1">
      <c r="A472" s="4"/>
      <c r="B472" s="85">
        <v>8.0</v>
      </c>
      <c r="C472" s="90" t="s">
        <v>566</v>
      </c>
      <c r="D472" s="87" t="s">
        <v>1160</v>
      </c>
      <c r="E472" s="88" t="s">
        <v>1161</v>
      </c>
      <c r="F472" s="87"/>
      <c r="G472" s="87"/>
      <c r="H472" s="87"/>
      <c r="I472" s="87"/>
    </row>
    <row r="473" ht="25.5" customHeight="1">
      <c r="A473" s="4"/>
      <c r="B473" s="85">
        <v>9.0</v>
      </c>
      <c r="C473" s="90" t="s">
        <v>566</v>
      </c>
      <c r="D473" s="87" t="s">
        <v>1162</v>
      </c>
      <c r="E473" s="88" t="s">
        <v>1163</v>
      </c>
      <c r="F473" s="87"/>
      <c r="G473" s="87"/>
      <c r="H473" s="87"/>
      <c r="I473" s="87"/>
    </row>
    <row r="474" ht="25.5" customHeight="1">
      <c r="A474" s="4"/>
      <c r="B474" s="85">
        <v>10.0</v>
      </c>
      <c r="C474" s="91" t="s">
        <v>591</v>
      </c>
      <c r="D474" s="87" t="s">
        <v>1164</v>
      </c>
      <c r="E474" s="88" t="s">
        <v>1165</v>
      </c>
      <c r="F474" s="87"/>
      <c r="G474" s="87"/>
      <c r="H474" s="87"/>
      <c r="I474" s="87"/>
    </row>
    <row r="475" ht="25.5" customHeight="1">
      <c r="A475" s="4"/>
      <c r="B475" s="85">
        <v>11.0</v>
      </c>
      <c r="C475" s="91" t="s">
        <v>591</v>
      </c>
      <c r="D475" s="87" t="s">
        <v>1166</v>
      </c>
      <c r="E475" s="88" t="s">
        <v>1167</v>
      </c>
      <c r="F475" s="87"/>
      <c r="G475" s="87"/>
      <c r="H475" s="87"/>
      <c r="I475" s="87"/>
    </row>
    <row r="476" ht="16.5" customHeight="1">
      <c r="A476" s="4"/>
      <c r="B476" s="75"/>
      <c r="C476" s="75"/>
      <c r="D476" s="75"/>
      <c r="E476" s="75"/>
      <c r="F476" s="75"/>
      <c r="G476" s="75"/>
      <c r="H476" s="75"/>
      <c r="I476" s="75"/>
    </row>
    <row r="477" ht="16.5" customHeight="1">
      <c r="A477" s="4"/>
      <c r="B477" s="92"/>
      <c r="C477" s="92"/>
      <c r="D477" s="93" t="s">
        <v>602</v>
      </c>
      <c r="E477" s="94" t="s">
        <v>603</v>
      </c>
      <c r="F477" s="80" t="s">
        <v>604</v>
      </c>
      <c r="G477" s="95" t="str">
        <f>IF($F477="Option A",$F455,IF($F477="Option B",$G455,IF($F477="Option C",$H455,"")))</f>
        <v/>
      </c>
      <c r="H477" s="96">
        <f>IF($F477="Option A",IF($F460&gt;0,$F460,$F459),IF($F477="Option B",IF($G460&gt;0,$G460,$G459),IF($F477="Option C",IF($H460&gt;0,$H460,$H459),0)))</f>
        <v>0</v>
      </c>
      <c r="I477" s="93" t="str">
        <f>IF($G477="","-",IF(COUNTIF('05 Vendors'!$D$7:$D$200,$G477)&gt;0,"Yes","NOT YET"))</f>
        <v>-</v>
      </c>
    </row>
    <row r="478" ht="16.5" customHeight="1">
      <c r="A478" s="4"/>
      <c r="B478" s="75"/>
      <c r="C478" s="75"/>
      <c r="D478" s="75"/>
      <c r="E478" s="75"/>
      <c r="F478" s="75"/>
      <c r="G478" s="75"/>
      <c r="H478" s="75"/>
      <c r="I478" s="75"/>
    </row>
    <row r="479" ht="16.5" customHeight="1">
      <c r="A479" s="4"/>
      <c r="B479" s="75"/>
      <c r="C479" s="75"/>
      <c r="D479" s="75"/>
      <c r="E479" s="75"/>
      <c r="F479" s="75"/>
      <c r="G479" s="75"/>
      <c r="H479" s="75"/>
      <c r="I479" s="75"/>
    </row>
    <row r="480" ht="21.75" customHeight="1">
      <c r="A480" s="76"/>
      <c r="B480" s="8" t="s">
        <v>1168</v>
      </c>
      <c r="C480" s="77"/>
      <c r="D480" s="77"/>
      <c r="E480" s="77"/>
      <c r="F480" s="77"/>
      <c r="G480" s="77"/>
      <c r="H480" s="77"/>
      <c r="I480" s="78" t="s">
        <v>502</v>
      </c>
    </row>
    <row r="481" ht="30.0" customHeight="1">
      <c r="A481" s="73"/>
      <c r="B481" s="17" t="s">
        <v>460</v>
      </c>
      <c r="C481" s="17" t="s">
        <v>503</v>
      </c>
      <c r="D481" s="17" t="s">
        <v>505</v>
      </c>
      <c r="E481" s="17" t="s">
        <v>506</v>
      </c>
      <c r="F481" s="17" t="s">
        <v>508</v>
      </c>
      <c r="G481" s="17" t="s">
        <v>509</v>
      </c>
      <c r="H481" s="17" t="s">
        <v>510</v>
      </c>
      <c r="I481" s="17" t="s">
        <v>511</v>
      </c>
    </row>
    <row r="482" ht="16.5" customHeight="1">
      <c r="A482" s="4"/>
      <c r="B482" s="79"/>
      <c r="C482" s="79"/>
      <c r="D482" s="15" t="s">
        <v>512</v>
      </c>
      <c r="E482" s="79"/>
      <c r="F482" s="80"/>
      <c r="G482" s="80"/>
      <c r="H482" s="80"/>
      <c r="I482" s="79"/>
    </row>
    <row r="483" ht="16.5" customHeight="1">
      <c r="A483" s="4"/>
      <c r="B483" s="79"/>
      <c r="C483" s="79"/>
      <c r="D483" s="15" t="s">
        <v>182</v>
      </c>
      <c r="E483" s="79"/>
      <c r="F483" s="80"/>
      <c r="G483" s="80"/>
      <c r="H483" s="80"/>
      <c r="I483" s="79"/>
    </row>
    <row r="484" ht="16.5" customHeight="1">
      <c r="A484" s="4"/>
      <c r="B484" s="79"/>
      <c r="C484" s="79"/>
      <c r="D484" s="15" t="s">
        <v>515</v>
      </c>
      <c r="E484" s="79"/>
      <c r="F484" s="80"/>
      <c r="G484" s="80"/>
      <c r="H484" s="80"/>
      <c r="I484" s="79"/>
    </row>
    <row r="485" ht="16.5" customHeight="1">
      <c r="A485" s="4"/>
      <c r="B485" s="79"/>
      <c r="C485" s="79"/>
      <c r="D485" s="15" t="s">
        <v>516</v>
      </c>
      <c r="E485" s="79"/>
      <c r="F485" s="80"/>
      <c r="G485" s="80"/>
      <c r="H485" s="80"/>
      <c r="I485" s="79"/>
    </row>
    <row r="486" ht="16.5" customHeight="1">
      <c r="A486" s="4"/>
      <c r="B486" s="79"/>
      <c r="C486" s="79"/>
      <c r="D486" s="15" t="s">
        <v>517</v>
      </c>
      <c r="E486" s="79"/>
      <c r="F486" s="81"/>
      <c r="G486" s="81"/>
      <c r="H486" s="81"/>
      <c r="I486" s="79"/>
    </row>
    <row r="487" ht="16.5" customHeight="1">
      <c r="A487" s="4"/>
      <c r="B487" s="79"/>
      <c r="C487" s="79"/>
      <c r="D487" s="15" t="s">
        <v>519</v>
      </c>
      <c r="E487" s="79"/>
      <c r="F487" s="81"/>
      <c r="G487" s="81"/>
      <c r="H487" s="81"/>
      <c r="I487" s="79"/>
    </row>
    <row r="488" ht="16.5" customHeight="1">
      <c r="A488" s="4"/>
      <c r="B488" s="79"/>
      <c r="C488" s="79"/>
      <c r="D488" s="15" t="s">
        <v>521</v>
      </c>
      <c r="E488" s="79"/>
      <c r="F488" s="81"/>
      <c r="G488" s="81"/>
      <c r="H488" s="81"/>
      <c r="I488" s="79"/>
    </row>
    <row r="489" ht="16.5" customHeight="1">
      <c r="A489" s="4"/>
      <c r="B489" s="79"/>
      <c r="C489" s="79"/>
      <c r="D489" s="15" t="s">
        <v>522</v>
      </c>
      <c r="E489" s="79"/>
      <c r="F489" s="80"/>
      <c r="G489" s="80"/>
      <c r="H489" s="80"/>
      <c r="I489" s="79"/>
    </row>
    <row r="490" ht="16.5" customHeight="1">
      <c r="A490" s="4"/>
      <c r="B490" s="79"/>
      <c r="C490" s="79"/>
      <c r="D490" s="15" t="s">
        <v>523</v>
      </c>
      <c r="E490" s="79"/>
      <c r="F490" s="82"/>
      <c r="G490" s="82"/>
      <c r="H490" s="82"/>
      <c r="I490" s="79"/>
    </row>
    <row r="491" ht="15.0" customHeight="1">
      <c r="A491" s="83"/>
      <c r="B491" s="6" t="s">
        <v>526</v>
      </c>
      <c r="C491" s="84"/>
      <c r="D491" s="84"/>
      <c r="E491" s="84"/>
      <c r="F491" s="84"/>
      <c r="G491" s="84"/>
      <c r="H491" s="84"/>
      <c r="I491" s="84"/>
    </row>
    <row r="492" ht="25.5" customHeight="1">
      <c r="A492" s="4"/>
      <c r="B492" s="85">
        <v>1.0</v>
      </c>
      <c r="C492" s="86" t="s">
        <v>95</v>
      </c>
      <c r="D492" s="87" t="s">
        <v>1169</v>
      </c>
      <c r="E492" s="88" t="s">
        <v>1170</v>
      </c>
      <c r="F492" s="87"/>
      <c r="G492" s="87"/>
      <c r="H492" s="87"/>
      <c r="I492" s="87"/>
    </row>
    <row r="493" ht="25.5" customHeight="1">
      <c r="A493" s="4"/>
      <c r="B493" s="85">
        <v>2.0</v>
      </c>
      <c r="C493" s="86" t="s">
        <v>95</v>
      </c>
      <c r="D493" s="87" t="s">
        <v>683</v>
      </c>
      <c r="E493" s="88" t="s">
        <v>1100</v>
      </c>
      <c r="F493" s="87"/>
      <c r="G493" s="87"/>
      <c r="H493" s="87"/>
      <c r="I493" s="87"/>
    </row>
    <row r="494" ht="25.5" customHeight="1">
      <c r="A494" s="4"/>
      <c r="B494" s="85">
        <v>3.0</v>
      </c>
      <c r="C494" s="86" t="s">
        <v>95</v>
      </c>
      <c r="D494" s="87" t="s">
        <v>1171</v>
      </c>
      <c r="E494" s="88" t="s">
        <v>1172</v>
      </c>
      <c r="F494" s="87"/>
      <c r="G494" s="87"/>
      <c r="H494" s="87"/>
      <c r="I494" s="87"/>
    </row>
    <row r="495" ht="25.5" customHeight="1">
      <c r="A495" s="4"/>
      <c r="B495" s="85">
        <v>4.0</v>
      </c>
      <c r="C495" s="89" t="s">
        <v>549</v>
      </c>
      <c r="D495" s="87" t="s">
        <v>1173</v>
      </c>
      <c r="E495" s="88" t="s">
        <v>1174</v>
      </c>
      <c r="F495" s="87"/>
      <c r="G495" s="87"/>
      <c r="H495" s="87"/>
      <c r="I495" s="87"/>
    </row>
    <row r="496" ht="25.5" customHeight="1">
      <c r="A496" s="4"/>
      <c r="B496" s="85">
        <v>5.0</v>
      </c>
      <c r="C496" s="89" t="s">
        <v>549</v>
      </c>
      <c r="D496" s="87" t="s">
        <v>1175</v>
      </c>
      <c r="E496" s="88" t="s">
        <v>1176</v>
      </c>
      <c r="F496" s="87"/>
      <c r="G496" s="87"/>
      <c r="H496" s="87"/>
      <c r="I496" s="87"/>
    </row>
    <row r="497" ht="25.5" customHeight="1">
      <c r="A497" s="4"/>
      <c r="B497" s="85">
        <v>6.0</v>
      </c>
      <c r="C497" s="89" t="s">
        <v>549</v>
      </c>
      <c r="D497" s="87" t="s">
        <v>1177</v>
      </c>
      <c r="E497" s="88" t="s">
        <v>1178</v>
      </c>
      <c r="F497" s="87"/>
      <c r="G497" s="87"/>
      <c r="H497" s="87"/>
      <c r="I497" s="87"/>
    </row>
    <row r="498" ht="25.5" customHeight="1">
      <c r="A498" s="4"/>
      <c r="B498" s="85">
        <v>7.0</v>
      </c>
      <c r="C498" s="89" t="s">
        <v>549</v>
      </c>
      <c r="D498" s="87" t="s">
        <v>1179</v>
      </c>
      <c r="E498" s="88" t="s">
        <v>1180</v>
      </c>
      <c r="F498" s="87"/>
      <c r="G498" s="87"/>
      <c r="H498" s="87"/>
      <c r="I498" s="87"/>
    </row>
    <row r="499" ht="25.5" customHeight="1">
      <c r="A499" s="4"/>
      <c r="B499" s="85">
        <v>8.0</v>
      </c>
      <c r="C499" s="90" t="s">
        <v>566</v>
      </c>
      <c r="D499" s="87" t="s">
        <v>1181</v>
      </c>
      <c r="E499" s="88" t="s">
        <v>1182</v>
      </c>
      <c r="F499" s="87"/>
      <c r="G499" s="87"/>
      <c r="H499" s="87"/>
      <c r="I499" s="87"/>
    </row>
    <row r="500" ht="25.5" customHeight="1">
      <c r="A500" s="4"/>
      <c r="B500" s="85">
        <v>9.0</v>
      </c>
      <c r="C500" s="90" t="s">
        <v>566</v>
      </c>
      <c r="D500" s="87" t="s">
        <v>1183</v>
      </c>
      <c r="E500" s="88" t="s">
        <v>1184</v>
      </c>
      <c r="F500" s="87"/>
      <c r="G500" s="87"/>
      <c r="H500" s="87"/>
      <c r="I500" s="87"/>
    </row>
    <row r="501" ht="25.5" customHeight="1">
      <c r="A501" s="4"/>
      <c r="B501" s="85">
        <v>10.0</v>
      </c>
      <c r="C501" s="90" t="s">
        <v>566</v>
      </c>
      <c r="D501" s="87" t="s">
        <v>1185</v>
      </c>
      <c r="E501" s="88" t="s">
        <v>1186</v>
      </c>
      <c r="F501" s="87"/>
      <c r="G501" s="87"/>
      <c r="H501" s="87"/>
      <c r="I501" s="87"/>
    </row>
    <row r="502" ht="25.5" customHeight="1">
      <c r="A502" s="4"/>
      <c r="B502" s="85">
        <v>11.0</v>
      </c>
      <c r="C502" s="91" t="s">
        <v>591</v>
      </c>
      <c r="D502" s="87" t="s">
        <v>1187</v>
      </c>
      <c r="E502" s="88" t="s">
        <v>1188</v>
      </c>
      <c r="F502" s="87"/>
      <c r="G502" s="87"/>
      <c r="H502" s="87"/>
      <c r="I502" s="87"/>
    </row>
    <row r="503" ht="25.5" customHeight="1">
      <c r="A503" s="4"/>
      <c r="B503" s="85">
        <v>12.0</v>
      </c>
      <c r="C503" s="91" t="s">
        <v>591</v>
      </c>
      <c r="D503" s="87" t="s">
        <v>1189</v>
      </c>
      <c r="E503" s="88" t="s">
        <v>1190</v>
      </c>
      <c r="F503" s="87"/>
      <c r="G503" s="87"/>
      <c r="H503" s="87"/>
      <c r="I503" s="87"/>
    </row>
    <row r="504" ht="16.5" customHeight="1">
      <c r="A504" s="4"/>
      <c r="B504" s="75"/>
      <c r="C504" s="75"/>
      <c r="D504" s="75"/>
      <c r="E504" s="75"/>
      <c r="F504" s="75"/>
      <c r="G504" s="75"/>
      <c r="H504" s="75"/>
      <c r="I504" s="75"/>
    </row>
    <row r="505" ht="16.5" customHeight="1">
      <c r="A505" s="4"/>
      <c r="B505" s="92"/>
      <c r="C505" s="92"/>
      <c r="D505" s="93" t="s">
        <v>602</v>
      </c>
      <c r="E505" s="94" t="s">
        <v>603</v>
      </c>
      <c r="F505" s="80" t="s">
        <v>604</v>
      </c>
      <c r="G505" s="95" t="str">
        <f>IF($F505="Option A",$F482,IF($F505="Option B",$G482,IF($F505="Option C",$H482,"")))</f>
        <v/>
      </c>
      <c r="H505" s="96">
        <f>IF($F505="Option A",IF($F487&gt;0,$F487,$F486),IF($F505="Option B",IF($G487&gt;0,$G487,$G486),IF($F505="Option C",IF($H487&gt;0,$H487,$H486),0)))</f>
        <v>0</v>
      </c>
      <c r="I505" s="93" t="str">
        <f>IF($G505="","-",IF(COUNTIF('05 Vendors'!$D$7:$D$200,$G505)&gt;0,"Yes","NOT YET"))</f>
        <v>-</v>
      </c>
    </row>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7:I1000">
    <cfRule type="cellIs" dxfId="8" priority="1" operator="equal">
      <formula>"NOT YET"</formula>
    </cfRule>
  </conditionalFormatting>
  <conditionalFormatting sqref="I7:I1000">
    <cfRule type="cellIs" dxfId="9" priority="2" operator="equal">
      <formula>"Yes"</formula>
    </cfRule>
  </conditionalFormatting>
  <conditionalFormatting sqref="F7:F22">
    <cfRule type="cellIs" dxfId="10" priority="3" operator="equal">
      <formula>"Not decided"</formula>
    </cfRule>
  </conditionalFormatting>
  <dataValidations>
    <dataValidation type="list" allowBlank="1" sqref="F34:H34 F77:H77 F109:H109 F145:H145 F177:H177 F211:H211 F242:H242 F272:H272 F300:H300 F328:H328 F355:H355 F381:H381 F406:H406 F434:H434 F462:H462 F489:H489">
      <formula1>"Yes,No,Booked"</formula1>
    </dataValidation>
    <dataValidation type="list" allowBlank="1" sqref="F65 F97 F133 F165 F199 F230 F260 F288 F316 F343 F369 F394 F422 F450 F477 F505">
      <formula1>"Option A,Option B,Option C,Not decided"</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4E"/>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6.43"/>
    <col customWidth="1" min="3" max="3" width="25.86"/>
    <col customWidth="1" min="4" max="4" width="19.29"/>
    <col customWidth="1" min="5" max="5" width="32.14"/>
    <col customWidth="1" min="6" max="6" width="13.86"/>
    <col customWidth="1" min="7" max="9" width="17.14"/>
    <col customWidth="1" min="10" max="10" width="16.14"/>
    <col customWidth="1" min="11" max="11" width="32.14"/>
  </cols>
  <sheetData>
    <row r="1" ht="16.5" customHeight="1">
      <c r="A1" s="1"/>
      <c r="B1" s="1"/>
      <c r="C1" s="1"/>
      <c r="D1" s="1"/>
      <c r="E1" s="1"/>
      <c r="F1" s="1"/>
      <c r="G1" s="1"/>
      <c r="H1" s="1"/>
      <c r="I1" s="1"/>
      <c r="J1" s="1"/>
      <c r="K1" s="1"/>
    </row>
    <row r="2" ht="33.75" customHeight="1">
      <c r="A2" s="2"/>
      <c r="B2" s="2" t="s">
        <v>1191</v>
      </c>
      <c r="C2" s="2"/>
      <c r="D2" s="2"/>
      <c r="E2" s="2"/>
      <c r="F2" s="2"/>
      <c r="G2" s="2"/>
      <c r="H2" s="2"/>
      <c r="I2" s="2"/>
      <c r="J2" s="2"/>
      <c r="K2" s="2"/>
    </row>
    <row r="3" ht="15.75" customHeight="1">
      <c r="A3" s="3"/>
      <c r="B3" s="3" t="s">
        <v>1192</v>
      </c>
      <c r="C3" s="3"/>
      <c r="D3" s="3"/>
      <c r="E3" s="3"/>
      <c r="F3" s="3"/>
      <c r="G3" s="3"/>
      <c r="H3" s="3"/>
      <c r="I3" s="3"/>
      <c r="J3" s="3"/>
      <c r="K3" s="3"/>
    </row>
    <row r="4" ht="16.5" customHeight="1">
      <c r="A4" s="1"/>
      <c r="B4" s="1"/>
      <c r="C4" s="1"/>
      <c r="D4" s="1"/>
      <c r="E4" s="1"/>
      <c r="F4" s="1"/>
      <c r="G4" s="1"/>
      <c r="H4" s="1"/>
      <c r="I4" s="1"/>
      <c r="J4" s="1"/>
      <c r="K4" s="1"/>
    </row>
    <row r="5" ht="16.5" customHeight="1">
      <c r="A5" s="1"/>
      <c r="B5" s="1"/>
      <c r="C5" s="1"/>
      <c r="D5" s="1"/>
      <c r="E5" s="5" t="s">
        <v>13</v>
      </c>
      <c r="F5" s="1"/>
      <c r="G5" s="13">
        <f t="shared" ref="G5:I5" si="1">SUM(G7:G60)</f>
        <v>0</v>
      </c>
      <c r="H5" s="13">
        <f t="shared" si="1"/>
        <v>0</v>
      </c>
      <c r="I5" s="13">
        <f t="shared" si="1"/>
        <v>0</v>
      </c>
      <c r="J5" s="1"/>
      <c r="K5" s="1"/>
    </row>
    <row r="6" ht="30.0" customHeight="1">
      <c r="A6" s="16"/>
      <c r="B6" s="17" t="s">
        <v>24</v>
      </c>
      <c r="C6" s="17" t="s">
        <v>1193</v>
      </c>
      <c r="D6" s="17" t="s">
        <v>1194</v>
      </c>
      <c r="E6" s="17" t="s">
        <v>1195</v>
      </c>
      <c r="F6" s="17" t="s">
        <v>1196</v>
      </c>
      <c r="G6" s="17" t="s">
        <v>1197</v>
      </c>
      <c r="H6" s="17" t="s">
        <v>1198</v>
      </c>
      <c r="I6" s="17" t="s">
        <v>1199</v>
      </c>
      <c r="J6" s="17" t="s">
        <v>1200</v>
      </c>
      <c r="K6" s="17" t="s">
        <v>50</v>
      </c>
    </row>
    <row r="7" ht="16.5" customHeight="1">
      <c r="A7" s="1"/>
      <c r="B7" s="31" t="s">
        <v>1201</v>
      </c>
      <c r="C7" s="32" t="s">
        <v>1202</v>
      </c>
      <c r="D7" s="32" t="s">
        <v>1203</v>
      </c>
      <c r="E7" s="32" t="s">
        <v>1204</v>
      </c>
      <c r="F7" s="24"/>
      <c r="G7" s="38"/>
      <c r="H7" s="38"/>
      <c r="I7" s="41" t="str">
        <f t="shared" ref="I7:I60" si="2">IF(G7="","",MAX(0,G7-H7))</f>
        <v/>
      </c>
      <c r="J7" s="24"/>
      <c r="K7" s="32"/>
    </row>
    <row r="8" ht="16.5" customHeight="1">
      <c r="A8" s="1"/>
      <c r="B8" s="31" t="s">
        <v>1205</v>
      </c>
      <c r="C8" s="32" t="s">
        <v>1206</v>
      </c>
      <c r="D8" s="32" t="s">
        <v>1207</v>
      </c>
      <c r="E8" s="32" t="s">
        <v>1204</v>
      </c>
      <c r="F8" s="24"/>
      <c r="G8" s="38"/>
      <c r="H8" s="38"/>
      <c r="I8" s="41" t="str">
        <f t="shared" si="2"/>
        <v/>
      </c>
      <c r="J8" s="24"/>
      <c r="K8" s="32"/>
    </row>
    <row r="9" ht="16.5" customHeight="1">
      <c r="A9" s="1"/>
      <c r="B9" s="31" t="s">
        <v>1208</v>
      </c>
      <c r="C9" s="32" t="s">
        <v>1209</v>
      </c>
      <c r="D9" s="32" t="s">
        <v>1210</v>
      </c>
      <c r="E9" s="32" t="s">
        <v>1204</v>
      </c>
      <c r="F9" s="24"/>
      <c r="G9" s="38"/>
      <c r="H9" s="38"/>
      <c r="I9" s="41" t="str">
        <f t="shared" si="2"/>
        <v/>
      </c>
      <c r="J9" s="24"/>
      <c r="K9" s="32"/>
    </row>
    <row r="10" ht="16.5" customHeight="1">
      <c r="A10" s="1"/>
      <c r="B10" s="31" t="s">
        <v>1211</v>
      </c>
      <c r="C10" s="32" t="s">
        <v>129</v>
      </c>
      <c r="D10" s="32" t="s">
        <v>129</v>
      </c>
      <c r="E10" s="32" t="s">
        <v>1212</v>
      </c>
      <c r="F10" s="24"/>
      <c r="G10" s="38"/>
      <c r="H10" s="38"/>
      <c r="I10" s="41" t="str">
        <f t="shared" si="2"/>
        <v/>
      </c>
      <c r="J10" s="24"/>
      <c r="K10" s="32"/>
    </row>
    <row r="11" ht="16.5" customHeight="1">
      <c r="A11" s="1"/>
      <c r="B11" s="31" t="s">
        <v>1213</v>
      </c>
      <c r="C11" s="32" t="s">
        <v>1214</v>
      </c>
      <c r="D11" s="32"/>
      <c r="E11" s="32"/>
      <c r="F11" s="24"/>
      <c r="G11" s="38"/>
      <c r="H11" s="38"/>
      <c r="I11" s="41" t="str">
        <f t="shared" si="2"/>
        <v/>
      </c>
      <c r="J11" s="24"/>
      <c r="K11" s="32"/>
    </row>
    <row r="12" ht="16.5" customHeight="1">
      <c r="A12" s="1"/>
      <c r="B12" s="32"/>
      <c r="C12" s="32"/>
      <c r="D12" s="32"/>
      <c r="E12" s="32"/>
      <c r="F12" s="24"/>
      <c r="G12" s="38"/>
      <c r="H12" s="38"/>
      <c r="I12" s="41" t="str">
        <f t="shared" si="2"/>
        <v/>
      </c>
      <c r="J12" s="24"/>
      <c r="K12" s="32"/>
    </row>
    <row r="13" ht="16.5" customHeight="1">
      <c r="A13" s="1"/>
      <c r="B13" s="32"/>
      <c r="C13" s="32"/>
      <c r="D13" s="32"/>
      <c r="E13" s="32"/>
      <c r="F13" s="24"/>
      <c r="G13" s="38"/>
      <c r="H13" s="38"/>
      <c r="I13" s="41" t="str">
        <f t="shared" si="2"/>
        <v/>
      </c>
      <c r="J13" s="24"/>
      <c r="K13" s="32"/>
    </row>
    <row r="14" ht="16.5" customHeight="1">
      <c r="A14" s="1"/>
      <c r="B14" s="32"/>
      <c r="C14" s="32"/>
      <c r="D14" s="32"/>
      <c r="E14" s="32"/>
      <c r="F14" s="24"/>
      <c r="G14" s="38"/>
      <c r="H14" s="38"/>
      <c r="I14" s="41" t="str">
        <f t="shared" si="2"/>
        <v/>
      </c>
      <c r="J14" s="24"/>
      <c r="K14" s="32"/>
    </row>
    <row r="15" ht="16.5" customHeight="1">
      <c r="A15" s="1"/>
      <c r="B15" s="32"/>
      <c r="C15" s="32"/>
      <c r="D15" s="32"/>
      <c r="E15" s="32"/>
      <c r="F15" s="24"/>
      <c r="G15" s="38"/>
      <c r="H15" s="38"/>
      <c r="I15" s="41" t="str">
        <f t="shared" si="2"/>
        <v/>
      </c>
      <c r="J15" s="24"/>
      <c r="K15" s="32"/>
    </row>
    <row r="16" ht="16.5" customHeight="1">
      <c r="A16" s="1"/>
      <c r="B16" s="32"/>
      <c r="C16" s="32"/>
      <c r="D16" s="32"/>
      <c r="E16" s="32"/>
      <c r="F16" s="24"/>
      <c r="G16" s="38"/>
      <c r="H16" s="38"/>
      <c r="I16" s="41" t="str">
        <f t="shared" si="2"/>
        <v/>
      </c>
      <c r="J16" s="24"/>
      <c r="K16" s="32"/>
    </row>
    <row r="17" ht="16.5" customHeight="1">
      <c r="A17" s="1"/>
      <c r="B17" s="32"/>
      <c r="C17" s="32"/>
      <c r="D17" s="32"/>
      <c r="E17" s="32"/>
      <c r="F17" s="24"/>
      <c r="G17" s="38"/>
      <c r="H17" s="38"/>
      <c r="I17" s="41" t="str">
        <f t="shared" si="2"/>
        <v/>
      </c>
      <c r="J17" s="24"/>
      <c r="K17" s="32"/>
    </row>
    <row r="18" ht="16.5" customHeight="1">
      <c r="A18" s="1"/>
      <c r="B18" s="32"/>
      <c r="C18" s="32"/>
      <c r="D18" s="32"/>
      <c r="E18" s="32"/>
      <c r="F18" s="24"/>
      <c r="G18" s="38"/>
      <c r="H18" s="38"/>
      <c r="I18" s="41" t="str">
        <f t="shared" si="2"/>
        <v/>
      </c>
      <c r="J18" s="24"/>
      <c r="K18" s="32"/>
    </row>
    <row r="19" ht="16.5" customHeight="1">
      <c r="A19" s="1"/>
      <c r="B19" s="32"/>
      <c r="C19" s="32"/>
      <c r="D19" s="32"/>
      <c r="E19" s="32"/>
      <c r="F19" s="24"/>
      <c r="G19" s="38"/>
      <c r="H19" s="38"/>
      <c r="I19" s="41" t="str">
        <f t="shared" si="2"/>
        <v/>
      </c>
      <c r="J19" s="24"/>
      <c r="K19" s="32"/>
    </row>
    <row r="20" ht="16.5" customHeight="1">
      <c r="A20" s="1"/>
      <c r="B20" s="32"/>
      <c r="C20" s="32"/>
      <c r="D20" s="32"/>
      <c r="E20" s="32"/>
      <c r="F20" s="24"/>
      <c r="G20" s="38"/>
      <c r="H20" s="38"/>
      <c r="I20" s="41" t="str">
        <f t="shared" si="2"/>
        <v/>
      </c>
      <c r="J20" s="24"/>
      <c r="K20" s="32"/>
    </row>
    <row r="21" ht="16.5" customHeight="1">
      <c r="A21" s="1"/>
      <c r="B21" s="32"/>
      <c r="C21" s="32"/>
      <c r="D21" s="32"/>
      <c r="E21" s="32"/>
      <c r="F21" s="24"/>
      <c r="G21" s="38"/>
      <c r="H21" s="38"/>
      <c r="I21" s="41" t="str">
        <f t="shared" si="2"/>
        <v/>
      </c>
      <c r="J21" s="24"/>
      <c r="K21" s="32"/>
    </row>
    <row r="22" ht="16.5" customHeight="1">
      <c r="A22" s="1"/>
      <c r="B22" s="32"/>
      <c r="C22" s="32"/>
      <c r="D22" s="32"/>
      <c r="E22" s="32"/>
      <c r="F22" s="24"/>
      <c r="G22" s="38"/>
      <c r="H22" s="38"/>
      <c r="I22" s="41" t="str">
        <f t="shared" si="2"/>
        <v/>
      </c>
      <c r="J22" s="24"/>
      <c r="K22" s="32"/>
    </row>
    <row r="23" ht="16.5" customHeight="1">
      <c r="A23" s="1"/>
      <c r="B23" s="32"/>
      <c r="C23" s="32"/>
      <c r="D23" s="32"/>
      <c r="E23" s="32"/>
      <c r="F23" s="24"/>
      <c r="G23" s="38"/>
      <c r="H23" s="38"/>
      <c r="I23" s="41" t="str">
        <f t="shared" si="2"/>
        <v/>
      </c>
      <c r="J23" s="24"/>
      <c r="K23" s="32"/>
    </row>
    <row r="24" ht="16.5" customHeight="1">
      <c r="A24" s="1"/>
      <c r="B24" s="32"/>
      <c r="C24" s="32"/>
      <c r="D24" s="32"/>
      <c r="E24" s="32"/>
      <c r="F24" s="24"/>
      <c r="G24" s="38"/>
      <c r="H24" s="38"/>
      <c r="I24" s="41" t="str">
        <f t="shared" si="2"/>
        <v/>
      </c>
      <c r="J24" s="24"/>
      <c r="K24" s="32"/>
    </row>
    <row r="25" ht="16.5" customHeight="1">
      <c r="A25" s="1"/>
      <c r="B25" s="32"/>
      <c r="C25" s="32"/>
      <c r="D25" s="32"/>
      <c r="E25" s="32"/>
      <c r="F25" s="24"/>
      <c r="G25" s="38"/>
      <c r="H25" s="38"/>
      <c r="I25" s="41" t="str">
        <f t="shared" si="2"/>
        <v/>
      </c>
      <c r="J25" s="24"/>
      <c r="K25" s="32"/>
    </row>
    <row r="26" ht="16.5" customHeight="1">
      <c r="A26" s="1"/>
      <c r="B26" s="32"/>
      <c r="C26" s="32"/>
      <c r="D26" s="32"/>
      <c r="E26" s="32"/>
      <c r="F26" s="24"/>
      <c r="G26" s="38"/>
      <c r="H26" s="38"/>
      <c r="I26" s="41" t="str">
        <f t="shared" si="2"/>
        <v/>
      </c>
      <c r="J26" s="24"/>
      <c r="K26" s="32"/>
    </row>
    <row r="27" ht="16.5" customHeight="1">
      <c r="A27" s="1"/>
      <c r="B27" s="32"/>
      <c r="C27" s="32"/>
      <c r="D27" s="32"/>
      <c r="E27" s="32"/>
      <c r="F27" s="24"/>
      <c r="G27" s="38"/>
      <c r="H27" s="38"/>
      <c r="I27" s="41" t="str">
        <f t="shared" si="2"/>
        <v/>
      </c>
      <c r="J27" s="24"/>
      <c r="K27" s="32"/>
    </row>
    <row r="28" ht="16.5" customHeight="1">
      <c r="A28" s="1"/>
      <c r="B28" s="32"/>
      <c r="C28" s="32"/>
      <c r="D28" s="32"/>
      <c r="E28" s="32"/>
      <c r="F28" s="24"/>
      <c r="G28" s="38"/>
      <c r="H28" s="38"/>
      <c r="I28" s="41" t="str">
        <f t="shared" si="2"/>
        <v/>
      </c>
      <c r="J28" s="24"/>
      <c r="K28" s="32"/>
    </row>
    <row r="29" ht="16.5" customHeight="1">
      <c r="A29" s="1"/>
      <c r="B29" s="32"/>
      <c r="C29" s="32"/>
      <c r="D29" s="32"/>
      <c r="E29" s="32"/>
      <c r="F29" s="24"/>
      <c r="G29" s="38"/>
      <c r="H29" s="38"/>
      <c r="I29" s="41" t="str">
        <f t="shared" si="2"/>
        <v/>
      </c>
      <c r="J29" s="24"/>
      <c r="K29" s="32"/>
    </row>
    <row r="30" ht="16.5" customHeight="1">
      <c r="A30" s="1"/>
      <c r="B30" s="32"/>
      <c r="C30" s="32"/>
      <c r="D30" s="32"/>
      <c r="E30" s="32"/>
      <c r="F30" s="24"/>
      <c r="G30" s="38"/>
      <c r="H30" s="38"/>
      <c r="I30" s="41" t="str">
        <f t="shared" si="2"/>
        <v/>
      </c>
      <c r="J30" s="24"/>
      <c r="K30" s="32"/>
    </row>
    <row r="31" ht="16.5" customHeight="1">
      <c r="A31" s="1"/>
      <c r="B31" s="32"/>
      <c r="C31" s="32"/>
      <c r="D31" s="32"/>
      <c r="E31" s="32"/>
      <c r="F31" s="24"/>
      <c r="G31" s="38"/>
      <c r="H31" s="38"/>
      <c r="I31" s="41" t="str">
        <f t="shared" si="2"/>
        <v/>
      </c>
      <c r="J31" s="24"/>
      <c r="K31" s="32"/>
    </row>
    <row r="32" ht="16.5" customHeight="1">
      <c r="A32" s="1"/>
      <c r="B32" s="32"/>
      <c r="C32" s="32"/>
      <c r="D32" s="32"/>
      <c r="E32" s="32"/>
      <c r="F32" s="24"/>
      <c r="G32" s="38"/>
      <c r="H32" s="38"/>
      <c r="I32" s="41" t="str">
        <f t="shared" si="2"/>
        <v/>
      </c>
      <c r="J32" s="24"/>
      <c r="K32" s="32"/>
    </row>
    <row r="33" ht="16.5" customHeight="1">
      <c r="A33" s="1"/>
      <c r="B33" s="32"/>
      <c r="C33" s="32"/>
      <c r="D33" s="32"/>
      <c r="E33" s="32"/>
      <c r="F33" s="24"/>
      <c r="G33" s="38"/>
      <c r="H33" s="38"/>
      <c r="I33" s="41" t="str">
        <f t="shared" si="2"/>
        <v/>
      </c>
      <c r="J33" s="24"/>
      <c r="K33" s="32"/>
    </row>
    <row r="34" ht="16.5" customHeight="1">
      <c r="A34" s="1"/>
      <c r="B34" s="32"/>
      <c r="C34" s="32"/>
      <c r="D34" s="32"/>
      <c r="E34" s="32"/>
      <c r="F34" s="24"/>
      <c r="G34" s="38"/>
      <c r="H34" s="38"/>
      <c r="I34" s="41" t="str">
        <f t="shared" si="2"/>
        <v/>
      </c>
      <c r="J34" s="24"/>
      <c r="K34" s="32"/>
    </row>
    <row r="35" ht="16.5" customHeight="1">
      <c r="A35" s="1"/>
      <c r="B35" s="32"/>
      <c r="C35" s="32"/>
      <c r="D35" s="32"/>
      <c r="E35" s="32"/>
      <c r="F35" s="24"/>
      <c r="G35" s="38"/>
      <c r="H35" s="38"/>
      <c r="I35" s="41" t="str">
        <f t="shared" si="2"/>
        <v/>
      </c>
      <c r="J35" s="24"/>
      <c r="K35" s="32"/>
    </row>
    <row r="36" ht="16.5" customHeight="1">
      <c r="A36" s="1"/>
      <c r="B36" s="32"/>
      <c r="C36" s="32"/>
      <c r="D36" s="32"/>
      <c r="E36" s="32"/>
      <c r="F36" s="24"/>
      <c r="G36" s="38"/>
      <c r="H36" s="38"/>
      <c r="I36" s="41" t="str">
        <f t="shared" si="2"/>
        <v/>
      </c>
      <c r="J36" s="24"/>
      <c r="K36" s="32"/>
    </row>
    <row r="37" ht="16.5" customHeight="1">
      <c r="A37" s="1"/>
      <c r="B37" s="32"/>
      <c r="C37" s="32"/>
      <c r="D37" s="32"/>
      <c r="E37" s="32"/>
      <c r="F37" s="24"/>
      <c r="G37" s="38"/>
      <c r="H37" s="38"/>
      <c r="I37" s="41" t="str">
        <f t="shared" si="2"/>
        <v/>
      </c>
      <c r="J37" s="24"/>
      <c r="K37" s="32"/>
    </row>
    <row r="38" ht="16.5" customHeight="1">
      <c r="A38" s="1"/>
      <c r="B38" s="32"/>
      <c r="C38" s="32"/>
      <c r="D38" s="32"/>
      <c r="E38" s="32"/>
      <c r="F38" s="24"/>
      <c r="G38" s="38"/>
      <c r="H38" s="38"/>
      <c r="I38" s="41" t="str">
        <f t="shared" si="2"/>
        <v/>
      </c>
      <c r="J38" s="24"/>
      <c r="K38" s="32"/>
    </row>
    <row r="39" ht="16.5" customHeight="1">
      <c r="A39" s="1"/>
      <c r="B39" s="32"/>
      <c r="C39" s="32"/>
      <c r="D39" s="32"/>
      <c r="E39" s="32"/>
      <c r="F39" s="24"/>
      <c r="G39" s="38"/>
      <c r="H39" s="38"/>
      <c r="I39" s="41" t="str">
        <f t="shared" si="2"/>
        <v/>
      </c>
      <c r="J39" s="24"/>
      <c r="K39" s="32"/>
    </row>
    <row r="40" ht="16.5" customHeight="1">
      <c r="A40" s="1"/>
      <c r="B40" s="32"/>
      <c r="C40" s="32"/>
      <c r="D40" s="32"/>
      <c r="E40" s="32"/>
      <c r="F40" s="24"/>
      <c r="G40" s="38"/>
      <c r="H40" s="38"/>
      <c r="I40" s="41" t="str">
        <f t="shared" si="2"/>
        <v/>
      </c>
      <c r="J40" s="24"/>
      <c r="K40" s="32"/>
    </row>
    <row r="41" ht="16.5" customHeight="1">
      <c r="A41" s="1"/>
      <c r="B41" s="32"/>
      <c r="C41" s="32"/>
      <c r="D41" s="32"/>
      <c r="E41" s="32"/>
      <c r="F41" s="24"/>
      <c r="G41" s="38"/>
      <c r="H41" s="38"/>
      <c r="I41" s="41" t="str">
        <f t="shared" si="2"/>
        <v/>
      </c>
      <c r="J41" s="24"/>
      <c r="K41" s="32"/>
    </row>
    <row r="42" ht="16.5" customHeight="1">
      <c r="A42" s="1"/>
      <c r="B42" s="32"/>
      <c r="C42" s="32"/>
      <c r="D42" s="32"/>
      <c r="E42" s="32"/>
      <c r="F42" s="24"/>
      <c r="G42" s="38"/>
      <c r="H42" s="38"/>
      <c r="I42" s="41" t="str">
        <f t="shared" si="2"/>
        <v/>
      </c>
      <c r="J42" s="24"/>
      <c r="K42" s="32"/>
    </row>
    <row r="43" ht="16.5" customHeight="1">
      <c r="A43" s="1"/>
      <c r="B43" s="32"/>
      <c r="C43" s="32"/>
      <c r="D43" s="32"/>
      <c r="E43" s="32"/>
      <c r="F43" s="24"/>
      <c r="G43" s="38"/>
      <c r="H43" s="38"/>
      <c r="I43" s="41" t="str">
        <f t="shared" si="2"/>
        <v/>
      </c>
      <c r="J43" s="24"/>
      <c r="K43" s="32"/>
    </row>
    <row r="44" ht="16.5" customHeight="1">
      <c r="A44" s="1"/>
      <c r="B44" s="32"/>
      <c r="C44" s="32"/>
      <c r="D44" s="32"/>
      <c r="E44" s="32"/>
      <c r="F44" s="24"/>
      <c r="G44" s="38"/>
      <c r="H44" s="38"/>
      <c r="I44" s="41" t="str">
        <f t="shared" si="2"/>
        <v/>
      </c>
      <c r="J44" s="24"/>
      <c r="K44" s="32"/>
    </row>
    <row r="45" ht="16.5" customHeight="1">
      <c r="A45" s="1"/>
      <c r="B45" s="32"/>
      <c r="C45" s="32"/>
      <c r="D45" s="32"/>
      <c r="E45" s="32"/>
      <c r="F45" s="24"/>
      <c r="G45" s="38"/>
      <c r="H45" s="38"/>
      <c r="I45" s="41" t="str">
        <f t="shared" si="2"/>
        <v/>
      </c>
      <c r="J45" s="24"/>
      <c r="K45" s="32"/>
    </row>
    <row r="46" ht="16.5" customHeight="1">
      <c r="A46" s="1"/>
      <c r="B46" s="32"/>
      <c r="C46" s="32"/>
      <c r="D46" s="32"/>
      <c r="E46" s="32"/>
      <c r="F46" s="24"/>
      <c r="G46" s="38"/>
      <c r="H46" s="38"/>
      <c r="I46" s="41" t="str">
        <f t="shared" si="2"/>
        <v/>
      </c>
      <c r="J46" s="24"/>
      <c r="K46" s="32"/>
    </row>
    <row r="47" ht="16.5" customHeight="1">
      <c r="A47" s="1"/>
      <c r="B47" s="32"/>
      <c r="C47" s="32"/>
      <c r="D47" s="32"/>
      <c r="E47" s="32"/>
      <c r="F47" s="24"/>
      <c r="G47" s="38"/>
      <c r="H47" s="38"/>
      <c r="I47" s="41" t="str">
        <f t="shared" si="2"/>
        <v/>
      </c>
      <c r="J47" s="24"/>
      <c r="K47" s="32"/>
    </row>
    <row r="48" ht="16.5" customHeight="1">
      <c r="A48" s="1"/>
      <c r="B48" s="32"/>
      <c r="C48" s="32"/>
      <c r="D48" s="32"/>
      <c r="E48" s="32"/>
      <c r="F48" s="24"/>
      <c r="G48" s="38"/>
      <c r="H48" s="38"/>
      <c r="I48" s="41" t="str">
        <f t="shared" si="2"/>
        <v/>
      </c>
      <c r="J48" s="24"/>
      <c r="K48" s="32"/>
    </row>
    <row r="49" ht="16.5" customHeight="1">
      <c r="A49" s="1"/>
      <c r="B49" s="32"/>
      <c r="C49" s="32"/>
      <c r="D49" s="32"/>
      <c r="E49" s="32"/>
      <c r="F49" s="24"/>
      <c r="G49" s="38"/>
      <c r="H49" s="38"/>
      <c r="I49" s="41" t="str">
        <f t="shared" si="2"/>
        <v/>
      </c>
      <c r="J49" s="24"/>
      <c r="K49" s="32"/>
    </row>
    <row r="50" ht="16.5" customHeight="1">
      <c r="A50" s="1"/>
      <c r="B50" s="32"/>
      <c r="C50" s="32"/>
      <c r="D50" s="32"/>
      <c r="E50" s="32"/>
      <c r="F50" s="24"/>
      <c r="G50" s="38"/>
      <c r="H50" s="38"/>
      <c r="I50" s="41" t="str">
        <f t="shared" si="2"/>
        <v/>
      </c>
      <c r="J50" s="24"/>
      <c r="K50" s="32"/>
    </row>
    <row r="51" ht="16.5" customHeight="1">
      <c r="A51" s="1"/>
      <c r="B51" s="32"/>
      <c r="C51" s="32"/>
      <c r="D51" s="32"/>
      <c r="E51" s="32"/>
      <c r="F51" s="24"/>
      <c r="G51" s="38"/>
      <c r="H51" s="38"/>
      <c r="I51" s="41" t="str">
        <f t="shared" si="2"/>
        <v/>
      </c>
      <c r="J51" s="24"/>
      <c r="K51" s="32"/>
    </row>
    <row r="52" ht="16.5" customHeight="1">
      <c r="A52" s="1"/>
      <c r="B52" s="32"/>
      <c r="C52" s="32"/>
      <c r="D52" s="32"/>
      <c r="E52" s="32"/>
      <c r="F52" s="24"/>
      <c r="G52" s="38"/>
      <c r="H52" s="38"/>
      <c r="I52" s="41" t="str">
        <f t="shared" si="2"/>
        <v/>
      </c>
      <c r="J52" s="24"/>
      <c r="K52" s="32"/>
    </row>
    <row r="53" ht="16.5" customHeight="1">
      <c r="A53" s="1"/>
      <c r="B53" s="32"/>
      <c r="C53" s="32"/>
      <c r="D53" s="32"/>
      <c r="E53" s="32"/>
      <c r="F53" s="24"/>
      <c r="G53" s="38"/>
      <c r="H53" s="38"/>
      <c r="I53" s="41" t="str">
        <f t="shared" si="2"/>
        <v/>
      </c>
      <c r="J53" s="24"/>
      <c r="K53" s="32"/>
    </row>
    <row r="54" ht="16.5" customHeight="1">
      <c r="A54" s="1"/>
      <c r="B54" s="32"/>
      <c r="C54" s="32"/>
      <c r="D54" s="32"/>
      <c r="E54" s="32"/>
      <c r="F54" s="24"/>
      <c r="G54" s="38"/>
      <c r="H54" s="38"/>
      <c r="I54" s="41" t="str">
        <f t="shared" si="2"/>
        <v/>
      </c>
      <c r="J54" s="24"/>
      <c r="K54" s="32"/>
    </row>
    <row r="55" ht="16.5" customHeight="1">
      <c r="A55" s="1"/>
      <c r="B55" s="32"/>
      <c r="C55" s="32"/>
      <c r="D55" s="32"/>
      <c r="E55" s="32"/>
      <c r="F55" s="24"/>
      <c r="G55" s="38"/>
      <c r="H55" s="38"/>
      <c r="I55" s="41" t="str">
        <f t="shared" si="2"/>
        <v/>
      </c>
      <c r="J55" s="24"/>
      <c r="K55" s="32"/>
    </row>
    <row r="56" ht="16.5" customHeight="1">
      <c r="A56" s="1"/>
      <c r="B56" s="32"/>
      <c r="C56" s="32"/>
      <c r="D56" s="32"/>
      <c r="E56" s="32"/>
      <c r="F56" s="24"/>
      <c r="G56" s="38"/>
      <c r="H56" s="38"/>
      <c r="I56" s="41" t="str">
        <f t="shared" si="2"/>
        <v/>
      </c>
      <c r="J56" s="24"/>
      <c r="K56" s="32"/>
    </row>
    <row r="57" ht="16.5" customHeight="1">
      <c r="A57" s="1"/>
      <c r="B57" s="32"/>
      <c r="C57" s="32"/>
      <c r="D57" s="32"/>
      <c r="E57" s="32"/>
      <c r="F57" s="24"/>
      <c r="G57" s="38"/>
      <c r="H57" s="38"/>
      <c r="I57" s="41" t="str">
        <f t="shared" si="2"/>
        <v/>
      </c>
      <c r="J57" s="24"/>
      <c r="K57" s="32"/>
    </row>
    <row r="58" ht="16.5" customHeight="1">
      <c r="A58" s="1"/>
      <c r="B58" s="32"/>
      <c r="C58" s="32"/>
      <c r="D58" s="32"/>
      <c r="E58" s="32"/>
      <c r="F58" s="24"/>
      <c r="G58" s="38"/>
      <c r="H58" s="38"/>
      <c r="I58" s="41" t="str">
        <f t="shared" si="2"/>
        <v/>
      </c>
      <c r="J58" s="24"/>
      <c r="K58" s="32"/>
    </row>
    <row r="59" ht="16.5" customHeight="1">
      <c r="A59" s="1"/>
      <c r="B59" s="32"/>
      <c r="C59" s="32"/>
      <c r="D59" s="32"/>
      <c r="E59" s="32"/>
      <c r="F59" s="24"/>
      <c r="G59" s="38"/>
      <c r="H59" s="38"/>
      <c r="I59" s="41" t="str">
        <f t="shared" si="2"/>
        <v/>
      </c>
      <c r="J59" s="24"/>
      <c r="K59" s="32"/>
    </row>
    <row r="60" ht="16.5" customHeight="1">
      <c r="A60" s="1"/>
      <c r="B60" s="32"/>
      <c r="C60" s="32"/>
      <c r="D60" s="32"/>
      <c r="E60" s="32"/>
      <c r="F60" s="24"/>
      <c r="G60" s="38"/>
      <c r="H60" s="38"/>
      <c r="I60" s="41" t="str">
        <f t="shared" si="2"/>
        <v/>
      </c>
      <c r="J60" s="24"/>
      <c r="K60" s="3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673"/>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0"/>
    <col customWidth="1" min="2" max="2" width="7.43"/>
    <col customWidth="1" min="3" max="3" width="21.43"/>
    <col customWidth="1" min="4" max="4" width="58.29"/>
    <col customWidth="1" min="5" max="6" width="16.14"/>
    <col customWidth="1" min="7" max="7" width="10.71"/>
    <col customWidth="1" min="8" max="9" width="12.86"/>
    <col customWidth="1" min="10" max="10" width="10.71"/>
    <col customWidth="1" min="11" max="12" width="13.86"/>
    <col customWidth="1" min="13" max="14" width="21.43"/>
    <col customWidth="1" min="15" max="15" width="14.57"/>
    <col customWidth="1" min="16" max="17" width="12.86"/>
    <col customWidth="1" min="18" max="18" width="32.14"/>
  </cols>
  <sheetData>
    <row r="1" ht="16.5" customHeight="1">
      <c r="A1" s="1"/>
      <c r="B1" s="1"/>
      <c r="C1" s="1"/>
      <c r="D1" s="1"/>
      <c r="E1" s="1"/>
      <c r="F1" s="1"/>
      <c r="G1" s="1"/>
      <c r="H1" s="1"/>
      <c r="I1" s="1"/>
      <c r="J1" s="1"/>
      <c r="K1" s="1"/>
      <c r="L1" s="1"/>
      <c r="M1" s="1"/>
      <c r="N1" s="1"/>
      <c r="O1" s="1"/>
      <c r="P1" s="1"/>
      <c r="Q1" s="1"/>
      <c r="R1" s="1"/>
    </row>
    <row r="2" ht="33.75" customHeight="1">
      <c r="A2" s="2"/>
      <c r="B2" s="2" t="s">
        <v>1215</v>
      </c>
      <c r="C2" s="2"/>
      <c r="D2" s="2"/>
      <c r="E2" s="2"/>
      <c r="F2" s="2"/>
      <c r="G2" s="2"/>
      <c r="H2" s="2"/>
      <c r="I2" s="2"/>
      <c r="J2" s="2"/>
      <c r="K2" s="2"/>
      <c r="L2" s="2"/>
      <c r="M2" s="2"/>
      <c r="N2" s="2"/>
      <c r="O2" s="2"/>
      <c r="P2" s="2"/>
      <c r="Q2" s="2"/>
      <c r="R2" s="2"/>
    </row>
    <row r="3" ht="15.75" customHeight="1">
      <c r="A3" s="3"/>
      <c r="B3" s="3" t="s">
        <v>1216</v>
      </c>
      <c r="C3" s="3"/>
      <c r="D3" s="3"/>
      <c r="E3" s="3"/>
      <c r="F3" s="3"/>
      <c r="G3" s="3"/>
      <c r="H3" s="3"/>
      <c r="I3" s="3"/>
      <c r="J3" s="3"/>
      <c r="K3" s="3"/>
      <c r="L3" s="3"/>
      <c r="M3" s="3"/>
      <c r="N3" s="3"/>
      <c r="O3" s="3"/>
      <c r="P3" s="3"/>
      <c r="Q3" s="3"/>
      <c r="R3" s="3"/>
    </row>
    <row r="4" ht="16.5" customHeight="1">
      <c r="A4" s="1"/>
      <c r="B4" s="1"/>
      <c r="C4" s="1"/>
      <c r="D4" s="1"/>
      <c r="E4" s="1"/>
      <c r="F4" s="1"/>
      <c r="G4" s="1"/>
      <c r="H4" s="1"/>
      <c r="I4" s="1"/>
      <c r="J4" s="1"/>
      <c r="K4" s="1"/>
      <c r="L4" s="1"/>
      <c r="M4" s="1"/>
      <c r="N4" s="1"/>
      <c r="O4" s="1"/>
      <c r="P4" s="1"/>
      <c r="Q4" s="1"/>
      <c r="R4" s="1"/>
    </row>
    <row r="5" ht="16.5" customHeight="1">
      <c r="A5" s="1"/>
      <c r="B5" s="1"/>
      <c r="C5" s="1"/>
      <c r="D5" s="5" t="s">
        <v>1217</v>
      </c>
      <c r="E5" s="98" t="str">
        <f>"Total: "&amp;COUNTA(D7:D250)</f>
        <v>Total: 93</v>
      </c>
      <c r="F5" s="1"/>
      <c r="G5" s="98" t="str">
        <f>"Done: "&amp;COUNTIF(K7:K250,"Completed")</f>
        <v>Done: 1</v>
      </c>
      <c r="H5" s="1"/>
      <c r="I5" s="1"/>
      <c r="J5" s="98" t="str">
        <f>"Overdue: "&amp;COUNTIF(L7:L250,"OVERDUE")</f>
        <v>Overdue: 0</v>
      </c>
      <c r="K5" s="98" t="str">
        <f>"This week: "&amp;COUNTIF(L7:L250,"This week")</f>
        <v>This week: 1</v>
      </c>
      <c r="L5" s="1"/>
      <c r="M5" s="1"/>
      <c r="N5" s="1"/>
      <c r="O5" s="1"/>
      <c r="P5" s="1"/>
      <c r="Q5" s="1"/>
      <c r="R5" s="1"/>
    </row>
    <row r="6" ht="30.0" customHeight="1">
      <c r="A6" s="16"/>
      <c r="B6" s="17" t="s">
        <v>24</v>
      </c>
      <c r="C6" s="17" t="s">
        <v>55</v>
      </c>
      <c r="D6" s="17" t="s">
        <v>1226</v>
      </c>
      <c r="E6" s="17" t="s">
        <v>1223</v>
      </c>
      <c r="F6" s="17" t="s">
        <v>1227</v>
      </c>
      <c r="G6" s="17" t="s">
        <v>1228</v>
      </c>
      <c r="H6" s="17" t="s">
        <v>1229</v>
      </c>
      <c r="I6" s="17" t="s">
        <v>33</v>
      </c>
      <c r="J6" s="17" t="s">
        <v>1230</v>
      </c>
      <c r="K6" s="17" t="s">
        <v>88</v>
      </c>
      <c r="L6" s="17" t="s">
        <v>1231</v>
      </c>
      <c r="M6" s="17" t="s">
        <v>1232</v>
      </c>
      <c r="N6" s="17" t="s">
        <v>66</v>
      </c>
      <c r="O6" s="17" t="s">
        <v>1233</v>
      </c>
      <c r="P6" s="17" t="s">
        <v>1234</v>
      </c>
      <c r="Q6" s="17" t="s">
        <v>1235</v>
      </c>
      <c r="R6" s="17" t="s">
        <v>50</v>
      </c>
    </row>
    <row r="7" ht="16.5" customHeight="1">
      <c r="A7" s="1"/>
      <c r="B7" s="31" t="s">
        <v>1236</v>
      </c>
      <c r="C7" s="32" t="s">
        <v>363</v>
      </c>
      <c r="D7" s="32" t="s">
        <v>1237</v>
      </c>
      <c r="E7" s="32" t="s">
        <v>1038</v>
      </c>
      <c r="F7" s="32"/>
      <c r="G7" s="32" t="s">
        <v>1239</v>
      </c>
      <c r="H7" s="24"/>
      <c r="I7" s="24">
        <f>WeddingDate-360</f>
        <v>46273</v>
      </c>
      <c r="J7" s="101">
        <f t="shared" ref="J7:J250" si="1">IF($I7="","",$I7-TODAY())</f>
        <v>5</v>
      </c>
      <c r="K7" s="32" t="s">
        <v>117</v>
      </c>
      <c r="L7" s="32" t="str">
        <f t="shared" ref="L7:L250" si="2">IF($D7="","",IF($K7="Completed","Done",IF($K7="Cancelled","-",IF($I7="","No date",IF($I7&lt;TODAY(),"OVERDUE",IF($I7=TODAY(),"TODAY",IF($I7&lt;=TODAY()+7,"This week",IF($I7&lt;=TODAY()+30,"This month","Upcoming"))))))))</f>
        <v>This week</v>
      </c>
      <c r="M7" s="32"/>
      <c r="N7" s="32"/>
      <c r="O7" s="38"/>
      <c r="P7" s="32"/>
      <c r="Q7" s="24"/>
      <c r="R7" s="32"/>
    </row>
    <row r="8" ht="16.5" customHeight="1">
      <c r="A8" s="1"/>
      <c r="B8" s="31" t="s">
        <v>1246</v>
      </c>
      <c r="C8" s="32" t="s">
        <v>363</v>
      </c>
      <c r="D8" s="32" t="s">
        <v>1247</v>
      </c>
      <c r="E8" s="32" t="s">
        <v>1038</v>
      </c>
      <c r="F8" s="32"/>
      <c r="G8" s="32" t="s">
        <v>1249</v>
      </c>
      <c r="H8" s="24"/>
      <c r="I8" s="24">
        <f>WeddingDate-350</f>
        <v>46283</v>
      </c>
      <c r="J8" s="101">
        <f t="shared" si="1"/>
        <v>15</v>
      </c>
      <c r="K8" s="32" t="s">
        <v>117</v>
      </c>
      <c r="L8" s="32" t="str">
        <f t="shared" si="2"/>
        <v>This month</v>
      </c>
      <c r="M8" s="32"/>
      <c r="N8" s="32"/>
      <c r="O8" s="38"/>
      <c r="P8" s="32"/>
      <c r="Q8" s="24"/>
      <c r="R8" s="32"/>
    </row>
    <row r="9" ht="16.5" customHeight="1">
      <c r="A9" s="1"/>
      <c r="B9" s="31" t="s">
        <v>1252</v>
      </c>
      <c r="C9" s="32" t="s">
        <v>295</v>
      </c>
      <c r="D9" s="32" t="s">
        <v>1253</v>
      </c>
      <c r="E9" s="32" t="s">
        <v>1038</v>
      </c>
      <c r="F9" s="32"/>
      <c r="G9" s="32" t="s">
        <v>1239</v>
      </c>
      <c r="H9" s="24"/>
      <c r="I9" s="24">
        <f>WeddingDate-345</f>
        <v>46288</v>
      </c>
      <c r="J9" s="101">
        <f t="shared" si="1"/>
        <v>20</v>
      </c>
      <c r="K9" s="32" t="s">
        <v>117</v>
      </c>
      <c r="L9" s="32" t="str">
        <f t="shared" si="2"/>
        <v>This month</v>
      </c>
      <c r="M9" s="32"/>
      <c r="N9" s="32"/>
      <c r="O9" s="38"/>
      <c r="P9" s="32"/>
      <c r="Q9" s="24"/>
      <c r="R9" s="32"/>
    </row>
    <row r="10" ht="16.5" customHeight="1">
      <c r="A10" s="1"/>
      <c r="B10" s="31" t="s">
        <v>1257</v>
      </c>
      <c r="C10" s="32" t="s">
        <v>295</v>
      </c>
      <c r="D10" s="32" t="s">
        <v>1259</v>
      </c>
      <c r="E10" s="32" t="s">
        <v>217</v>
      </c>
      <c r="F10" s="32"/>
      <c r="G10" s="32" t="s">
        <v>1239</v>
      </c>
      <c r="H10" s="24"/>
      <c r="I10" s="24">
        <f>WeddingDate-340</f>
        <v>46293</v>
      </c>
      <c r="J10" s="101">
        <f t="shared" si="1"/>
        <v>25</v>
      </c>
      <c r="K10" s="32" t="s">
        <v>117</v>
      </c>
      <c r="L10" s="32" t="str">
        <f t="shared" si="2"/>
        <v>This month</v>
      </c>
      <c r="M10" s="32"/>
      <c r="N10" s="32"/>
      <c r="O10" s="38"/>
      <c r="P10" s="32"/>
      <c r="Q10" s="24"/>
      <c r="R10" s="32"/>
    </row>
    <row r="11" ht="16.5" customHeight="1">
      <c r="A11" s="1"/>
      <c r="B11" s="31" t="s">
        <v>1262</v>
      </c>
      <c r="C11" s="32" t="s">
        <v>295</v>
      </c>
      <c r="D11" s="32" t="s">
        <v>1263</v>
      </c>
      <c r="E11" s="32" t="s">
        <v>1038</v>
      </c>
      <c r="F11" s="32"/>
      <c r="G11" s="32" t="s">
        <v>1239</v>
      </c>
      <c r="H11" s="24"/>
      <c r="I11" s="24">
        <f>WeddingDate-330</f>
        <v>46303</v>
      </c>
      <c r="J11" s="101">
        <f t="shared" si="1"/>
        <v>35</v>
      </c>
      <c r="K11" s="32" t="s">
        <v>117</v>
      </c>
      <c r="L11" s="32" t="str">
        <f t="shared" si="2"/>
        <v>Upcoming</v>
      </c>
      <c r="M11" s="32"/>
      <c r="N11" s="32"/>
      <c r="O11" s="38"/>
      <c r="P11" s="32"/>
      <c r="Q11" s="24"/>
      <c r="R11" s="32"/>
    </row>
    <row r="12" ht="16.5" customHeight="1">
      <c r="A12" s="1"/>
      <c r="B12" s="31" t="s">
        <v>1266</v>
      </c>
      <c r="C12" s="32" t="s">
        <v>336</v>
      </c>
      <c r="D12" s="32" t="s">
        <v>1268</v>
      </c>
      <c r="E12" s="32" t="s">
        <v>1038</v>
      </c>
      <c r="F12" s="32"/>
      <c r="G12" s="32" t="s">
        <v>1239</v>
      </c>
      <c r="H12" s="24"/>
      <c r="I12" s="24">
        <f>WeddingDate-330</f>
        <v>46303</v>
      </c>
      <c r="J12" s="101">
        <f t="shared" si="1"/>
        <v>35</v>
      </c>
      <c r="K12" s="32" t="s">
        <v>117</v>
      </c>
      <c r="L12" s="32" t="str">
        <f t="shared" si="2"/>
        <v>Upcoming</v>
      </c>
      <c r="M12" s="32"/>
      <c r="N12" s="32"/>
      <c r="O12" s="38"/>
      <c r="P12" s="32"/>
      <c r="Q12" s="24"/>
      <c r="R12" s="32"/>
    </row>
    <row r="13" ht="16.5" customHeight="1">
      <c r="A13" s="1"/>
      <c r="B13" s="31" t="s">
        <v>1271</v>
      </c>
      <c r="C13" s="32" t="s">
        <v>295</v>
      </c>
      <c r="D13" s="32" t="s">
        <v>1272</v>
      </c>
      <c r="E13" s="32" t="s">
        <v>1038</v>
      </c>
      <c r="F13" s="32"/>
      <c r="G13" s="32" t="s">
        <v>1239</v>
      </c>
      <c r="H13" s="24"/>
      <c r="I13" s="24">
        <f>WeddingDate-320</f>
        <v>46313</v>
      </c>
      <c r="J13" s="101">
        <f t="shared" si="1"/>
        <v>45</v>
      </c>
      <c r="K13" s="32" t="s">
        <v>117</v>
      </c>
      <c r="L13" s="32" t="str">
        <f t="shared" si="2"/>
        <v>Upcoming</v>
      </c>
      <c r="M13" s="32"/>
      <c r="N13" s="32"/>
      <c r="O13" s="38"/>
      <c r="P13" s="32"/>
      <c r="Q13" s="24"/>
      <c r="R13" s="32"/>
    </row>
    <row r="14" ht="16.5" customHeight="1">
      <c r="A14" s="1"/>
      <c r="B14" s="31" t="s">
        <v>1276</v>
      </c>
      <c r="C14" s="32" t="s">
        <v>315</v>
      </c>
      <c r="D14" s="32" t="s">
        <v>1277</v>
      </c>
      <c r="E14" s="32" t="s">
        <v>1038</v>
      </c>
      <c r="F14" s="32"/>
      <c r="G14" s="32" t="s">
        <v>1249</v>
      </c>
      <c r="H14" s="24"/>
      <c r="I14" s="24">
        <f>WeddingDate-300</f>
        <v>46333</v>
      </c>
      <c r="J14" s="101">
        <f t="shared" si="1"/>
        <v>65</v>
      </c>
      <c r="K14" s="32" t="s">
        <v>117</v>
      </c>
      <c r="L14" s="32" t="str">
        <f t="shared" si="2"/>
        <v>Upcoming</v>
      </c>
      <c r="M14" s="32"/>
      <c r="N14" s="32"/>
      <c r="O14" s="38"/>
      <c r="P14" s="32"/>
      <c r="Q14" s="24"/>
      <c r="R14" s="32"/>
    </row>
    <row r="15" ht="16.5" customHeight="1">
      <c r="A15" s="1"/>
      <c r="B15" s="31" t="s">
        <v>1281</v>
      </c>
      <c r="C15" s="32" t="s">
        <v>316</v>
      </c>
      <c r="D15" s="32" t="s">
        <v>1282</v>
      </c>
      <c r="E15" s="32" t="s">
        <v>1038</v>
      </c>
      <c r="F15" s="32"/>
      <c r="G15" s="32" t="s">
        <v>1249</v>
      </c>
      <c r="H15" s="24"/>
      <c r="I15" s="24">
        <f>WeddingDate-300</f>
        <v>46333</v>
      </c>
      <c r="J15" s="101">
        <f t="shared" si="1"/>
        <v>65</v>
      </c>
      <c r="K15" s="32" t="s">
        <v>117</v>
      </c>
      <c r="L15" s="32" t="str">
        <f t="shared" si="2"/>
        <v>Upcoming</v>
      </c>
      <c r="M15" s="32"/>
      <c r="N15" s="32"/>
      <c r="O15" s="38"/>
      <c r="P15" s="32"/>
      <c r="Q15" s="24"/>
      <c r="R15" s="32"/>
    </row>
    <row r="16" ht="16.5" customHeight="1">
      <c r="A16" s="1"/>
      <c r="B16" s="31" t="s">
        <v>1286</v>
      </c>
      <c r="C16" s="32" t="s">
        <v>315</v>
      </c>
      <c r="D16" s="32" t="s">
        <v>1287</v>
      </c>
      <c r="E16" s="32" t="s">
        <v>1038</v>
      </c>
      <c r="F16" s="32"/>
      <c r="G16" s="32" t="s">
        <v>1239</v>
      </c>
      <c r="H16" s="24"/>
      <c r="I16" s="24">
        <f>WeddingDate-285</f>
        <v>46348</v>
      </c>
      <c r="J16" s="101">
        <f t="shared" si="1"/>
        <v>80</v>
      </c>
      <c r="K16" s="32" t="s">
        <v>117</v>
      </c>
      <c r="L16" s="32" t="str">
        <f t="shared" si="2"/>
        <v>Upcoming</v>
      </c>
      <c r="M16" s="32"/>
      <c r="N16" s="32"/>
      <c r="O16" s="38"/>
      <c r="P16" s="32"/>
      <c r="Q16" s="24"/>
      <c r="R16" s="32"/>
    </row>
    <row r="17" ht="16.5" customHeight="1">
      <c r="A17" s="1"/>
      <c r="B17" s="31" t="s">
        <v>1292</v>
      </c>
      <c r="C17" s="32" t="s">
        <v>316</v>
      </c>
      <c r="D17" s="32" t="s">
        <v>1293</v>
      </c>
      <c r="E17" s="32" t="s">
        <v>1038</v>
      </c>
      <c r="F17" s="32"/>
      <c r="G17" s="32" t="s">
        <v>1239</v>
      </c>
      <c r="H17" s="24"/>
      <c r="I17" s="24">
        <f>WeddingDate-285</f>
        <v>46348</v>
      </c>
      <c r="J17" s="101">
        <f t="shared" si="1"/>
        <v>80</v>
      </c>
      <c r="K17" s="32" t="s">
        <v>117</v>
      </c>
      <c r="L17" s="32" t="str">
        <f t="shared" si="2"/>
        <v>Upcoming</v>
      </c>
      <c r="M17" s="32"/>
      <c r="N17" s="32"/>
      <c r="O17" s="38"/>
      <c r="P17" s="32"/>
      <c r="Q17" s="24"/>
      <c r="R17" s="32"/>
    </row>
    <row r="18" ht="16.5" customHeight="1">
      <c r="A18" s="1"/>
      <c r="B18" s="31" t="s">
        <v>1296</v>
      </c>
      <c r="C18" s="32" t="s">
        <v>319</v>
      </c>
      <c r="D18" s="32" t="s">
        <v>1297</v>
      </c>
      <c r="E18" s="32" t="s">
        <v>1256</v>
      </c>
      <c r="F18" s="32"/>
      <c r="G18" s="32" t="s">
        <v>1239</v>
      </c>
      <c r="H18" s="24"/>
      <c r="I18" s="24">
        <f>WeddingDate-280</f>
        <v>46353</v>
      </c>
      <c r="J18" s="101">
        <f t="shared" si="1"/>
        <v>85</v>
      </c>
      <c r="K18" s="32" t="s">
        <v>117</v>
      </c>
      <c r="L18" s="32" t="str">
        <f t="shared" si="2"/>
        <v>Upcoming</v>
      </c>
      <c r="M18" s="32"/>
      <c r="N18" s="32"/>
      <c r="O18" s="38"/>
      <c r="P18" s="32"/>
      <c r="Q18" s="24"/>
      <c r="R18" s="32"/>
    </row>
    <row r="19" ht="16.5" customHeight="1">
      <c r="A19" s="1"/>
      <c r="B19" s="31" t="s">
        <v>1301</v>
      </c>
      <c r="C19" s="32" t="s">
        <v>327</v>
      </c>
      <c r="D19" s="32" t="s">
        <v>1302</v>
      </c>
      <c r="E19" s="32" t="s">
        <v>1256</v>
      </c>
      <c r="F19" s="32"/>
      <c r="G19" s="32" t="s">
        <v>1239</v>
      </c>
      <c r="H19" s="24"/>
      <c r="I19" s="24">
        <f>WeddingDate-275</f>
        <v>46358</v>
      </c>
      <c r="J19" s="101">
        <f t="shared" si="1"/>
        <v>90</v>
      </c>
      <c r="K19" s="32" t="s">
        <v>117</v>
      </c>
      <c r="L19" s="32" t="str">
        <f t="shared" si="2"/>
        <v>Upcoming</v>
      </c>
      <c r="M19" s="32"/>
      <c r="N19" s="32"/>
      <c r="O19" s="38"/>
      <c r="P19" s="32"/>
      <c r="Q19" s="24"/>
      <c r="R19" s="32"/>
    </row>
    <row r="20" ht="16.5" customHeight="1">
      <c r="A20" s="1"/>
      <c r="B20" s="31" t="s">
        <v>1306</v>
      </c>
      <c r="C20" s="32" t="s">
        <v>349</v>
      </c>
      <c r="D20" s="32" t="s">
        <v>1308</v>
      </c>
      <c r="E20" s="32" t="s">
        <v>1038</v>
      </c>
      <c r="F20" s="32"/>
      <c r="G20" s="32" t="s">
        <v>1239</v>
      </c>
      <c r="H20" s="24"/>
      <c r="I20" s="24">
        <f>WeddingDate-270</f>
        <v>46363</v>
      </c>
      <c r="J20" s="101">
        <f t="shared" si="1"/>
        <v>95</v>
      </c>
      <c r="K20" s="32" t="s">
        <v>117</v>
      </c>
      <c r="L20" s="32" t="str">
        <f t="shared" si="2"/>
        <v>Upcoming</v>
      </c>
      <c r="M20" s="32"/>
      <c r="N20" s="32"/>
      <c r="O20" s="38"/>
      <c r="P20" s="32"/>
      <c r="Q20" s="24"/>
      <c r="R20" s="32"/>
    </row>
    <row r="21" ht="16.5" customHeight="1">
      <c r="A21" s="1"/>
      <c r="B21" s="31" t="s">
        <v>1312</v>
      </c>
      <c r="C21" s="32" t="s">
        <v>349</v>
      </c>
      <c r="D21" s="32" t="s">
        <v>1313</v>
      </c>
      <c r="E21" s="32" t="s">
        <v>217</v>
      </c>
      <c r="F21" s="32"/>
      <c r="G21" s="32" t="s">
        <v>1239</v>
      </c>
      <c r="H21" s="24"/>
      <c r="I21" s="24">
        <f>WeddingDate-260</f>
        <v>46373</v>
      </c>
      <c r="J21" s="101">
        <f t="shared" si="1"/>
        <v>105</v>
      </c>
      <c r="K21" s="32" t="s">
        <v>117</v>
      </c>
      <c r="L21" s="32" t="str">
        <f t="shared" si="2"/>
        <v>Upcoming</v>
      </c>
      <c r="M21" s="32"/>
      <c r="N21" s="32"/>
      <c r="O21" s="38"/>
      <c r="P21" s="32"/>
      <c r="Q21" s="24"/>
      <c r="R21" s="32"/>
    </row>
    <row r="22" ht="16.5" customHeight="1">
      <c r="A22" s="1"/>
      <c r="B22" s="31" t="s">
        <v>1318</v>
      </c>
      <c r="C22" s="32" t="s">
        <v>348</v>
      </c>
      <c r="D22" s="32" t="s">
        <v>1319</v>
      </c>
      <c r="E22" s="32" t="s">
        <v>217</v>
      </c>
      <c r="F22" s="32"/>
      <c r="G22" s="32" t="s">
        <v>1249</v>
      </c>
      <c r="H22" s="24"/>
      <c r="I22" s="24">
        <f>WeddingDate-255</f>
        <v>46378</v>
      </c>
      <c r="J22" s="101">
        <f t="shared" si="1"/>
        <v>110</v>
      </c>
      <c r="K22" s="32" t="s">
        <v>117</v>
      </c>
      <c r="L22" s="32" t="str">
        <f t="shared" si="2"/>
        <v>Upcoming</v>
      </c>
      <c r="M22" s="32"/>
      <c r="N22" s="32"/>
      <c r="O22" s="38"/>
      <c r="P22" s="32"/>
      <c r="Q22" s="24"/>
      <c r="R22" s="32"/>
    </row>
    <row r="23" ht="16.5" customHeight="1">
      <c r="A23" s="1"/>
      <c r="B23" s="31" t="s">
        <v>1323</v>
      </c>
      <c r="C23" s="32" t="s">
        <v>309</v>
      </c>
      <c r="D23" s="32" t="s">
        <v>1325</v>
      </c>
      <c r="E23" s="32" t="s">
        <v>1038</v>
      </c>
      <c r="F23" s="32"/>
      <c r="G23" s="32" t="s">
        <v>1249</v>
      </c>
      <c r="H23" s="24"/>
      <c r="I23" s="24">
        <f>WeddingDate-250</f>
        <v>46383</v>
      </c>
      <c r="J23" s="101">
        <f t="shared" si="1"/>
        <v>115</v>
      </c>
      <c r="K23" s="32" t="s">
        <v>117</v>
      </c>
      <c r="L23" s="32" t="str">
        <f t="shared" si="2"/>
        <v>Upcoming</v>
      </c>
      <c r="M23" s="32"/>
      <c r="N23" s="32"/>
      <c r="O23" s="38"/>
      <c r="P23" s="32"/>
      <c r="Q23" s="24"/>
      <c r="R23" s="32"/>
    </row>
    <row r="24" ht="16.5" customHeight="1">
      <c r="A24" s="1"/>
      <c r="B24" s="31" t="s">
        <v>1328</v>
      </c>
      <c r="C24" s="32" t="s">
        <v>309</v>
      </c>
      <c r="D24" s="32" t="s">
        <v>1329</v>
      </c>
      <c r="E24" s="32" t="s">
        <v>1038</v>
      </c>
      <c r="F24" s="32"/>
      <c r="G24" s="32" t="s">
        <v>1239</v>
      </c>
      <c r="H24" s="24"/>
      <c r="I24" s="24">
        <f>WeddingDate-230</f>
        <v>46403</v>
      </c>
      <c r="J24" s="101">
        <f t="shared" si="1"/>
        <v>135</v>
      </c>
      <c r="K24" s="32" t="s">
        <v>117</v>
      </c>
      <c r="L24" s="32" t="str">
        <f t="shared" si="2"/>
        <v>Upcoming</v>
      </c>
      <c r="M24" s="32"/>
      <c r="N24" s="32"/>
      <c r="O24" s="38"/>
      <c r="P24" s="32"/>
      <c r="Q24" s="24"/>
      <c r="R24" s="32"/>
    </row>
    <row r="25" ht="16.5" customHeight="1">
      <c r="A25" s="1"/>
      <c r="B25" s="31" t="s">
        <v>1332</v>
      </c>
      <c r="C25" s="32" t="s">
        <v>336</v>
      </c>
      <c r="D25" s="32" t="s">
        <v>1334</v>
      </c>
      <c r="E25" s="32" t="s">
        <v>1038</v>
      </c>
      <c r="F25" s="32"/>
      <c r="G25" s="32" t="s">
        <v>1239</v>
      </c>
      <c r="H25" s="24"/>
      <c r="I25" s="24">
        <f>WeddingDate-240</f>
        <v>46393</v>
      </c>
      <c r="J25" s="101">
        <f t="shared" si="1"/>
        <v>125</v>
      </c>
      <c r="K25" s="32" t="s">
        <v>117</v>
      </c>
      <c r="L25" s="32" t="str">
        <f t="shared" si="2"/>
        <v>Upcoming</v>
      </c>
      <c r="M25" s="32"/>
      <c r="N25" s="32"/>
      <c r="O25" s="38"/>
      <c r="P25" s="32"/>
      <c r="Q25" s="24"/>
      <c r="R25" s="32"/>
    </row>
    <row r="26" ht="16.5" customHeight="1">
      <c r="A26" s="1"/>
      <c r="B26" s="31" t="s">
        <v>1337</v>
      </c>
      <c r="C26" s="32" t="s">
        <v>319</v>
      </c>
      <c r="D26" s="32" t="s">
        <v>1338</v>
      </c>
      <c r="E26" s="32" t="s">
        <v>129</v>
      </c>
      <c r="F26" s="32"/>
      <c r="G26" s="32" t="s">
        <v>1249</v>
      </c>
      <c r="H26" s="24"/>
      <c r="I26" s="24">
        <f>WeddingDate-230</f>
        <v>46403</v>
      </c>
      <c r="J26" s="101">
        <f t="shared" si="1"/>
        <v>135</v>
      </c>
      <c r="K26" s="32" t="s">
        <v>117</v>
      </c>
      <c r="L26" s="32" t="str">
        <f t="shared" si="2"/>
        <v>Upcoming</v>
      </c>
      <c r="M26" s="32"/>
      <c r="N26" s="32"/>
      <c r="O26" s="38"/>
      <c r="P26" s="32"/>
      <c r="Q26" s="24"/>
      <c r="R26" s="32"/>
    </row>
    <row r="27" ht="16.5" customHeight="1">
      <c r="A27" s="1"/>
      <c r="B27" s="31" t="s">
        <v>1341</v>
      </c>
      <c r="C27" s="32" t="s">
        <v>264</v>
      </c>
      <c r="D27" s="32" t="s">
        <v>1343</v>
      </c>
      <c r="E27" s="32" t="s">
        <v>1038</v>
      </c>
      <c r="F27" s="32"/>
      <c r="G27" s="32" t="s">
        <v>1249</v>
      </c>
      <c r="H27" s="24"/>
      <c r="I27" s="24">
        <f>WeddingDate-225</f>
        <v>46408</v>
      </c>
      <c r="J27" s="101">
        <f t="shared" si="1"/>
        <v>140</v>
      </c>
      <c r="K27" s="32" t="s">
        <v>117</v>
      </c>
      <c r="L27" s="32" t="str">
        <f t="shared" si="2"/>
        <v>Upcoming</v>
      </c>
      <c r="M27" s="32"/>
      <c r="N27" s="32"/>
      <c r="O27" s="38"/>
      <c r="P27" s="32"/>
      <c r="Q27" s="24"/>
      <c r="R27" s="32"/>
    </row>
    <row r="28" ht="16.5" customHeight="1">
      <c r="A28" s="1"/>
      <c r="B28" s="31" t="s">
        <v>1346</v>
      </c>
      <c r="C28" s="32" t="s">
        <v>355</v>
      </c>
      <c r="D28" s="32" t="s">
        <v>1347</v>
      </c>
      <c r="E28" s="32" t="s">
        <v>1038</v>
      </c>
      <c r="F28" s="32"/>
      <c r="G28" s="32" t="s">
        <v>1239</v>
      </c>
      <c r="H28" s="24"/>
      <c r="I28" s="24">
        <f>WeddingDate-220</f>
        <v>46413</v>
      </c>
      <c r="J28" s="101">
        <f t="shared" si="1"/>
        <v>145</v>
      </c>
      <c r="K28" s="32" t="s">
        <v>117</v>
      </c>
      <c r="L28" s="32" t="str">
        <f t="shared" si="2"/>
        <v>Upcoming</v>
      </c>
      <c r="M28" s="32"/>
      <c r="N28" s="32"/>
      <c r="O28" s="38"/>
      <c r="P28" s="32"/>
      <c r="Q28" s="24"/>
      <c r="R28" s="32"/>
    </row>
    <row r="29" ht="16.5" customHeight="1">
      <c r="A29" s="1"/>
      <c r="B29" s="31" t="s">
        <v>1350</v>
      </c>
      <c r="C29" s="32" t="s">
        <v>284</v>
      </c>
      <c r="D29" s="32" t="s">
        <v>1352</v>
      </c>
      <c r="E29" s="32" t="s">
        <v>1038</v>
      </c>
      <c r="F29" s="32"/>
      <c r="G29" s="32" t="s">
        <v>1353</v>
      </c>
      <c r="H29" s="24"/>
      <c r="I29" s="24">
        <f>WeddingDate-210</f>
        <v>46423</v>
      </c>
      <c r="J29" s="101">
        <f t="shared" si="1"/>
        <v>155</v>
      </c>
      <c r="K29" s="32" t="s">
        <v>117</v>
      </c>
      <c r="L29" s="32" t="str">
        <f t="shared" si="2"/>
        <v>Upcoming</v>
      </c>
      <c r="M29" s="32"/>
      <c r="N29" s="32"/>
      <c r="O29" s="38"/>
      <c r="P29" s="32"/>
      <c r="Q29" s="24"/>
      <c r="R29" s="32"/>
    </row>
    <row r="30" ht="16.5" customHeight="1">
      <c r="A30" s="1"/>
      <c r="B30" s="31" t="s">
        <v>1354</v>
      </c>
      <c r="C30" s="32" t="s">
        <v>348</v>
      </c>
      <c r="D30" s="32" t="s">
        <v>1355</v>
      </c>
      <c r="E30" s="32" t="s">
        <v>1038</v>
      </c>
      <c r="F30" s="32"/>
      <c r="G30" s="32" t="s">
        <v>1249</v>
      </c>
      <c r="H30" s="24"/>
      <c r="I30" s="24">
        <f>WeddingDate-200</f>
        <v>46433</v>
      </c>
      <c r="J30" s="101">
        <f t="shared" si="1"/>
        <v>165</v>
      </c>
      <c r="K30" s="32" t="s">
        <v>117</v>
      </c>
      <c r="L30" s="32" t="str">
        <f t="shared" si="2"/>
        <v>Upcoming</v>
      </c>
      <c r="M30" s="32"/>
      <c r="N30" s="32"/>
      <c r="O30" s="38"/>
      <c r="P30" s="32"/>
      <c r="Q30" s="24"/>
      <c r="R30" s="32"/>
    </row>
    <row r="31" ht="16.5" customHeight="1">
      <c r="A31" s="1"/>
      <c r="B31" s="31" t="s">
        <v>1356</v>
      </c>
      <c r="C31" s="32" t="s">
        <v>338</v>
      </c>
      <c r="D31" s="32" t="s">
        <v>1357</v>
      </c>
      <c r="E31" s="32" t="s">
        <v>217</v>
      </c>
      <c r="F31" s="32"/>
      <c r="G31" s="32" t="s">
        <v>1249</v>
      </c>
      <c r="H31" s="24"/>
      <c r="I31" s="24">
        <f>WeddingDate-190</f>
        <v>46443</v>
      </c>
      <c r="J31" s="101">
        <f t="shared" si="1"/>
        <v>175</v>
      </c>
      <c r="K31" s="32" t="s">
        <v>117</v>
      </c>
      <c r="L31" s="32" t="str">
        <f t="shared" si="2"/>
        <v>Upcoming</v>
      </c>
      <c r="M31" s="32"/>
      <c r="N31" s="32"/>
      <c r="O31" s="38"/>
      <c r="P31" s="32"/>
      <c r="Q31" s="24"/>
      <c r="R31" s="32"/>
    </row>
    <row r="32" ht="16.5" customHeight="1">
      <c r="A32" s="1"/>
      <c r="B32" s="31" t="s">
        <v>1358</v>
      </c>
      <c r="C32" s="32" t="s">
        <v>342</v>
      </c>
      <c r="D32" s="32" t="s">
        <v>1359</v>
      </c>
      <c r="E32" s="32" t="s">
        <v>1038</v>
      </c>
      <c r="F32" s="32"/>
      <c r="G32" s="32" t="s">
        <v>1353</v>
      </c>
      <c r="H32" s="24"/>
      <c r="I32" s="24">
        <f>WeddingDate-185</f>
        <v>46448</v>
      </c>
      <c r="J32" s="101">
        <f t="shared" si="1"/>
        <v>180</v>
      </c>
      <c r="K32" s="32" t="s">
        <v>117</v>
      </c>
      <c r="L32" s="32" t="str">
        <f t="shared" si="2"/>
        <v>Upcoming</v>
      </c>
      <c r="M32" s="32"/>
      <c r="N32" s="32"/>
      <c r="O32" s="38"/>
      <c r="P32" s="32"/>
      <c r="Q32" s="24"/>
      <c r="R32" s="32"/>
    </row>
    <row r="33" ht="16.5" customHeight="1">
      <c r="A33" s="1"/>
      <c r="B33" s="31" t="s">
        <v>1360</v>
      </c>
      <c r="C33" s="32" t="s">
        <v>333</v>
      </c>
      <c r="D33" s="32" t="s">
        <v>1361</v>
      </c>
      <c r="E33" s="32" t="s">
        <v>1038</v>
      </c>
      <c r="F33" s="32"/>
      <c r="G33" s="32" t="s">
        <v>1249</v>
      </c>
      <c r="H33" s="24"/>
      <c r="I33" s="24">
        <f>WeddingDate-180</f>
        <v>46453</v>
      </c>
      <c r="J33" s="101">
        <f t="shared" si="1"/>
        <v>185</v>
      </c>
      <c r="K33" s="32" t="s">
        <v>117</v>
      </c>
      <c r="L33" s="32" t="str">
        <f t="shared" si="2"/>
        <v>Upcoming</v>
      </c>
      <c r="M33" s="32"/>
      <c r="N33" s="32"/>
      <c r="O33" s="38"/>
      <c r="P33" s="32"/>
      <c r="Q33" s="24"/>
      <c r="R33" s="32"/>
    </row>
    <row r="34" ht="16.5" customHeight="1">
      <c r="A34" s="1"/>
      <c r="B34" s="31" t="s">
        <v>1362</v>
      </c>
      <c r="C34" s="32" t="s">
        <v>315</v>
      </c>
      <c r="D34" s="32" t="s">
        <v>1363</v>
      </c>
      <c r="E34" s="32" t="s">
        <v>1038</v>
      </c>
      <c r="F34" s="32"/>
      <c r="G34" s="32" t="s">
        <v>1353</v>
      </c>
      <c r="H34" s="24"/>
      <c r="I34" s="24">
        <f>WeddingDate-175</f>
        <v>46458</v>
      </c>
      <c r="J34" s="101">
        <f t="shared" si="1"/>
        <v>190</v>
      </c>
      <c r="K34" s="32" t="s">
        <v>117</v>
      </c>
      <c r="L34" s="32" t="str">
        <f t="shared" si="2"/>
        <v>Upcoming</v>
      </c>
      <c r="M34" s="32"/>
      <c r="N34" s="32"/>
      <c r="O34" s="38"/>
      <c r="P34" s="32"/>
      <c r="Q34" s="24"/>
      <c r="R34" s="32"/>
    </row>
    <row r="35" ht="16.5" customHeight="1">
      <c r="A35" s="1"/>
      <c r="B35" s="31" t="s">
        <v>1364</v>
      </c>
      <c r="C35" s="32" t="s">
        <v>319</v>
      </c>
      <c r="D35" s="32" t="s">
        <v>1365</v>
      </c>
      <c r="E35" s="32" t="s">
        <v>1256</v>
      </c>
      <c r="F35" s="32"/>
      <c r="G35" s="32" t="s">
        <v>1249</v>
      </c>
      <c r="H35" s="24"/>
      <c r="I35" s="24">
        <f>WeddingDate-165</f>
        <v>46468</v>
      </c>
      <c r="J35" s="101">
        <f t="shared" si="1"/>
        <v>200</v>
      </c>
      <c r="K35" s="32" t="s">
        <v>117</v>
      </c>
      <c r="L35" s="32" t="str">
        <f t="shared" si="2"/>
        <v>Upcoming</v>
      </c>
      <c r="M35" s="32"/>
      <c r="N35" s="32"/>
      <c r="O35" s="38"/>
      <c r="P35" s="32"/>
      <c r="Q35" s="24"/>
      <c r="R35" s="32"/>
    </row>
    <row r="36" ht="16.5" customHeight="1">
      <c r="A36" s="1"/>
      <c r="B36" s="31" t="s">
        <v>1366</v>
      </c>
      <c r="C36" s="32" t="s">
        <v>327</v>
      </c>
      <c r="D36" s="32" t="s">
        <v>1367</v>
      </c>
      <c r="E36" s="32" t="s">
        <v>1256</v>
      </c>
      <c r="F36" s="32"/>
      <c r="G36" s="32" t="s">
        <v>1353</v>
      </c>
      <c r="H36" s="24"/>
      <c r="I36" s="24">
        <f>WeddingDate-160</f>
        <v>46473</v>
      </c>
      <c r="J36" s="101">
        <f t="shared" si="1"/>
        <v>205</v>
      </c>
      <c r="K36" s="32" t="s">
        <v>117</v>
      </c>
      <c r="L36" s="32" t="str">
        <f t="shared" si="2"/>
        <v>Upcoming</v>
      </c>
      <c r="M36" s="32"/>
      <c r="N36" s="32"/>
      <c r="O36" s="38"/>
      <c r="P36" s="32"/>
      <c r="Q36" s="24"/>
      <c r="R36" s="32"/>
    </row>
    <row r="37" ht="16.5" customHeight="1">
      <c r="A37" s="1"/>
      <c r="B37" s="31" t="s">
        <v>1368</v>
      </c>
      <c r="C37" s="32" t="s">
        <v>336</v>
      </c>
      <c r="D37" s="32" t="s">
        <v>1369</v>
      </c>
      <c r="E37" s="32" t="s">
        <v>1038</v>
      </c>
      <c r="F37" s="32"/>
      <c r="G37" s="32" t="s">
        <v>1249</v>
      </c>
      <c r="H37" s="24"/>
      <c r="I37" s="24">
        <f>WeddingDate-155</f>
        <v>46478</v>
      </c>
      <c r="J37" s="101">
        <f t="shared" si="1"/>
        <v>210</v>
      </c>
      <c r="K37" s="32" t="s">
        <v>117</v>
      </c>
      <c r="L37" s="32" t="str">
        <f t="shared" si="2"/>
        <v>Upcoming</v>
      </c>
      <c r="M37" s="32"/>
      <c r="N37" s="32"/>
      <c r="O37" s="38"/>
      <c r="P37" s="32"/>
      <c r="Q37" s="24"/>
      <c r="R37" s="32"/>
    </row>
    <row r="38" ht="16.5" customHeight="1">
      <c r="A38" s="1"/>
      <c r="B38" s="31" t="s">
        <v>1371</v>
      </c>
      <c r="C38" s="32" t="s">
        <v>356</v>
      </c>
      <c r="D38" s="32" t="s">
        <v>1372</v>
      </c>
      <c r="E38" s="32" t="s">
        <v>1038</v>
      </c>
      <c r="F38" s="32"/>
      <c r="G38" s="32" t="s">
        <v>1239</v>
      </c>
      <c r="H38" s="24"/>
      <c r="I38" s="24">
        <f>WeddingDate-150</f>
        <v>46483</v>
      </c>
      <c r="J38" s="101">
        <f t="shared" si="1"/>
        <v>215</v>
      </c>
      <c r="K38" s="32" t="s">
        <v>117</v>
      </c>
      <c r="L38" s="32" t="str">
        <f t="shared" si="2"/>
        <v>Upcoming</v>
      </c>
      <c r="M38" s="32"/>
      <c r="N38" s="32"/>
      <c r="O38" s="38"/>
      <c r="P38" s="32"/>
      <c r="Q38" s="24"/>
      <c r="R38" s="32"/>
    </row>
    <row r="39" ht="16.5" customHeight="1">
      <c r="A39" s="1"/>
      <c r="B39" s="31" t="s">
        <v>1374</v>
      </c>
      <c r="C39" s="32" t="s">
        <v>301</v>
      </c>
      <c r="D39" s="32" t="s">
        <v>1375</v>
      </c>
      <c r="E39" s="32" t="s">
        <v>1038</v>
      </c>
      <c r="F39" s="32"/>
      <c r="G39" s="32" t="s">
        <v>1353</v>
      </c>
      <c r="H39" s="24"/>
      <c r="I39" s="24">
        <f>WeddingDate-150</f>
        <v>46483</v>
      </c>
      <c r="J39" s="101">
        <f t="shared" si="1"/>
        <v>215</v>
      </c>
      <c r="K39" s="32" t="s">
        <v>117</v>
      </c>
      <c r="L39" s="32" t="str">
        <f t="shared" si="2"/>
        <v>Upcoming</v>
      </c>
      <c r="M39" s="32"/>
      <c r="N39" s="32"/>
      <c r="O39" s="38"/>
      <c r="P39" s="32"/>
      <c r="Q39" s="24"/>
      <c r="R39" s="32"/>
    </row>
    <row r="40" ht="16.5" customHeight="1">
      <c r="A40" s="1"/>
      <c r="B40" s="31" t="s">
        <v>1376</v>
      </c>
      <c r="C40" s="32" t="s">
        <v>333</v>
      </c>
      <c r="D40" s="32" t="s">
        <v>1377</v>
      </c>
      <c r="E40" s="32" t="s">
        <v>1038</v>
      </c>
      <c r="F40" s="32"/>
      <c r="G40" s="32" t="s">
        <v>1239</v>
      </c>
      <c r="H40" s="24"/>
      <c r="I40" s="24">
        <f>WeddingDate-145</f>
        <v>46488</v>
      </c>
      <c r="J40" s="101">
        <f t="shared" si="1"/>
        <v>220</v>
      </c>
      <c r="K40" s="32" t="s">
        <v>117</v>
      </c>
      <c r="L40" s="32" t="str">
        <f t="shared" si="2"/>
        <v>Upcoming</v>
      </c>
      <c r="M40" s="32"/>
      <c r="N40" s="32"/>
      <c r="O40" s="38"/>
      <c r="P40" s="32"/>
      <c r="Q40" s="24"/>
      <c r="R40" s="32"/>
    </row>
    <row r="41" ht="16.5" customHeight="1">
      <c r="A41" s="1"/>
      <c r="B41" s="31" t="s">
        <v>1378</v>
      </c>
      <c r="C41" s="32" t="s">
        <v>333</v>
      </c>
      <c r="D41" s="32" t="s">
        <v>1379</v>
      </c>
      <c r="E41" s="32" t="s">
        <v>1038</v>
      </c>
      <c r="F41" s="32"/>
      <c r="G41" s="32" t="s">
        <v>1249</v>
      </c>
      <c r="H41" s="24"/>
      <c r="I41" s="24">
        <f>WeddingDate-135</f>
        <v>46498</v>
      </c>
      <c r="J41" s="101">
        <f t="shared" si="1"/>
        <v>230</v>
      </c>
      <c r="K41" s="32" t="s">
        <v>117</v>
      </c>
      <c r="L41" s="32" t="str">
        <f t="shared" si="2"/>
        <v>Upcoming</v>
      </c>
      <c r="M41" s="32"/>
      <c r="N41" s="32"/>
      <c r="O41" s="38"/>
      <c r="P41" s="32"/>
      <c r="Q41" s="24"/>
      <c r="R41" s="32"/>
    </row>
    <row r="42" ht="16.5" customHeight="1">
      <c r="A42" s="1"/>
      <c r="B42" s="31" t="s">
        <v>1380</v>
      </c>
      <c r="C42" s="32" t="s">
        <v>264</v>
      </c>
      <c r="D42" s="32" t="s">
        <v>1381</v>
      </c>
      <c r="E42" s="32" t="s">
        <v>1256</v>
      </c>
      <c r="F42" s="32"/>
      <c r="G42" s="32" t="s">
        <v>1249</v>
      </c>
      <c r="H42" s="24"/>
      <c r="I42" s="24">
        <f>WeddingDate-130</f>
        <v>46503</v>
      </c>
      <c r="J42" s="101">
        <f t="shared" si="1"/>
        <v>235</v>
      </c>
      <c r="K42" s="32" t="s">
        <v>117</v>
      </c>
      <c r="L42" s="32" t="str">
        <f t="shared" si="2"/>
        <v>Upcoming</v>
      </c>
      <c r="M42" s="32"/>
      <c r="N42" s="32"/>
      <c r="O42" s="38"/>
      <c r="P42" s="32"/>
      <c r="Q42" s="24"/>
      <c r="R42" s="32"/>
    </row>
    <row r="43" ht="16.5" customHeight="1">
      <c r="A43" s="1"/>
      <c r="B43" s="31" t="s">
        <v>1388</v>
      </c>
      <c r="C43" s="32" t="s">
        <v>264</v>
      </c>
      <c r="D43" s="32" t="s">
        <v>1389</v>
      </c>
      <c r="E43" s="32" t="s">
        <v>1038</v>
      </c>
      <c r="F43" s="32"/>
      <c r="G43" s="32" t="s">
        <v>1239</v>
      </c>
      <c r="H43" s="24"/>
      <c r="I43" s="24">
        <f>WeddingDate-130</f>
        <v>46503</v>
      </c>
      <c r="J43" s="101">
        <f t="shared" si="1"/>
        <v>235</v>
      </c>
      <c r="K43" s="36" t="s">
        <v>273</v>
      </c>
      <c r="L43" s="32" t="str">
        <f t="shared" si="2"/>
        <v>Done</v>
      </c>
      <c r="M43" s="32"/>
      <c r="N43" s="32"/>
      <c r="O43" s="38"/>
      <c r="P43" s="36" t="s">
        <v>114</v>
      </c>
      <c r="Q43" s="24"/>
      <c r="R43" s="32"/>
    </row>
    <row r="44" ht="16.5" customHeight="1">
      <c r="A44" s="1"/>
      <c r="B44" s="31" t="s">
        <v>1401</v>
      </c>
      <c r="C44" s="32" t="s">
        <v>315</v>
      </c>
      <c r="D44" s="32" t="s">
        <v>1404</v>
      </c>
      <c r="E44" s="32" t="s">
        <v>1038</v>
      </c>
      <c r="F44" s="32"/>
      <c r="G44" s="32" t="s">
        <v>1353</v>
      </c>
      <c r="H44" s="24"/>
      <c r="I44" s="24">
        <f>WeddingDate-125</f>
        <v>46508</v>
      </c>
      <c r="J44" s="101">
        <f t="shared" si="1"/>
        <v>240</v>
      </c>
      <c r="K44" s="32" t="s">
        <v>117</v>
      </c>
      <c r="L44" s="32" t="str">
        <f t="shared" si="2"/>
        <v>Upcoming</v>
      </c>
      <c r="M44" s="32"/>
      <c r="N44" s="32"/>
      <c r="O44" s="38"/>
      <c r="P44" s="32"/>
      <c r="Q44" s="24"/>
      <c r="R44" s="32"/>
    </row>
    <row r="45" ht="16.5" customHeight="1">
      <c r="A45" s="1"/>
      <c r="B45" s="31" t="s">
        <v>1416</v>
      </c>
      <c r="C45" s="32" t="s">
        <v>319</v>
      </c>
      <c r="D45" s="32" t="s">
        <v>1417</v>
      </c>
      <c r="E45" s="32" t="s">
        <v>1256</v>
      </c>
      <c r="F45" s="32"/>
      <c r="G45" s="32" t="s">
        <v>1353</v>
      </c>
      <c r="H45" s="24"/>
      <c r="I45" s="24">
        <f>WeddingDate-120</f>
        <v>46513</v>
      </c>
      <c r="J45" s="101">
        <f t="shared" si="1"/>
        <v>245</v>
      </c>
      <c r="K45" s="32" t="s">
        <v>117</v>
      </c>
      <c r="L45" s="32" t="str">
        <f t="shared" si="2"/>
        <v>Upcoming</v>
      </c>
      <c r="M45" s="32"/>
      <c r="N45" s="32"/>
      <c r="O45" s="38"/>
      <c r="P45" s="32"/>
      <c r="Q45" s="24"/>
      <c r="R45" s="32"/>
    </row>
    <row r="46" ht="16.5" customHeight="1">
      <c r="A46" s="1"/>
      <c r="B46" s="31" t="s">
        <v>1418</v>
      </c>
      <c r="C46" s="32" t="s">
        <v>327</v>
      </c>
      <c r="D46" s="32" t="s">
        <v>1419</v>
      </c>
      <c r="E46" s="32" t="s">
        <v>1256</v>
      </c>
      <c r="F46" s="32"/>
      <c r="G46" s="32" t="s">
        <v>1249</v>
      </c>
      <c r="H46" s="24"/>
      <c r="I46" s="24">
        <f>WeddingDate-110</f>
        <v>46523</v>
      </c>
      <c r="J46" s="101">
        <f t="shared" si="1"/>
        <v>255</v>
      </c>
      <c r="K46" s="32" t="s">
        <v>117</v>
      </c>
      <c r="L46" s="32" t="str">
        <f t="shared" si="2"/>
        <v>Upcoming</v>
      </c>
      <c r="M46" s="32"/>
      <c r="N46" s="32"/>
      <c r="O46" s="38"/>
      <c r="P46" s="32"/>
      <c r="Q46" s="24"/>
      <c r="R46" s="32"/>
    </row>
    <row r="47" ht="16.5" customHeight="1">
      <c r="A47" s="1"/>
      <c r="B47" s="31" t="s">
        <v>1420</v>
      </c>
      <c r="C47" s="32" t="s">
        <v>333</v>
      </c>
      <c r="D47" s="32" t="s">
        <v>1421</v>
      </c>
      <c r="E47" s="32" t="s">
        <v>1038</v>
      </c>
      <c r="F47" s="32"/>
      <c r="G47" s="32" t="s">
        <v>1239</v>
      </c>
      <c r="H47" s="24"/>
      <c r="I47" s="24">
        <f>WeddingDate-100</f>
        <v>46533</v>
      </c>
      <c r="J47" s="101">
        <f t="shared" si="1"/>
        <v>265</v>
      </c>
      <c r="K47" s="32" t="s">
        <v>117</v>
      </c>
      <c r="L47" s="32" t="str">
        <f t="shared" si="2"/>
        <v>Upcoming</v>
      </c>
      <c r="M47" s="32"/>
      <c r="N47" s="32"/>
      <c r="O47" s="38"/>
      <c r="P47" s="32"/>
      <c r="Q47" s="24"/>
      <c r="R47" s="32"/>
    </row>
    <row r="48" ht="16.5" customHeight="1">
      <c r="A48" s="1"/>
      <c r="B48" s="31" t="s">
        <v>1423</v>
      </c>
      <c r="C48" s="32" t="s">
        <v>336</v>
      </c>
      <c r="D48" s="32" t="s">
        <v>1424</v>
      </c>
      <c r="E48" s="32" t="s">
        <v>1038</v>
      </c>
      <c r="F48" s="32"/>
      <c r="G48" s="32" t="s">
        <v>1249</v>
      </c>
      <c r="H48" s="24"/>
      <c r="I48" s="24">
        <f>WeddingDate-95</f>
        <v>46538</v>
      </c>
      <c r="J48" s="101">
        <f t="shared" si="1"/>
        <v>270</v>
      </c>
      <c r="K48" s="32" t="s">
        <v>117</v>
      </c>
      <c r="L48" s="32" t="str">
        <f t="shared" si="2"/>
        <v>Upcoming</v>
      </c>
      <c r="M48" s="32"/>
      <c r="N48" s="32"/>
      <c r="O48" s="38"/>
      <c r="P48" s="32"/>
      <c r="Q48" s="24"/>
      <c r="R48" s="32"/>
    </row>
    <row r="49" ht="16.5" customHeight="1">
      <c r="A49" s="1"/>
      <c r="B49" s="31" t="s">
        <v>1427</v>
      </c>
      <c r="C49" s="32" t="s">
        <v>309</v>
      </c>
      <c r="D49" s="32" t="s">
        <v>1428</v>
      </c>
      <c r="E49" s="32" t="s">
        <v>1038</v>
      </c>
      <c r="F49" s="32"/>
      <c r="G49" s="32" t="s">
        <v>1249</v>
      </c>
      <c r="H49" s="24"/>
      <c r="I49" s="24">
        <f>WeddingDate-90</f>
        <v>46543</v>
      </c>
      <c r="J49" s="101">
        <f t="shared" si="1"/>
        <v>275</v>
      </c>
      <c r="K49" s="32" t="s">
        <v>117</v>
      </c>
      <c r="L49" s="32" t="str">
        <f t="shared" si="2"/>
        <v>Upcoming</v>
      </c>
      <c r="M49" s="32"/>
      <c r="N49" s="32"/>
      <c r="O49" s="38"/>
      <c r="P49" s="32"/>
      <c r="Q49" s="24"/>
      <c r="R49" s="32"/>
    </row>
    <row r="50" ht="16.5" customHeight="1">
      <c r="A50" s="1"/>
      <c r="B50" s="31" t="s">
        <v>1429</v>
      </c>
      <c r="C50" s="32" t="s">
        <v>355</v>
      </c>
      <c r="D50" s="32" t="s">
        <v>1430</v>
      </c>
      <c r="E50" s="32" t="s">
        <v>1038</v>
      </c>
      <c r="F50" s="32"/>
      <c r="G50" s="32" t="s">
        <v>1239</v>
      </c>
      <c r="H50" s="24"/>
      <c r="I50" s="24">
        <f>WeddingDate-90</f>
        <v>46543</v>
      </c>
      <c r="J50" s="101">
        <f t="shared" si="1"/>
        <v>275</v>
      </c>
      <c r="K50" s="32" t="s">
        <v>117</v>
      </c>
      <c r="L50" s="32" t="str">
        <f t="shared" si="2"/>
        <v>Upcoming</v>
      </c>
      <c r="M50" s="32"/>
      <c r="N50" s="32"/>
      <c r="O50" s="38"/>
      <c r="P50" s="32"/>
      <c r="Q50" s="24"/>
      <c r="R50" s="32"/>
    </row>
    <row r="51" ht="16.5" customHeight="1">
      <c r="A51" s="1"/>
      <c r="B51" s="31" t="s">
        <v>1433</v>
      </c>
      <c r="C51" s="32" t="s">
        <v>355</v>
      </c>
      <c r="D51" s="32" t="s">
        <v>1434</v>
      </c>
      <c r="E51" s="32" t="s">
        <v>1038</v>
      </c>
      <c r="F51" s="32"/>
      <c r="G51" s="32" t="s">
        <v>1239</v>
      </c>
      <c r="H51" s="24"/>
      <c r="I51" s="24">
        <f>WeddingDate-85</f>
        <v>46548</v>
      </c>
      <c r="J51" s="101">
        <f t="shared" si="1"/>
        <v>280</v>
      </c>
      <c r="K51" s="32" t="s">
        <v>117</v>
      </c>
      <c r="L51" s="32" t="str">
        <f t="shared" si="2"/>
        <v>Upcoming</v>
      </c>
      <c r="M51" s="32"/>
      <c r="N51" s="32"/>
      <c r="O51" s="38"/>
      <c r="P51" s="32"/>
      <c r="Q51" s="24"/>
      <c r="R51" s="32"/>
    </row>
    <row r="52" ht="16.5" customHeight="1">
      <c r="A52" s="1"/>
      <c r="B52" s="31" t="s">
        <v>1437</v>
      </c>
      <c r="C52" s="32" t="s">
        <v>355</v>
      </c>
      <c r="D52" s="32" t="s">
        <v>1438</v>
      </c>
      <c r="E52" s="32" t="s">
        <v>1038</v>
      </c>
      <c r="F52" s="32"/>
      <c r="G52" s="32" t="s">
        <v>1239</v>
      </c>
      <c r="H52" s="24"/>
      <c r="I52" s="24">
        <f>WeddingDate-80</f>
        <v>46553</v>
      </c>
      <c r="J52" s="101">
        <f t="shared" si="1"/>
        <v>285</v>
      </c>
      <c r="K52" s="32" t="s">
        <v>117</v>
      </c>
      <c r="L52" s="32" t="str">
        <f t="shared" si="2"/>
        <v>Upcoming</v>
      </c>
      <c r="M52" s="32"/>
      <c r="N52" s="32"/>
      <c r="O52" s="38"/>
      <c r="P52" s="32"/>
      <c r="Q52" s="24"/>
      <c r="R52" s="32"/>
    </row>
    <row r="53" ht="16.5" customHeight="1">
      <c r="A53" s="1"/>
      <c r="B53" s="31" t="s">
        <v>1441</v>
      </c>
      <c r="C53" s="32" t="s">
        <v>338</v>
      </c>
      <c r="D53" s="32" t="s">
        <v>1442</v>
      </c>
      <c r="E53" s="32" t="s">
        <v>360</v>
      </c>
      <c r="F53" s="32"/>
      <c r="G53" s="32" t="s">
        <v>1353</v>
      </c>
      <c r="H53" s="24"/>
      <c r="I53" s="24">
        <f>WeddingDate-75</f>
        <v>46558</v>
      </c>
      <c r="J53" s="101">
        <f t="shared" si="1"/>
        <v>290</v>
      </c>
      <c r="K53" s="32" t="s">
        <v>117</v>
      </c>
      <c r="L53" s="32" t="str">
        <f t="shared" si="2"/>
        <v>Upcoming</v>
      </c>
      <c r="M53" s="32"/>
      <c r="N53" s="32"/>
      <c r="O53" s="38"/>
      <c r="P53" s="32"/>
      <c r="Q53" s="24"/>
      <c r="R53" s="32"/>
    </row>
    <row r="54" ht="16.5" customHeight="1">
      <c r="A54" s="1"/>
      <c r="B54" s="31" t="s">
        <v>1443</v>
      </c>
      <c r="C54" s="32" t="s">
        <v>356</v>
      </c>
      <c r="D54" s="32" t="s">
        <v>1445</v>
      </c>
      <c r="E54" s="32" t="s">
        <v>1038</v>
      </c>
      <c r="F54" s="32"/>
      <c r="G54" s="32" t="s">
        <v>1249</v>
      </c>
      <c r="H54" s="24"/>
      <c r="I54" s="24">
        <f>WeddingDate-70</f>
        <v>46563</v>
      </c>
      <c r="J54" s="101">
        <f t="shared" si="1"/>
        <v>295</v>
      </c>
      <c r="K54" s="32" t="s">
        <v>117</v>
      </c>
      <c r="L54" s="32" t="str">
        <f t="shared" si="2"/>
        <v>Upcoming</v>
      </c>
      <c r="M54" s="32"/>
      <c r="N54" s="32"/>
      <c r="O54" s="38"/>
      <c r="P54" s="32"/>
      <c r="Q54" s="24"/>
      <c r="R54" s="32"/>
    </row>
    <row r="55" ht="16.5" customHeight="1">
      <c r="A55" s="1"/>
      <c r="B55" s="31" t="s">
        <v>1447</v>
      </c>
      <c r="C55" s="32" t="s">
        <v>348</v>
      </c>
      <c r="D55" s="32" t="s">
        <v>1284</v>
      </c>
      <c r="E55" s="32" t="s">
        <v>1038</v>
      </c>
      <c r="F55" s="32"/>
      <c r="G55" s="32" t="s">
        <v>1353</v>
      </c>
      <c r="H55" s="24"/>
      <c r="I55" s="24">
        <f>WeddingDate-65</f>
        <v>46568</v>
      </c>
      <c r="J55" s="101">
        <f t="shared" si="1"/>
        <v>300</v>
      </c>
      <c r="K55" s="32" t="s">
        <v>117</v>
      </c>
      <c r="L55" s="32" t="str">
        <f t="shared" si="2"/>
        <v>Upcoming</v>
      </c>
      <c r="M55" s="32"/>
      <c r="N55" s="32"/>
      <c r="O55" s="38"/>
      <c r="P55" s="32"/>
      <c r="Q55" s="24"/>
      <c r="R55" s="32"/>
    </row>
    <row r="56" ht="16.5" customHeight="1">
      <c r="A56" s="1"/>
      <c r="B56" s="31" t="s">
        <v>1450</v>
      </c>
      <c r="C56" s="32" t="s">
        <v>336</v>
      </c>
      <c r="D56" s="32" t="s">
        <v>1451</v>
      </c>
      <c r="E56" s="32" t="s">
        <v>1038</v>
      </c>
      <c r="F56" s="32"/>
      <c r="G56" s="32" t="s">
        <v>1249</v>
      </c>
      <c r="H56" s="24"/>
      <c r="I56" s="24">
        <f>WeddingDate-60</f>
        <v>46573</v>
      </c>
      <c r="J56" s="101">
        <f t="shared" si="1"/>
        <v>305</v>
      </c>
      <c r="K56" s="32" t="s">
        <v>117</v>
      </c>
      <c r="L56" s="32" t="str">
        <f t="shared" si="2"/>
        <v>Upcoming</v>
      </c>
      <c r="M56" s="32"/>
      <c r="N56" s="32"/>
      <c r="O56" s="38"/>
      <c r="P56" s="32"/>
      <c r="Q56" s="24"/>
      <c r="R56" s="32"/>
    </row>
    <row r="57" ht="16.5" customHeight="1">
      <c r="A57" s="1"/>
      <c r="B57" s="31" t="s">
        <v>1454</v>
      </c>
      <c r="C57" s="32" t="s">
        <v>319</v>
      </c>
      <c r="D57" s="32" t="s">
        <v>1455</v>
      </c>
      <c r="E57" s="32" t="s">
        <v>1256</v>
      </c>
      <c r="F57" s="32"/>
      <c r="G57" s="32" t="s">
        <v>1249</v>
      </c>
      <c r="H57" s="24"/>
      <c r="I57" s="24">
        <f>WeddingDate-60</f>
        <v>46573</v>
      </c>
      <c r="J57" s="101">
        <f t="shared" si="1"/>
        <v>305</v>
      </c>
      <c r="K57" s="32" t="s">
        <v>117</v>
      </c>
      <c r="L57" s="32" t="str">
        <f t="shared" si="2"/>
        <v>Upcoming</v>
      </c>
      <c r="M57" s="32"/>
      <c r="N57" s="32"/>
      <c r="O57" s="38"/>
      <c r="P57" s="32"/>
      <c r="Q57" s="24"/>
      <c r="R57" s="32"/>
    </row>
    <row r="58" ht="16.5" customHeight="1">
      <c r="A58" s="1"/>
      <c r="B58" s="31" t="s">
        <v>1458</v>
      </c>
      <c r="C58" s="32" t="s">
        <v>362</v>
      </c>
      <c r="D58" s="32" t="s">
        <v>1459</v>
      </c>
      <c r="E58" s="32" t="s">
        <v>1038</v>
      </c>
      <c r="F58" s="32"/>
      <c r="G58" s="32" t="s">
        <v>1353</v>
      </c>
      <c r="H58" s="24"/>
      <c r="I58" s="24">
        <f>WeddingDate-55</f>
        <v>46578</v>
      </c>
      <c r="J58" s="101">
        <f t="shared" si="1"/>
        <v>310</v>
      </c>
      <c r="K58" s="32" t="s">
        <v>117</v>
      </c>
      <c r="L58" s="32" t="str">
        <f t="shared" si="2"/>
        <v>Upcoming</v>
      </c>
      <c r="M58" s="32"/>
      <c r="N58" s="32"/>
      <c r="O58" s="38"/>
      <c r="P58" s="32"/>
      <c r="Q58" s="24"/>
      <c r="R58" s="32"/>
    </row>
    <row r="59" ht="16.5" customHeight="1">
      <c r="A59" s="1"/>
      <c r="B59" s="31" t="s">
        <v>1462</v>
      </c>
      <c r="C59" s="32" t="s">
        <v>315</v>
      </c>
      <c r="D59" s="32" t="s">
        <v>1463</v>
      </c>
      <c r="E59" s="32" t="s">
        <v>1038</v>
      </c>
      <c r="F59" s="32"/>
      <c r="G59" s="32" t="s">
        <v>1249</v>
      </c>
      <c r="H59" s="24"/>
      <c r="I59" s="24">
        <f>WeddingDate-50</f>
        <v>46583</v>
      </c>
      <c r="J59" s="101">
        <f t="shared" si="1"/>
        <v>315</v>
      </c>
      <c r="K59" s="32" t="s">
        <v>117</v>
      </c>
      <c r="L59" s="32" t="str">
        <f t="shared" si="2"/>
        <v>Upcoming</v>
      </c>
      <c r="M59" s="32"/>
      <c r="N59" s="32"/>
      <c r="O59" s="38"/>
      <c r="P59" s="32"/>
      <c r="Q59" s="24"/>
      <c r="R59" s="32"/>
    </row>
    <row r="60" ht="16.5" customHeight="1">
      <c r="A60" s="1"/>
      <c r="B60" s="31" t="s">
        <v>1464</v>
      </c>
      <c r="C60" s="32" t="s">
        <v>342</v>
      </c>
      <c r="D60" s="32" t="s">
        <v>1465</v>
      </c>
      <c r="E60" s="32" t="s">
        <v>1038</v>
      </c>
      <c r="F60" s="32"/>
      <c r="G60" s="32" t="s">
        <v>1249</v>
      </c>
      <c r="H60" s="24"/>
      <c r="I60" s="24">
        <f>WeddingDate-45</f>
        <v>46588</v>
      </c>
      <c r="J60" s="101">
        <f t="shared" si="1"/>
        <v>320</v>
      </c>
      <c r="K60" s="32" t="s">
        <v>117</v>
      </c>
      <c r="L60" s="32" t="str">
        <f t="shared" si="2"/>
        <v>Upcoming</v>
      </c>
      <c r="M60" s="32"/>
      <c r="N60" s="32"/>
      <c r="O60" s="38"/>
      <c r="P60" s="32"/>
      <c r="Q60" s="24"/>
      <c r="R60" s="32"/>
    </row>
    <row r="61" ht="16.5" customHeight="1">
      <c r="A61" s="1"/>
      <c r="B61" s="31" t="s">
        <v>1468</v>
      </c>
      <c r="C61" s="32" t="s">
        <v>327</v>
      </c>
      <c r="D61" s="32" t="s">
        <v>1469</v>
      </c>
      <c r="E61" s="32" t="s">
        <v>1256</v>
      </c>
      <c r="F61" s="32"/>
      <c r="G61" s="32" t="s">
        <v>1353</v>
      </c>
      <c r="H61" s="24"/>
      <c r="I61" s="24">
        <f>WeddingDate-45</f>
        <v>46588</v>
      </c>
      <c r="J61" s="101">
        <f t="shared" si="1"/>
        <v>320</v>
      </c>
      <c r="K61" s="32" t="s">
        <v>117</v>
      </c>
      <c r="L61" s="32" t="str">
        <f t="shared" si="2"/>
        <v>Upcoming</v>
      </c>
      <c r="M61" s="32"/>
      <c r="N61" s="32"/>
      <c r="O61" s="38"/>
      <c r="P61" s="32"/>
      <c r="Q61" s="24"/>
      <c r="R61" s="32"/>
    </row>
    <row r="62" ht="16.5" customHeight="1">
      <c r="A62" s="1"/>
      <c r="B62" s="31" t="s">
        <v>1472</v>
      </c>
      <c r="C62" s="32" t="s">
        <v>356</v>
      </c>
      <c r="D62" s="32" t="s">
        <v>1473</v>
      </c>
      <c r="E62" s="32" t="s">
        <v>1038</v>
      </c>
      <c r="F62" s="32"/>
      <c r="G62" s="32" t="s">
        <v>1353</v>
      </c>
      <c r="H62" s="24"/>
      <c r="I62" s="24">
        <f>WeddingDate-40</f>
        <v>46593</v>
      </c>
      <c r="J62" s="101">
        <f t="shared" si="1"/>
        <v>325</v>
      </c>
      <c r="K62" s="32" t="s">
        <v>117</v>
      </c>
      <c r="L62" s="32" t="str">
        <f t="shared" si="2"/>
        <v>Upcoming</v>
      </c>
      <c r="M62" s="32"/>
      <c r="N62" s="32"/>
      <c r="O62" s="38"/>
      <c r="P62" s="32"/>
      <c r="Q62" s="24"/>
      <c r="R62" s="32"/>
    </row>
    <row r="63" ht="16.5" customHeight="1">
      <c r="A63" s="1"/>
      <c r="B63" s="31" t="s">
        <v>1474</v>
      </c>
      <c r="C63" s="32" t="s">
        <v>336</v>
      </c>
      <c r="D63" s="32" t="s">
        <v>1475</v>
      </c>
      <c r="E63" s="32" t="s">
        <v>1038</v>
      </c>
      <c r="F63" s="32"/>
      <c r="G63" s="32" t="s">
        <v>1239</v>
      </c>
      <c r="H63" s="24"/>
      <c r="I63" s="24">
        <f>WeddingDate-35</f>
        <v>46598</v>
      </c>
      <c r="J63" s="101">
        <f t="shared" si="1"/>
        <v>330</v>
      </c>
      <c r="K63" s="32" t="s">
        <v>117</v>
      </c>
      <c r="L63" s="32" t="str">
        <f t="shared" si="2"/>
        <v>Upcoming</v>
      </c>
      <c r="M63" s="32"/>
      <c r="N63" s="32"/>
      <c r="O63" s="38"/>
      <c r="P63" s="32"/>
      <c r="Q63" s="24"/>
      <c r="R63" s="32"/>
    </row>
    <row r="64" ht="16.5" customHeight="1">
      <c r="A64" s="1"/>
      <c r="B64" s="31" t="s">
        <v>1479</v>
      </c>
      <c r="C64" s="32" t="s">
        <v>336</v>
      </c>
      <c r="D64" s="32" t="s">
        <v>1480</v>
      </c>
      <c r="E64" s="32" t="s">
        <v>1038</v>
      </c>
      <c r="F64" s="32"/>
      <c r="G64" s="32" t="s">
        <v>1239</v>
      </c>
      <c r="H64" s="24"/>
      <c r="I64" s="24">
        <f>WeddingDate-30</f>
        <v>46603</v>
      </c>
      <c r="J64" s="101">
        <f t="shared" si="1"/>
        <v>335</v>
      </c>
      <c r="K64" s="32" t="s">
        <v>117</v>
      </c>
      <c r="L64" s="32" t="str">
        <f t="shared" si="2"/>
        <v>Upcoming</v>
      </c>
      <c r="M64" s="32"/>
      <c r="N64" s="32"/>
      <c r="O64" s="38"/>
      <c r="P64" s="32"/>
      <c r="Q64" s="24"/>
      <c r="R64" s="32"/>
    </row>
    <row r="65" ht="16.5" customHeight="1">
      <c r="A65" s="1"/>
      <c r="B65" s="31" t="s">
        <v>1484</v>
      </c>
      <c r="C65" s="32" t="s">
        <v>366</v>
      </c>
      <c r="D65" s="32" t="s">
        <v>1485</v>
      </c>
      <c r="E65" s="32" t="s">
        <v>360</v>
      </c>
      <c r="F65" s="32"/>
      <c r="G65" s="32" t="s">
        <v>1239</v>
      </c>
      <c r="H65" s="24"/>
      <c r="I65" s="24">
        <f>WeddingDate-28</f>
        <v>46605</v>
      </c>
      <c r="J65" s="101">
        <f t="shared" si="1"/>
        <v>337</v>
      </c>
      <c r="K65" s="32" t="s">
        <v>117</v>
      </c>
      <c r="L65" s="32" t="str">
        <f t="shared" si="2"/>
        <v>Upcoming</v>
      </c>
      <c r="M65" s="32"/>
      <c r="N65" s="32"/>
      <c r="O65" s="38"/>
      <c r="P65" s="32"/>
      <c r="Q65" s="24"/>
      <c r="R65" s="32"/>
    </row>
    <row r="66" ht="16.5" customHeight="1">
      <c r="A66" s="1"/>
      <c r="B66" s="31" t="s">
        <v>1488</v>
      </c>
      <c r="C66" s="32" t="s">
        <v>363</v>
      </c>
      <c r="D66" s="32" t="s">
        <v>1489</v>
      </c>
      <c r="E66" s="32" t="s">
        <v>1038</v>
      </c>
      <c r="F66" s="32"/>
      <c r="G66" s="32" t="s">
        <v>1239</v>
      </c>
      <c r="H66" s="24"/>
      <c r="I66" s="24">
        <f>WeddingDate-28</f>
        <v>46605</v>
      </c>
      <c r="J66" s="101">
        <f t="shared" si="1"/>
        <v>337</v>
      </c>
      <c r="K66" s="32" t="s">
        <v>117</v>
      </c>
      <c r="L66" s="32" t="str">
        <f t="shared" si="2"/>
        <v>Upcoming</v>
      </c>
      <c r="M66" s="32"/>
      <c r="N66" s="32"/>
      <c r="O66" s="38"/>
      <c r="P66" s="32"/>
      <c r="Q66" s="24"/>
      <c r="R66" s="32"/>
    </row>
    <row r="67" ht="16.5" customHeight="1">
      <c r="A67" s="1"/>
      <c r="B67" s="31" t="s">
        <v>1493</v>
      </c>
      <c r="C67" s="32" t="s">
        <v>319</v>
      </c>
      <c r="D67" s="32" t="s">
        <v>1494</v>
      </c>
      <c r="E67" s="32" t="s">
        <v>1256</v>
      </c>
      <c r="F67" s="32"/>
      <c r="G67" s="32" t="s">
        <v>1239</v>
      </c>
      <c r="H67" s="24"/>
      <c r="I67" s="24">
        <f>WeddingDate-25</f>
        <v>46608</v>
      </c>
      <c r="J67" s="101">
        <f t="shared" si="1"/>
        <v>340</v>
      </c>
      <c r="K67" s="32" t="s">
        <v>117</v>
      </c>
      <c r="L67" s="32" t="str">
        <f t="shared" si="2"/>
        <v>Upcoming</v>
      </c>
      <c r="M67" s="32"/>
      <c r="N67" s="32"/>
      <c r="O67" s="38"/>
      <c r="P67" s="32"/>
      <c r="Q67" s="24"/>
      <c r="R67" s="32"/>
    </row>
    <row r="68" ht="16.5" customHeight="1">
      <c r="A68" s="1"/>
      <c r="B68" s="31" t="s">
        <v>1497</v>
      </c>
      <c r="C68" s="32" t="s">
        <v>319</v>
      </c>
      <c r="D68" s="32" t="s">
        <v>1258</v>
      </c>
      <c r="E68" s="32" t="s">
        <v>129</v>
      </c>
      <c r="F68" s="32"/>
      <c r="G68" s="32" t="s">
        <v>1249</v>
      </c>
      <c r="H68" s="24"/>
      <c r="I68" s="24">
        <f>WeddingDate-25</f>
        <v>46608</v>
      </c>
      <c r="J68" s="101">
        <f t="shared" si="1"/>
        <v>340</v>
      </c>
      <c r="K68" s="32" t="s">
        <v>117</v>
      </c>
      <c r="L68" s="32" t="str">
        <f t="shared" si="2"/>
        <v>Upcoming</v>
      </c>
      <c r="M68" s="32"/>
      <c r="N68" s="32"/>
      <c r="O68" s="38"/>
      <c r="P68" s="32"/>
      <c r="Q68" s="24"/>
      <c r="R68" s="32"/>
    </row>
    <row r="69" ht="16.5" customHeight="1">
      <c r="A69" s="1"/>
      <c r="B69" s="31" t="s">
        <v>1500</v>
      </c>
      <c r="C69" s="32" t="s">
        <v>366</v>
      </c>
      <c r="D69" s="32" t="s">
        <v>1502</v>
      </c>
      <c r="E69" s="32" t="s">
        <v>360</v>
      </c>
      <c r="F69" s="32"/>
      <c r="G69" s="32" t="s">
        <v>1239</v>
      </c>
      <c r="H69" s="24"/>
      <c r="I69" s="24">
        <f>WeddingDate-21</f>
        <v>46612</v>
      </c>
      <c r="J69" s="101">
        <f t="shared" si="1"/>
        <v>344</v>
      </c>
      <c r="K69" s="32" t="s">
        <v>117</v>
      </c>
      <c r="L69" s="32" t="str">
        <f t="shared" si="2"/>
        <v>Upcoming</v>
      </c>
      <c r="M69" s="32"/>
      <c r="N69" s="32"/>
      <c r="O69" s="38"/>
      <c r="P69" s="32"/>
      <c r="Q69" s="24"/>
      <c r="R69" s="32"/>
    </row>
    <row r="70" ht="16.5" customHeight="1">
      <c r="A70" s="1"/>
      <c r="B70" s="31" t="s">
        <v>1504</v>
      </c>
      <c r="C70" s="32" t="s">
        <v>356</v>
      </c>
      <c r="D70" s="32" t="s">
        <v>1505</v>
      </c>
      <c r="E70" s="32" t="s">
        <v>1038</v>
      </c>
      <c r="F70" s="32"/>
      <c r="G70" s="32" t="s">
        <v>1239</v>
      </c>
      <c r="H70" s="24"/>
      <c r="I70" s="24">
        <f>WeddingDate-21</f>
        <v>46612</v>
      </c>
      <c r="J70" s="101">
        <f t="shared" si="1"/>
        <v>344</v>
      </c>
      <c r="K70" s="32" t="s">
        <v>117</v>
      </c>
      <c r="L70" s="32" t="str">
        <f t="shared" si="2"/>
        <v>Upcoming</v>
      </c>
      <c r="M70" s="32"/>
      <c r="N70" s="32"/>
      <c r="O70" s="38"/>
      <c r="P70" s="32"/>
      <c r="Q70" s="24"/>
      <c r="R70" s="32"/>
    </row>
    <row r="71" ht="16.5" customHeight="1">
      <c r="A71" s="1"/>
      <c r="B71" s="31" t="s">
        <v>1509</v>
      </c>
      <c r="C71" s="32" t="s">
        <v>301</v>
      </c>
      <c r="D71" s="32" t="s">
        <v>1510</v>
      </c>
      <c r="E71" s="32" t="s">
        <v>1038</v>
      </c>
      <c r="F71" s="32"/>
      <c r="G71" s="32" t="s">
        <v>1249</v>
      </c>
      <c r="H71" s="24"/>
      <c r="I71" s="24">
        <f>WeddingDate-21</f>
        <v>46612</v>
      </c>
      <c r="J71" s="101">
        <f t="shared" si="1"/>
        <v>344</v>
      </c>
      <c r="K71" s="32" t="s">
        <v>117</v>
      </c>
      <c r="L71" s="32" t="str">
        <f t="shared" si="2"/>
        <v>Upcoming</v>
      </c>
      <c r="M71" s="32"/>
      <c r="N71" s="32"/>
      <c r="O71" s="38"/>
      <c r="P71" s="32"/>
      <c r="Q71" s="24"/>
      <c r="R71" s="32"/>
    </row>
    <row r="72" ht="16.5" customHeight="1">
      <c r="A72" s="1"/>
      <c r="B72" s="31" t="s">
        <v>1512</v>
      </c>
      <c r="C72" s="32" t="s">
        <v>309</v>
      </c>
      <c r="D72" s="32" t="s">
        <v>1513</v>
      </c>
      <c r="E72" s="32" t="s">
        <v>1038</v>
      </c>
      <c r="F72" s="32"/>
      <c r="G72" s="32" t="s">
        <v>1249</v>
      </c>
      <c r="H72" s="24"/>
      <c r="I72" s="24">
        <f>WeddingDate-21</f>
        <v>46612</v>
      </c>
      <c r="J72" s="101">
        <f t="shared" si="1"/>
        <v>344</v>
      </c>
      <c r="K72" s="32" t="s">
        <v>117</v>
      </c>
      <c r="L72" s="32" t="str">
        <f t="shared" si="2"/>
        <v>Upcoming</v>
      </c>
      <c r="M72" s="32"/>
      <c r="N72" s="32"/>
      <c r="O72" s="38"/>
      <c r="P72" s="32"/>
      <c r="Q72" s="24"/>
      <c r="R72" s="32"/>
    </row>
    <row r="73" ht="16.5" customHeight="1">
      <c r="A73" s="1"/>
      <c r="B73" s="31" t="s">
        <v>1516</v>
      </c>
      <c r="C73" s="32" t="s">
        <v>333</v>
      </c>
      <c r="D73" s="32" t="s">
        <v>1518</v>
      </c>
      <c r="E73" s="32" t="s">
        <v>1038</v>
      </c>
      <c r="F73" s="32"/>
      <c r="G73" s="32" t="s">
        <v>1353</v>
      </c>
      <c r="H73" s="24"/>
      <c r="I73" s="24">
        <f>WeddingDate-18</f>
        <v>46615</v>
      </c>
      <c r="J73" s="101">
        <f t="shared" si="1"/>
        <v>347</v>
      </c>
      <c r="K73" s="32" t="s">
        <v>117</v>
      </c>
      <c r="L73" s="32" t="str">
        <f t="shared" si="2"/>
        <v>Upcoming</v>
      </c>
      <c r="M73" s="32"/>
      <c r="N73" s="32"/>
      <c r="O73" s="38"/>
      <c r="P73" s="32"/>
      <c r="Q73" s="24"/>
      <c r="R73" s="32"/>
    </row>
    <row r="74" ht="16.5" customHeight="1">
      <c r="A74" s="1"/>
      <c r="B74" s="31" t="s">
        <v>1522</v>
      </c>
      <c r="C74" s="32" t="s">
        <v>366</v>
      </c>
      <c r="D74" s="32" t="s">
        <v>1523</v>
      </c>
      <c r="E74" s="32" t="s">
        <v>360</v>
      </c>
      <c r="F74" s="32"/>
      <c r="G74" s="32" t="s">
        <v>1249</v>
      </c>
      <c r="H74" s="24"/>
      <c r="I74" s="24">
        <f>WeddingDate-14</f>
        <v>46619</v>
      </c>
      <c r="J74" s="101">
        <f t="shared" si="1"/>
        <v>351</v>
      </c>
      <c r="K74" s="32" t="s">
        <v>117</v>
      </c>
      <c r="L74" s="32" t="str">
        <f t="shared" si="2"/>
        <v>Upcoming</v>
      </c>
      <c r="M74" s="32"/>
      <c r="N74" s="32"/>
      <c r="O74" s="38"/>
      <c r="P74" s="32"/>
      <c r="Q74" s="24"/>
      <c r="R74" s="32"/>
    </row>
    <row r="75" ht="16.5" customHeight="1">
      <c r="A75" s="1"/>
      <c r="B75" s="31" t="s">
        <v>1526</v>
      </c>
      <c r="C75" s="32" t="s">
        <v>336</v>
      </c>
      <c r="D75" s="32" t="s">
        <v>1527</v>
      </c>
      <c r="E75" s="32" t="s">
        <v>1038</v>
      </c>
      <c r="F75" s="32"/>
      <c r="G75" s="32" t="s">
        <v>1249</v>
      </c>
      <c r="H75" s="24"/>
      <c r="I75" s="24">
        <f>WeddingDate-14</f>
        <v>46619</v>
      </c>
      <c r="J75" s="101">
        <f t="shared" si="1"/>
        <v>351</v>
      </c>
      <c r="K75" s="32" t="s">
        <v>117</v>
      </c>
      <c r="L75" s="32" t="str">
        <f t="shared" si="2"/>
        <v>Upcoming</v>
      </c>
      <c r="M75" s="32"/>
      <c r="N75" s="32"/>
      <c r="O75" s="38"/>
      <c r="P75" s="32"/>
      <c r="Q75" s="24"/>
      <c r="R75" s="32"/>
    </row>
    <row r="76" ht="16.5" customHeight="1">
      <c r="A76" s="1"/>
      <c r="B76" s="31" t="s">
        <v>1532</v>
      </c>
      <c r="C76" s="32" t="s">
        <v>327</v>
      </c>
      <c r="D76" s="32" t="s">
        <v>1533</v>
      </c>
      <c r="E76" s="32" t="s">
        <v>1256</v>
      </c>
      <c r="F76" s="32"/>
      <c r="G76" s="32" t="s">
        <v>1353</v>
      </c>
      <c r="H76" s="24"/>
      <c r="I76" s="24">
        <f>WeddingDate-14</f>
        <v>46619</v>
      </c>
      <c r="J76" s="101">
        <f t="shared" si="1"/>
        <v>351</v>
      </c>
      <c r="K76" s="32" t="s">
        <v>117</v>
      </c>
      <c r="L76" s="32" t="str">
        <f t="shared" si="2"/>
        <v>Upcoming</v>
      </c>
      <c r="M76" s="32"/>
      <c r="N76" s="32"/>
      <c r="O76" s="38"/>
      <c r="P76" s="32"/>
      <c r="Q76" s="24"/>
      <c r="R76" s="32"/>
    </row>
    <row r="77" ht="16.5" customHeight="1">
      <c r="A77" s="1"/>
      <c r="B77" s="31" t="s">
        <v>1538</v>
      </c>
      <c r="C77" s="32" t="s">
        <v>363</v>
      </c>
      <c r="D77" s="32" t="s">
        <v>1540</v>
      </c>
      <c r="E77" s="32" t="s">
        <v>1038</v>
      </c>
      <c r="F77" s="32"/>
      <c r="G77" s="32" t="s">
        <v>1239</v>
      </c>
      <c r="H77" s="24"/>
      <c r="I77" s="24">
        <f>WeddingDate-14</f>
        <v>46619</v>
      </c>
      <c r="J77" s="101">
        <f t="shared" si="1"/>
        <v>351</v>
      </c>
      <c r="K77" s="32" t="s">
        <v>117</v>
      </c>
      <c r="L77" s="32" t="str">
        <f t="shared" si="2"/>
        <v>Upcoming</v>
      </c>
      <c r="M77" s="32"/>
      <c r="N77" s="32"/>
      <c r="O77" s="38"/>
      <c r="P77" s="32"/>
      <c r="Q77" s="24"/>
      <c r="R77" s="32"/>
    </row>
    <row r="78" ht="16.5" customHeight="1">
      <c r="A78" s="1"/>
      <c r="B78" s="31" t="s">
        <v>1541</v>
      </c>
      <c r="C78" s="32" t="s">
        <v>349</v>
      </c>
      <c r="D78" s="32" t="s">
        <v>1543</v>
      </c>
      <c r="E78" s="32" t="s">
        <v>217</v>
      </c>
      <c r="F78" s="32"/>
      <c r="G78" s="32" t="s">
        <v>1239</v>
      </c>
      <c r="H78" s="24"/>
      <c r="I78" s="24">
        <f>WeddingDate-10</f>
        <v>46623</v>
      </c>
      <c r="J78" s="101">
        <f t="shared" si="1"/>
        <v>355</v>
      </c>
      <c r="K78" s="32" t="s">
        <v>117</v>
      </c>
      <c r="L78" s="32" t="str">
        <f t="shared" si="2"/>
        <v>Upcoming</v>
      </c>
      <c r="M78" s="32"/>
      <c r="N78" s="32"/>
      <c r="O78" s="38"/>
      <c r="P78" s="32"/>
      <c r="Q78" s="24"/>
      <c r="R78" s="32"/>
    </row>
    <row r="79" ht="16.5" customHeight="1">
      <c r="A79" s="1"/>
      <c r="B79" s="31" t="s">
        <v>1546</v>
      </c>
      <c r="C79" s="32" t="s">
        <v>349</v>
      </c>
      <c r="D79" s="32" t="s">
        <v>1547</v>
      </c>
      <c r="E79" s="32" t="s">
        <v>217</v>
      </c>
      <c r="F79" s="32"/>
      <c r="G79" s="32" t="s">
        <v>1249</v>
      </c>
      <c r="H79" s="24"/>
      <c r="I79" s="24">
        <f>WeddingDate-10</f>
        <v>46623</v>
      </c>
      <c r="J79" s="101">
        <f t="shared" si="1"/>
        <v>355</v>
      </c>
      <c r="K79" s="32" t="s">
        <v>117</v>
      </c>
      <c r="L79" s="32" t="str">
        <f t="shared" si="2"/>
        <v>Upcoming</v>
      </c>
      <c r="M79" s="32"/>
      <c r="N79" s="32"/>
      <c r="O79" s="38"/>
      <c r="P79" s="32"/>
      <c r="Q79" s="24"/>
      <c r="R79" s="32"/>
    </row>
    <row r="80" ht="16.5" customHeight="1">
      <c r="A80" s="1"/>
      <c r="B80" s="31" t="s">
        <v>1552</v>
      </c>
      <c r="C80" s="32" t="s">
        <v>366</v>
      </c>
      <c r="D80" s="32" t="s">
        <v>1553</v>
      </c>
      <c r="E80" s="32" t="s">
        <v>360</v>
      </c>
      <c r="F80" s="32"/>
      <c r="G80" s="32" t="s">
        <v>1239</v>
      </c>
      <c r="H80" s="24"/>
      <c r="I80" s="24">
        <f>WeddingDate-10</f>
        <v>46623</v>
      </c>
      <c r="J80" s="101">
        <f t="shared" si="1"/>
        <v>355</v>
      </c>
      <c r="K80" s="32" t="s">
        <v>117</v>
      </c>
      <c r="L80" s="32" t="str">
        <f t="shared" si="2"/>
        <v>Upcoming</v>
      </c>
      <c r="M80" s="32"/>
      <c r="N80" s="32"/>
      <c r="O80" s="38"/>
      <c r="P80" s="32"/>
      <c r="Q80" s="24"/>
      <c r="R80" s="32"/>
    </row>
    <row r="81" ht="16.5" customHeight="1">
      <c r="A81" s="1"/>
      <c r="B81" s="31" t="s">
        <v>1555</v>
      </c>
      <c r="C81" s="32" t="s">
        <v>355</v>
      </c>
      <c r="D81" s="32" t="s">
        <v>1557</v>
      </c>
      <c r="E81" s="32" t="s">
        <v>1038</v>
      </c>
      <c r="F81" s="32"/>
      <c r="G81" s="32" t="s">
        <v>1239</v>
      </c>
      <c r="H81" s="24"/>
      <c r="I81" s="24">
        <f>WeddingDate-7</f>
        <v>46626</v>
      </c>
      <c r="J81" s="101">
        <f t="shared" si="1"/>
        <v>358</v>
      </c>
      <c r="K81" s="32" t="s">
        <v>117</v>
      </c>
      <c r="L81" s="32" t="str">
        <f t="shared" si="2"/>
        <v>Upcoming</v>
      </c>
      <c r="M81" s="32"/>
      <c r="N81" s="32"/>
      <c r="O81" s="38"/>
      <c r="P81" s="32"/>
      <c r="Q81" s="24"/>
      <c r="R81" s="32"/>
    </row>
    <row r="82" ht="16.5" customHeight="1">
      <c r="A82" s="1"/>
      <c r="B82" s="31" t="s">
        <v>1566</v>
      </c>
      <c r="C82" s="32" t="s">
        <v>327</v>
      </c>
      <c r="D82" s="32" t="s">
        <v>1280</v>
      </c>
      <c r="E82" s="32" t="s">
        <v>129</v>
      </c>
      <c r="F82" s="32"/>
      <c r="G82" s="32" t="s">
        <v>1249</v>
      </c>
      <c r="H82" s="24"/>
      <c r="I82" s="24">
        <f>WeddingDate-7</f>
        <v>46626</v>
      </c>
      <c r="J82" s="101">
        <f t="shared" si="1"/>
        <v>358</v>
      </c>
      <c r="K82" s="32" t="s">
        <v>117</v>
      </c>
      <c r="L82" s="32" t="str">
        <f t="shared" si="2"/>
        <v>Upcoming</v>
      </c>
      <c r="M82" s="32"/>
      <c r="N82" s="32"/>
      <c r="O82" s="38"/>
      <c r="P82" s="32"/>
      <c r="Q82" s="24"/>
      <c r="R82" s="32"/>
    </row>
    <row r="83" ht="16.5" customHeight="1">
      <c r="A83" s="1"/>
      <c r="B83" s="31" t="s">
        <v>1570</v>
      </c>
      <c r="C83" s="32" t="s">
        <v>327</v>
      </c>
      <c r="D83" s="32" t="s">
        <v>1571</v>
      </c>
      <c r="E83" s="32" t="s">
        <v>1256</v>
      </c>
      <c r="F83" s="32"/>
      <c r="G83" s="32" t="s">
        <v>1353</v>
      </c>
      <c r="H83" s="24"/>
      <c r="I83" s="24">
        <f>WeddingDate-5</f>
        <v>46628</v>
      </c>
      <c r="J83" s="101">
        <f t="shared" si="1"/>
        <v>360</v>
      </c>
      <c r="K83" s="32" t="s">
        <v>117</v>
      </c>
      <c r="L83" s="32" t="str">
        <f t="shared" si="2"/>
        <v>Upcoming</v>
      </c>
      <c r="M83" s="32"/>
      <c r="N83" s="32"/>
      <c r="O83" s="38"/>
      <c r="P83" s="32"/>
      <c r="Q83" s="24"/>
      <c r="R83" s="32"/>
    </row>
    <row r="84" ht="16.5" customHeight="1">
      <c r="A84" s="1"/>
      <c r="B84" s="31" t="s">
        <v>1573</v>
      </c>
      <c r="C84" s="32" t="s">
        <v>366</v>
      </c>
      <c r="D84" s="32" t="s">
        <v>1300</v>
      </c>
      <c r="E84" s="32" t="s">
        <v>1038</v>
      </c>
      <c r="F84" s="32"/>
      <c r="G84" s="32" t="s">
        <v>1239</v>
      </c>
      <c r="H84" s="24"/>
      <c r="I84" s="24">
        <f>WeddingDate-4</f>
        <v>46629</v>
      </c>
      <c r="J84" s="101">
        <f t="shared" si="1"/>
        <v>361</v>
      </c>
      <c r="K84" s="32" t="s">
        <v>117</v>
      </c>
      <c r="L84" s="32" t="str">
        <f t="shared" si="2"/>
        <v>Upcoming</v>
      </c>
      <c r="M84" s="32"/>
      <c r="N84" s="32"/>
      <c r="O84" s="38"/>
      <c r="P84" s="32"/>
      <c r="Q84" s="24"/>
      <c r="R84" s="32"/>
    </row>
    <row r="85" ht="16.5" customHeight="1">
      <c r="A85" s="1"/>
      <c r="B85" s="31" t="s">
        <v>1575</v>
      </c>
      <c r="C85" s="32" t="s">
        <v>356</v>
      </c>
      <c r="D85" s="32" t="s">
        <v>1576</v>
      </c>
      <c r="E85" s="32" t="s">
        <v>360</v>
      </c>
      <c r="F85" s="32"/>
      <c r="G85" s="32" t="s">
        <v>1239</v>
      </c>
      <c r="H85" s="24"/>
      <c r="I85" s="24">
        <f>WeddingDate-3</f>
        <v>46630</v>
      </c>
      <c r="J85" s="101">
        <f t="shared" si="1"/>
        <v>362</v>
      </c>
      <c r="K85" s="32" t="s">
        <v>117</v>
      </c>
      <c r="L85" s="32" t="str">
        <f t="shared" si="2"/>
        <v>Upcoming</v>
      </c>
      <c r="M85" s="32"/>
      <c r="N85" s="32"/>
      <c r="O85" s="38"/>
      <c r="P85" s="32"/>
      <c r="Q85" s="24"/>
      <c r="R85" s="32"/>
    </row>
    <row r="86" ht="16.5" customHeight="1">
      <c r="A86" s="1"/>
      <c r="B86" s="31" t="s">
        <v>1580</v>
      </c>
      <c r="C86" s="32" t="s">
        <v>363</v>
      </c>
      <c r="D86" s="32" t="s">
        <v>1291</v>
      </c>
      <c r="E86" s="32" t="s">
        <v>1038</v>
      </c>
      <c r="F86" s="32"/>
      <c r="G86" s="32" t="s">
        <v>1239</v>
      </c>
      <c r="H86" s="24"/>
      <c r="I86" s="24">
        <f>WeddingDate-3</f>
        <v>46630</v>
      </c>
      <c r="J86" s="101">
        <f t="shared" si="1"/>
        <v>362</v>
      </c>
      <c r="K86" s="32" t="s">
        <v>117</v>
      </c>
      <c r="L86" s="32" t="str">
        <f t="shared" si="2"/>
        <v>Upcoming</v>
      </c>
      <c r="M86" s="32"/>
      <c r="N86" s="32"/>
      <c r="O86" s="38"/>
      <c r="P86" s="32"/>
      <c r="Q86" s="24"/>
      <c r="R86" s="32"/>
    </row>
    <row r="87" ht="16.5" customHeight="1">
      <c r="A87" s="1"/>
      <c r="B87" s="31" t="s">
        <v>1583</v>
      </c>
      <c r="C87" s="32" t="s">
        <v>366</v>
      </c>
      <c r="D87" s="32" t="s">
        <v>1585</v>
      </c>
      <c r="E87" s="32" t="s">
        <v>1038</v>
      </c>
      <c r="F87" s="32"/>
      <c r="G87" s="32" t="s">
        <v>1239</v>
      </c>
      <c r="H87" s="24"/>
      <c r="I87" s="24">
        <f>WeddingDate-2</f>
        <v>46631</v>
      </c>
      <c r="J87" s="101">
        <f t="shared" si="1"/>
        <v>363</v>
      </c>
      <c r="K87" s="32" t="s">
        <v>117</v>
      </c>
      <c r="L87" s="32" t="str">
        <f t="shared" si="2"/>
        <v>Upcoming</v>
      </c>
      <c r="M87" s="32"/>
      <c r="N87" s="32"/>
      <c r="O87" s="38"/>
      <c r="P87" s="32"/>
      <c r="Q87" s="24"/>
      <c r="R87" s="32"/>
    </row>
    <row r="88" ht="16.5" customHeight="1">
      <c r="A88" s="1"/>
      <c r="B88" s="31" t="s">
        <v>1588</v>
      </c>
      <c r="C88" s="32" t="s">
        <v>366</v>
      </c>
      <c r="D88" s="32" t="s">
        <v>1311</v>
      </c>
      <c r="E88" s="32" t="s">
        <v>1038</v>
      </c>
      <c r="F88" s="32"/>
      <c r="G88" s="32" t="s">
        <v>1249</v>
      </c>
      <c r="H88" s="24"/>
      <c r="I88" s="24">
        <f>WeddingDate-1</f>
        <v>46632</v>
      </c>
      <c r="J88" s="101">
        <f t="shared" si="1"/>
        <v>364</v>
      </c>
      <c r="K88" s="32" t="s">
        <v>117</v>
      </c>
      <c r="L88" s="32" t="str">
        <f t="shared" si="2"/>
        <v>Upcoming</v>
      </c>
      <c r="M88" s="32"/>
      <c r="N88" s="32"/>
      <c r="O88" s="38"/>
      <c r="P88" s="32"/>
      <c r="Q88" s="24"/>
      <c r="R88" s="32"/>
    </row>
    <row r="89" ht="16.5" customHeight="1">
      <c r="A89" s="1"/>
      <c r="B89" s="31" t="s">
        <v>1589</v>
      </c>
      <c r="C89" s="32" t="s">
        <v>366</v>
      </c>
      <c r="D89" s="32" t="s">
        <v>1590</v>
      </c>
      <c r="E89" s="32" t="s">
        <v>1038</v>
      </c>
      <c r="F89" s="32"/>
      <c r="G89" s="32" t="s">
        <v>1239</v>
      </c>
      <c r="H89" s="24"/>
      <c r="I89" s="24">
        <f>WeddingDate-1</f>
        <v>46632</v>
      </c>
      <c r="J89" s="101">
        <f t="shared" si="1"/>
        <v>364</v>
      </c>
      <c r="K89" s="32" t="s">
        <v>117</v>
      </c>
      <c r="L89" s="32" t="str">
        <f t="shared" si="2"/>
        <v>Upcoming</v>
      </c>
      <c r="M89" s="32"/>
      <c r="N89" s="32"/>
      <c r="O89" s="38"/>
      <c r="P89" s="32"/>
      <c r="Q89" s="24"/>
      <c r="R89" s="32"/>
    </row>
    <row r="90" ht="16.5" customHeight="1">
      <c r="A90" s="1"/>
      <c r="B90" s="31" t="s">
        <v>1594</v>
      </c>
      <c r="C90" s="32" t="s">
        <v>264</v>
      </c>
      <c r="D90" s="32" t="s">
        <v>1595</v>
      </c>
      <c r="E90" s="32" t="s">
        <v>129</v>
      </c>
      <c r="F90" s="32"/>
      <c r="G90" s="32" t="s">
        <v>1239</v>
      </c>
      <c r="H90" s="24"/>
      <c r="I90" s="24">
        <f>WeddingDate-1</f>
        <v>46632</v>
      </c>
      <c r="J90" s="101">
        <f t="shared" si="1"/>
        <v>364</v>
      </c>
      <c r="K90" s="36" t="s">
        <v>1596</v>
      </c>
      <c r="L90" s="32" t="str">
        <f t="shared" si="2"/>
        <v>Upcoming</v>
      </c>
      <c r="M90" s="32"/>
      <c r="N90" s="32"/>
      <c r="O90" s="38"/>
      <c r="P90" s="32"/>
      <c r="Q90" s="24"/>
      <c r="R90" s="32"/>
    </row>
    <row r="91" ht="16.5" customHeight="1">
      <c r="A91" s="1"/>
      <c r="B91" s="31" t="s">
        <v>1599</v>
      </c>
      <c r="C91" s="32" t="s">
        <v>349</v>
      </c>
      <c r="D91" s="32" t="s">
        <v>1321</v>
      </c>
      <c r="E91" s="32" t="s">
        <v>1038</v>
      </c>
      <c r="F91" s="32"/>
      <c r="G91" s="32" t="s">
        <v>1239</v>
      </c>
      <c r="H91" s="24"/>
      <c r="I91" s="24">
        <f>WeddingDate-0</f>
        <v>46633</v>
      </c>
      <c r="J91" s="101">
        <f t="shared" si="1"/>
        <v>365</v>
      </c>
      <c r="K91" s="32" t="s">
        <v>117</v>
      </c>
      <c r="L91" s="32" t="str">
        <f t="shared" si="2"/>
        <v>Upcoming</v>
      </c>
      <c r="M91" s="32"/>
      <c r="N91" s="32"/>
      <c r="O91" s="38"/>
      <c r="P91" s="32"/>
      <c r="Q91" s="24"/>
      <c r="R91" s="32"/>
    </row>
    <row r="92" ht="16.5" customHeight="1">
      <c r="A92" s="1"/>
      <c r="B92" s="31" t="s">
        <v>1601</v>
      </c>
      <c r="C92" s="32" t="s">
        <v>363</v>
      </c>
      <c r="D92" s="32" t="s">
        <v>1602</v>
      </c>
      <c r="E92" s="32" t="s">
        <v>1038</v>
      </c>
      <c r="F92" s="32"/>
      <c r="G92" s="32" t="s">
        <v>1239</v>
      </c>
      <c r="H92" s="24"/>
      <c r="I92" s="24">
        <f>WeddingDate+1</f>
        <v>46634</v>
      </c>
      <c r="J92" s="101">
        <f t="shared" si="1"/>
        <v>366</v>
      </c>
      <c r="K92" s="32" t="s">
        <v>117</v>
      </c>
      <c r="L92" s="32" t="str">
        <f t="shared" si="2"/>
        <v>Upcoming</v>
      </c>
      <c r="M92" s="32"/>
      <c r="N92" s="32"/>
      <c r="O92" s="38"/>
      <c r="P92" s="32"/>
      <c r="Q92" s="24"/>
      <c r="R92" s="32"/>
    </row>
    <row r="93" ht="16.5" customHeight="1">
      <c r="A93" s="1"/>
      <c r="B93" s="31" t="s">
        <v>1605</v>
      </c>
      <c r="C93" s="32" t="s">
        <v>264</v>
      </c>
      <c r="D93" s="32" t="s">
        <v>1345</v>
      </c>
      <c r="E93" s="32" t="s">
        <v>129</v>
      </c>
      <c r="F93" s="32"/>
      <c r="G93" s="32" t="s">
        <v>1239</v>
      </c>
      <c r="H93" s="24"/>
      <c r="I93" s="24">
        <f>WeddingDate+2</f>
        <v>46635</v>
      </c>
      <c r="J93" s="101">
        <f t="shared" si="1"/>
        <v>367</v>
      </c>
      <c r="K93" s="32" t="s">
        <v>117</v>
      </c>
      <c r="L93" s="32" t="str">
        <f t="shared" si="2"/>
        <v>Upcoming</v>
      </c>
      <c r="M93" s="32"/>
      <c r="N93" s="32"/>
      <c r="O93" s="38"/>
      <c r="P93" s="32"/>
      <c r="Q93" s="24"/>
      <c r="R93" s="32"/>
    </row>
    <row r="94" ht="16.5" customHeight="1">
      <c r="A94" s="1"/>
      <c r="B94" s="31" t="s">
        <v>1608</v>
      </c>
      <c r="C94" s="32" t="s">
        <v>366</v>
      </c>
      <c r="D94" s="32" t="s">
        <v>1348</v>
      </c>
      <c r="E94" s="32" t="s">
        <v>360</v>
      </c>
      <c r="F94" s="32"/>
      <c r="G94" s="32" t="s">
        <v>1249</v>
      </c>
      <c r="H94" s="24"/>
      <c r="I94" s="24">
        <f>WeddingDate+3</f>
        <v>46636</v>
      </c>
      <c r="J94" s="101">
        <f t="shared" si="1"/>
        <v>368</v>
      </c>
      <c r="K94" s="32" t="s">
        <v>117</v>
      </c>
      <c r="L94" s="32" t="str">
        <f t="shared" si="2"/>
        <v>Upcoming</v>
      </c>
      <c r="M94" s="32"/>
      <c r="N94" s="32"/>
      <c r="O94" s="38"/>
      <c r="P94" s="32"/>
      <c r="Q94" s="24"/>
      <c r="R94" s="32"/>
    </row>
    <row r="95" ht="16.5" customHeight="1">
      <c r="A95" s="1"/>
      <c r="B95" s="31" t="s">
        <v>1612</v>
      </c>
      <c r="C95" s="32" t="s">
        <v>362</v>
      </c>
      <c r="D95" s="32" t="s">
        <v>1613</v>
      </c>
      <c r="E95" s="32" t="s">
        <v>1038</v>
      </c>
      <c r="F95" s="32"/>
      <c r="G95" s="32" t="s">
        <v>1249</v>
      </c>
      <c r="H95" s="24"/>
      <c r="I95" s="24">
        <f>WeddingDate+5</f>
        <v>46638</v>
      </c>
      <c r="J95" s="101">
        <f t="shared" si="1"/>
        <v>370</v>
      </c>
      <c r="K95" s="32" t="s">
        <v>117</v>
      </c>
      <c r="L95" s="32" t="str">
        <f t="shared" si="2"/>
        <v>Upcoming</v>
      </c>
      <c r="M95" s="32"/>
      <c r="N95" s="32"/>
      <c r="O95" s="38"/>
      <c r="P95" s="32"/>
      <c r="Q95" s="24"/>
      <c r="R95" s="32"/>
    </row>
    <row r="96" ht="16.5" customHeight="1">
      <c r="A96" s="1"/>
      <c r="B96" s="31" t="s">
        <v>1614</v>
      </c>
      <c r="C96" s="32" t="s">
        <v>319</v>
      </c>
      <c r="D96" s="32" t="s">
        <v>1616</v>
      </c>
      <c r="E96" s="32" t="s">
        <v>1256</v>
      </c>
      <c r="F96" s="32"/>
      <c r="G96" s="32" t="s">
        <v>1353</v>
      </c>
      <c r="H96" s="24"/>
      <c r="I96" s="24">
        <f>WeddingDate+10</f>
        <v>46643</v>
      </c>
      <c r="J96" s="101">
        <f t="shared" si="1"/>
        <v>375</v>
      </c>
      <c r="K96" s="32" t="s">
        <v>117</v>
      </c>
      <c r="L96" s="32" t="str">
        <f t="shared" si="2"/>
        <v>Upcoming</v>
      </c>
      <c r="M96" s="32"/>
      <c r="N96" s="32"/>
      <c r="O96" s="38"/>
      <c r="P96" s="32"/>
      <c r="Q96" s="24"/>
      <c r="R96" s="32"/>
    </row>
    <row r="97" ht="16.5" customHeight="1">
      <c r="A97" s="1"/>
      <c r="B97" s="31" t="s">
        <v>1619</v>
      </c>
      <c r="C97" s="32" t="s">
        <v>315</v>
      </c>
      <c r="D97" s="32" t="s">
        <v>1620</v>
      </c>
      <c r="E97" s="32" t="s">
        <v>1038</v>
      </c>
      <c r="F97" s="32"/>
      <c r="G97" s="32" t="s">
        <v>1353</v>
      </c>
      <c r="H97" s="24"/>
      <c r="I97" s="24">
        <f>WeddingDate+30</f>
        <v>46663</v>
      </c>
      <c r="J97" s="101">
        <f t="shared" si="1"/>
        <v>395</v>
      </c>
      <c r="K97" s="32" t="s">
        <v>117</v>
      </c>
      <c r="L97" s="32" t="str">
        <f t="shared" si="2"/>
        <v>Upcoming</v>
      </c>
      <c r="M97" s="32"/>
      <c r="N97" s="32"/>
      <c r="O97" s="38"/>
      <c r="P97" s="32"/>
      <c r="Q97" s="24"/>
      <c r="R97" s="32"/>
    </row>
    <row r="98" ht="16.5" customHeight="1">
      <c r="A98" s="1"/>
      <c r="B98" s="31" t="s">
        <v>1623</v>
      </c>
      <c r="C98" s="32" t="s">
        <v>362</v>
      </c>
      <c r="D98" s="32" t="s">
        <v>1624</v>
      </c>
      <c r="E98" s="32" t="s">
        <v>1038</v>
      </c>
      <c r="F98" s="32"/>
      <c r="G98" s="32" t="s">
        <v>1249</v>
      </c>
      <c r="H98" s="24"/>
      <c r="I98" s="24">
        <f>WeddingDate+30</f>
        <v>46663</v>
      </c>
      <c r="J98" s="101">
        <f t="shared" si="1"/>
        <v>395</v>
      </c>
      <c r="K98" s="32" t="s">
        <v>117</v>
      </c>
      <c r="L98" s="32" t="str">
        <f t="shared" si="2"/>
        <v>Upcoming</v>
      </c>
      <c r="M98" s="32"/>
      <c r="N98" s="32"/>
      <c r="O98" s="38"/>
      <c r="P98" s="32"/>
      <c r="Q98" s="24"/>
      <c r="R98" s="32"/>
    </row>
    <row r="99" ht="16.5" customHeight="1">
      <c r="A99" s="1"/>
      <c r="B99" s="31" t="s">
        <v>1628</v>
      </c>
      <c r="C99" s="32" t="s">
        <v>363</v>
      </c>
      <c r="D99" s="32" t="s">
        <v>1629</v>
      </c>
      <c r="E99" s="32" t="s">
        <v>1038</v>
      </c>
      <c r="F99" s="32"/>
      <c r="G99" s="32" t="s">
        <v>1249</v>
      </c>
      <c r="H99" s="24"/>
      <c r="I99" s="24">
        <f>WeddingDate+30</f>
        <v>46663</v>
      </c>
      <c r="J99" s="101">
        <f t="shared" si="1"/>
        <v>395</v>
      </c>
      <c r="K99" s="32" t="s">
        <v>117</v>
      </c>
      <c r="L99" s="32" t="str">
        <f t="shared" si="2"/>
        <v>Upcoming</v>
      </c>
      <c r="M99" s="32"/>
      <c r="N99" s="32"/>
      <c r="O99" s="38"/>
      <c r="P99" s="32"/>
      <c r="Q99" s="24"/>
      <c r="R99" s="32"/>
    </row>
    <row r="100" ht="16.5" customHeight="1">
      <c r="A100" s="1"/>
      <c r="B100" s="32"/>
      <c r="C100" s="32"/>
      <c r="D100" s="32"/>
      <c r="E100" s="32"/>
      <c r="F100" s="32"/>
      <c r="G100" s="32"/>
      <c r="H100" s="24"/>
      <c r="I100" s="24"/>
      <c r="J100" s="101" t="str">
        <f t="shared" si="1"/>
        <v/>
      </c>
      <c r="K100" s="32"/>
      <c r="L100" s="32" t="str">
        <f t="shared" si="2"/>
        <v/>
      </c>
      <c r="M100" s="32"/>
      <c r="N100" s="32"/>
      <c r="O100" s="38"/>
      <c r="P100" s="32"/>
      <c r="Q100" s="24"/>
      <c r="R100" s="32"/>
    </row>
    <row r="101" ht="16.5" customHeight="1">
      <c r="A101" s="1"/>
      <c r="B101" s="32"/>
      <c r="C101" s="32"/>
      <c r="D101" s="32"/>
      <c r="E101" s="32"/>
      <c r="F101" s="32"/>
      <c r="G101" s="32"/>
      <c r="H101" s="24"/>
      <c r="I101" s="24"/>
      <c r="J101" s="101" t="str">
        <f t="shared" si="1"/>
        <v/>
      </c>
      <c r="K101" s="32"/>
      <c r="L101" s="32" t="str">
        <f t="shared" si="2"/>
        <v/>
      </c>
      <c r="M101" s="32"/>
      <c r="N101" s="32"/>
      <c r="O101" s="38"/>
      <c r="P101" s="32"/>
      <c r="Q101" s="24"/>
      <c r="R101" s="32"/>
    </row>
    <row r="102" ht="16.5" customHeight="1">
      <c r="A102" s="1"/>
      <c r="B102" s="32"/>
      <c r="C102" s="32"/>
      <c r="D102" s="32"/>
      <c r="E102" s="32"/>
      <c r="F102" s="32"/>
      <c r="G102" s="32"/>
      <c r="H102" s="24"/>
      <c r="I102" s="24"/>
      <c r="J102" s="101" t="str">
        <f t="shared" si="1"/>
        <v/>
      </c>
      <c r="K102" s="32"/>
      <c r="L102" s="32" t="str">
        <f t="shared" si="2"/>
        <v/>
      </c>
      <c r="M102" s="32"/>
      <c r="N102" s="32"/>
      <c r="O102" s="38"/>
      <c r="P102" s="32"/>
      <c r="Q102" s="24"/>
      <c r="R102" s="32"/>
    </row>
    <row r="103" ht="16.5" customHeight="1">
      <c r="A103" s="1"/>
      <c r="B103" s="32"/>
      <c r="C103" s="32"/>
      <c r="D103" s="32"/>
      <c r="E103" s="32"/>
      <c r="F103" s="32"/>
      <c r="G103" s="32"/>
      <c r="H103" s="24"/>
      <c r="I103" s="24"/>
      <c r="J103" s="101" t="str">
        <f t="shared" si="1"/>
        <v/>
      </c>
      <c r="K103" s="32"/>
      <c r="L103" s="32" t="str">
        <f t="shared" si="2"/>
        <v/>
      </c>
      <c r="M103" s="32"/>
      <c r="N103" s="32"/>
      <c r="O103" s="38"/>
      <c r="P103" s="32"/>
      <c r="Q103" s="24"/>
      <c r="R103" s="32"/>
    </row>
    <row r="104" ht="16.5" customHeight="1">
      <c r="A104" s="1"/>
      <c r="B104" s="32"/>
      <c r="C104" s="32"/>
      <c r="D104" s="32"/>
      <c r="E104" s="32"/>
      <c r="F104" s="32"/>
      <c r="G104" s="32"/>
      <c r="H104" s="24"/>
      <c r="I104" s="24"/>
      <c r="J104" s="101" t="str">
        <f t="shared" si="1"/>
        <v/>
      </c>
      <c r="K104" s="32"/>
      <c r="L104" s="32" t="str">
        <f t="shared" si="2"/>
        <v/>
      </c>
      <c r="M104" s="32"/>
      <c r="N104" s="32"/>
      <c r="O104" s="38"/>
      <c r="P104" s="32"/>
      <c r="Q104" s="24"/>
      <c r="R104" s="32"/>
    </row>
    <row r="105" ht="16.5" customHeight="1">
      <c r="A105" s="1"/>
      <c r="B105" s="32"/>
      <c r="C105" s="32"/>
      <c r="D105" s="32"/>
      <c r="E105" s="32"/>
      <c r="F105" s="32"/>
      <c r="G105" s="32"/>
      <c r="H105" s="24"/>
      <c r="I105" s="24"/>
      <c r="J105" s="101" t="str">
        <f t="shared" si="1"/>
        <v/>
      </c>
      <c r="K105" s="32"/>
      <c r="L105" s="32" t="str">
        <f t="shared" si="2"/>
        <v/>
      </c>
      <c r="M105" s="32"/>
      <c r="N105" s="32"/>
      <c r="O105" s="38"/>
      <c r="P105" s="32"/>
      <c r="Q105" s="24"/>
      <c r="R105" s="32"/>
    </row>
    <row r="106" ht="16.5" customHeight="1">
      <c r="A106" s="1"/>
      <c r="B106" s="32"/>
      <c r="C106" s="32"/>
      <c r="D106" s="32"/>
      <c r="E106" s="32"/>
      <c r="F106" s="32"/>
      <c r="G106" s="32"/>
      <c r="H106" s="24"/>
      <c r="I106" s="24"/>
      <c r="J106" s="101" t="str">
        <f t="shared" si="1"/>
        <v/>
      </c>
      <c r="K106" s="32"/>
      <c r="L106" s="32" t="str">
        <f t="shared" si="2"/>
        <v/>
      </c>
      <c r="M106" s="32"/>
      <c r="N106" s="32"/>
      <c r="O106" s="38"/>
      <c r="P106" s="32"/>
      <c r="Q106" s="24"/>
      <c r="R106" s="32"/>
    </row>
    <row r="107" ht="16.5" customHeight="1">
      <c r="A107" s="1"/>
      <c r="B107" s="32"/>
      <c r="C107" s="32"/>
      <c r="D107" s="32"/>
      <c r="E107" s="32"/>
      <c r="F107" s="32"/>
      <c r="G107" s="32"/>
      <c r="H107" s="24"/>
      <c r="I107" s="24"/>
      <c r="J107" s="101" t="str">
        <f t="shared" si="1"/>
        <v/>
      </c>
      <c r="K107" s="32"/>
      <c r="L107" s="32" t="str">
        <f t="shared" si="2"/>
        <v/>
      </c>
      <c r="M107" s="32"/>
      <c r="N107" s="32"/>
      <c r="O107" s="38"/>
      <c r="P107" s="32"/>
      <c r="Q107" s="24"/>
      <c r="R107" s="32"/>
    </row>
    <row r="108" ht="16.5" customHeight="1">
      <c r="A108" s="1"/>
      <c r="B108" s="32"/>
      <c r="C108" s="32"/>
      <c r="D108" s="32"/>
      <c r="E108" s="32"/>
      <c r="F108" s="32"/>
      <c r="G108" s="32"/>
      <c r="H108" s="24"/>
      <c r="I108" s="24"/>
      <c r="J108" s="101" t="str">
        <f t="shared" si="1"/>
        <v/>
      </c>
      <c r="K108" s="32"/>
      <c r="L108" s="32" t="str">
        <f t="shared" si="2"/>
        <v/>
      </c>
      <c r="M108" s="32"/>
      <c r="N108" s="32"/>
      <c r="O108" s="38"/>
      <c r="P108" s="32"/>
      <c r="Q108" s="24"/>
      <c r="R108" s="32"/>
    </row>
    <row r="109" ht="16.5" customHeight="1">
      <c r="A109" s="1"/>
      <c r="B109" s="32"/>
      <c r="C109" s="32"/>
      <c r="D109" s="32"/>
      <c r="E109" s="32"/>
      <c r="F109" s="32"/>
      <c r="G109" s="32"/>
      <c r="H109" s="24"/>
      <c r="I109" s="24"/>
      <c r="J109" s="101" t="str">
        <f t="shared" si="1"/>
        <v/>
      </c>
      <c r="K109" s="32"/>
      <c r="L109" s="32" t="str">
        <f t="shared" si="2"/>
        <v/>
      </c>
      <c r="M109" s="32"/>
      <c r="N109" s="32"/>
      <c r="O109" s="38"/>
      <c r="P109" s="32"/>
      <c r="Q109" s="24"/>
      <c r="R109" s="32"/>
    </row>
    <row r="110" ht="16.5" customHeight="1">
      <c r="A110" s="1"/>
      <c r="B110" s="32"/>
      <c r="C110" s="32"/>
      <c r="D110" s="32"/>
      <c r="E110" s="32"/>
      <c r="F110" s="32"/>
      <c r="G110" s="32"/>
      <c r="H110" s="24"/>
      <c r="I110" s="24"/>
      <c r="J110" s="101" t="str">
        <f t="shared" si="1"/>
        <v/>
      </c>
      <c r="K110" s="32"/>
      <c r="L110" s="32" t="str">
        <f t="shared" si="2"/>
        <v/>
      </c>
      <c r="M110" s="32"/>
      <c r="N110" s="32"/>
      <c r="O110" s="38"/>
      <c r="P110" s="32"/>
      <c r="Q110" s="24"/>
      <c r="R110" s="32"/>
    </row>
    <row r="111" ht="16.5" customHeight="1">
      <c r="A111" s="1"/>
      <c r="B111" s="32"/>
      <c r="C111" s="32"/>
      <c r="D111" s="32"/>
      <c r="E111" s="32"/>
      <c r="F111" s="32"/>
      <c r="G111" s="32"/>
      <c r="H111" s="24"/>
      <c r="I111" s="24"/>
      <c r="J111" s="101" t="str">
        <f t="shared" si="1"/>
        <v/>
      </c>
      <c r="K111" s="32"/>
      <c r="L111" s="32" t="str">
        <f t="shared" si="2"/>
        <v/>
      </c>
      <c r="M111" s="32"/>
      <c r="N111" s="32"/>
      <c r="O111" s="38"/>
      <c r="P111" s="32"/>
      <c r="Q111" s="24"/>
      <c r="R111" s="32"/>
    </row>
    <row r="112" ht="16.5" customHeight="1">
      <c r="A112" s="1"/>
      <c r="B112" s="32"/>
      <c r="C112" s="32"/>
      <c r="D112" s="32"/>
      <c r="E112" s="32"/>
      <c r="F112" s="32"/>
      <c r="G112" s="32"/>
      <c r="H112" s="24"/>
      <c r="I112" s="24"/>
      <c r="J112" s="101" t="str">
        <f t="shared" si="1"/>
        <v/>
      </c>
      <c r="K112" s="32"/>
      <c r="L112" s="32" t="str">
        <f t="shared" si="2"/>
        <v/>
      </c>
      <c r="M112" s="32"/>
      <c r="N112" s="32"/>
      <c r="O112" s="38"/>
      <c r="P112" s="32"/>
      <c r="Q112" s="24"/>
      <c r="R112" s="32"/>
    </row>
    <row r="113" ht="16.5" customHeight="1">
      <c r="A113" s="1"/>
      <c r="B113" s="32"/>
      <c r="C113" s="32"/>
      <c r="D113" s="32"/>
      <c r="E113" s="32"/>
      <c r="F113" s="32"/>
      <c r="G113" s="32"/>
      <c r="H113" s="24"/>
      <c r="I113" s="24"/>
      <c r="J113" s="101" t="str">
        <f t="shared" si="1"/>
        <v/>
      </c>
      <c r="K113" s="32"/>
      <c r="L113" s="32" t="str">
        <f t="shared" si="2"/>
        <v/>
      </c>
      <c r="M113" s="32"/>
      <c r="N113" s="32"/>
      <c r="O113" s="38"/>
      <c r="P113" s="32"/>
      <c r="Q113" s="24"/>
      <c r="R113" s="32"/>
    </row>
    <row r="114" ht="16.5" customHeight="1">
      <c r="A114" s="1"/>
      <c r="B114" s="32"/>
      <c r="C114" s="32"/>
      <c r="D114" s="32"/>
      <c r="E114" s="32"/>
      <c r="F114" s="32"/>
      <c r="G114" s="32"/>
      <c r="H114" s="24"/>
      <c r="I114" s="24"/>
      <c r="J114" s="101" t="str">
        <f t="shared" si="1"/>
        <v/>
      </c>
      <c r="K114" s="32"/>
      <c r="L114" s="32" t="str">
        <f t="shared" si="2"/>
        <v/>
      </c>
      <c r="M114" s="32"/>
      <c r="N114" s="32"/>
      <c r="O114" s="38"/>
      <c r="P114" s="32"/>
      <c r="Q114" s="24"/>
      <c r="R114" s="32"/>
    </row>
    <row r="115" ht="16.5" customHeight="1">
      <c r="A115" s="1"/>
      <c r="B115" s="32"/>
      <c r="C115" s="32"/>
      <c r="D115" s="32"/>
      <c r="E115" s="32"/>
      <c r="F115" s="32"/>
      <c r="G115" s="32"/>
      <c r="H115" s="24"/>
      <c r="I115" s="24"/>
      <c r="J115" s="101" t="str">
        <f t="shared" si="1"/>
        <v/>
      </c>
      <c r="K115" s="32"/>
      <c r="L115" s="32" t="str">
        <f t="shared" si="2"/>
        <v/>
      </c>
      <c r="M115" s="32"/>
      <c r="N115" s="32"/>
      <c r="O115" s="38"/>
      <c r="P115" s="32"/>
      <c r="Q115" s="24"/>
      <c r="R115" s="32"/>
    </row>
    <row r="116" ht="16.5" customHeight="1">
      <c r="A116" s="1"/>
      <c r="B116" s="32"/>
      <c r="C116" s="32"/>
      <c r="D116" s="32"/>
      <c r="E116" s="32"/>
      <c r="F116" s="32"/>
      <c r="G116" s="32"/>
      <c r="H116" s="24"/>
      <c r="I116" s="24"/>
      <c r="J116" s="101" t="str">
        <f t="shared" si="1"/>
        <v/>
      </c>
      <c r="K116" s="32"/>
      <c r="L116" s="32" t="str">
        <f t="shared" si="2"/>
        <v/>
      </c>
      <c r="M116" s="32"/>
      <c r="N116" s="32"/>
      <c r="O116" s="38"/>
      <c r="P116" s="32"/>
      <c r="Q116" s="24"/>
      <c r="R116" s="32"/>
    </row>
    <row r="117" ht="16.5" customHeight="1">
      <c r="A117" s="1"/>
      <c r="B117" s="32"/>
      <c r="C117" s="32"/>
      <c r="D117" s="32"/>
      <c r="E117" s="32"/>
      <c r="F117" s="32"/>
      <c r="G117" s="32"/>
      <c r="H117" s="24"/>
      <c r="I117" s="24"/>
      <c r="J117" s="101" t="str">
        <f t="shared" si="1"/>
        <v/>
      </c>
      <c r="K117" s="32"/>
      <c r="L117" s="32" t="str">
        <f t="shared" si="2"/>
        <v/>
      </c>
      <c r="M117" s="32"/>
      <c r="N117" s="32"/>
      <c r="O117" s="38"/>
      <c r="P117" s="32"/>
      <c r="Q117" s="24"/>
      <c r="R117" s="32"/>
    </row>
    <row r="118" ht="16.5" customHeight="1">
      <c r="A118" s="1"/>
      <c r="B118" s="32"/>
      <c r="C118" s="32"/>
      <c r="D118" s="32"/>
      <c r="E118" s="32"/>
      <c r="F118" s="32"/>
      <c r="G118" s="32"/>
      <c r="H118" s="24"/>
      <c r="I118" s="24"/>
      <c r="J118" s="101" t="str">
        <f t="shared" si="1"/>
        <v/>
      </c>
      <c r="K118" s="32"/>
      <c r="L118" s="32" t="str">
        <f t="shared" si="2"/>
        <v/>
      </c>
      <c r="M118" s="32"/>
      <c r="N118" s="32"/>
      <c r="O118" s="38"/>
      <c r="P118" s="32"/>
      <c r="Q118" s="24"/>
      <c r="R118" s="32"/>
    </row>
    <row r="119" ht="16.5" customHeight="1">
      <c r="A119" s="1"/>
      <c r="B119" s="32"/>
      <c r="C119" s="32"/>
      <c r="D119" s="32"/>
      <c r="E119" s="32"/>
      <c r="F119" s="32"/>
      <c r="G119" s="32"/>
      <c r="H119" s="24"/>
      <c r="I119" s="24"/>
      <c r="J119" s="101" t="str">
        <f t="shared" si="1"/>
        <v/>
      </c>
      <c r="K119" s="32"/>
      <c r="L119" s="32" t="str">
        <f t="shared" si="2"/>
        <v/>
      </c>
      <c r="M119" s="32"/>
      <c r="N119" s="32"/>
      <c r="O119" s="38"/>
      <c r="P119" s="32"/>
      <c r="Q119" s="24"/>
      <c r="R119" s="32"/>
    </row>
    <row r="120" ht="16.5" customHeight="1">
      <c r="A120" s="1"/>
      <c r="B120" s="32"/>
      <c r="C120" s="32"/>
      <c r="D120" s="32"/>
      <c r="E120" s="32"/>
      <c r="F120" s="32"/>
      <c r="G120" s="32"/>
      <c r="H120" s="24"/>
      <c r="I120" s="24"/>
      <c r="J120" s="101" t="str">
        <f t="shared" si="1"/>
        <v/>
      </c>
      <c r="K120" s="32"/>
      <c r="L120" s="32" t="str">
        <f t="shared" si="2"/>
        <v/>
      </c>
      <c r="M120" s="32"/>
      <c r="N120" s="32"/>
      <c r="O120" s="38"/>
      <c r="P120" s="32"/>
      <c r="Q120" s="24"/>
      <c r="R120" s="32"/>
    </row>
    <row r="121" ht="16.5" customHeight="1">
      <c r="A121" s="1"/>
      <c r="B121" s="32"/>
      <c r="C121" s="32"/>
      <c r="D121" s="32"/>
      <c r="E121" s="32"/>
      <c r="F121" s="32"/>
      <c r="G121" s="32"/>
      <c r="H121" s="24"/>
      <c r="I121" s="24"/>
      <c r="J121" s="101" t="str">
        <f t="shared" si="1"/>
        <v/>
      </c>
      <c r="K121" s="32"/>
      <c r="L121" s="32" t="str">
        <f t="shared" si="2"/>
        <v/>
      </c>
      <c r="M121" s="32"/>
      <c r="N121" s="32"/>
      <c r="O121" s="38"/>
      <c r="P121" s="32"/>
      <c r="Q121" s="24"/>
      <c r="R121" s="32"/>
    </row>
    <row r="122" ht="16.5" customHeight="1">
      <c r="A122" s="1"/>
      <c r="B122" s="32"/>
      <c r="C122" s="32"/>
      <c r="D122" s="32"/>
      <c r="E122" s="32"/>
      <c r="F122" s="32"/>
      <c r="G122" s="32"/>
      <c r="H122" s="24"/>
      <c r="I122" s="24"/>
      <c r="J122" s="101" t="str">
        <f t="shared" si="1"/>
        <v/>
      </c>
      <c r="K122" s="32"/>
      <c r="L122" s="32" t="str">
        <f t="shared" si="2"/>
        <v/>
      </c>
      <c r="M122" s="32"/>
      <c r="N122" s="32"/>
      <c r="O122" s="38"/>
      <c r="P122" s="32"/>
      <c r="Q122" s="24"/>
      <c r="R122" s="32"/>
    </row>
    <row r="123" ht="16.5" customHeight="1">
      <c r="A123" s="1"/>
      <c r="B123" s="32"/>
      <c r="C123" s="32"/>
      <c r="D123" s="32"/>
      <c r="E123" s="32"/>
      <c r="F123" s="32"/>
      <c r="G123" s="32"/>
      <c r="H123" s="24"/>
      <c r="I123" s="24"/>
      <c r="J123" s="101" t="str">
        <f t="shared" si="1"/>
        <v/>
      </c>
      <c r="K123" s="32"/>
      <c r="L123" s="32" t="str">
        <f t="shared" si="2"/>
        <v/>
      </c>
      <c r="M123" s="32"/>
      <c r="N123" s="32"/>
      <c r="O123" s="38"/>
      <c r="P123" s="32"/>
      <c r="Q123" s="24"/>
      <c r="R123" s="32"/>
    </row>
    <row r="124" ht="16.5" customHeight="1">
      <c r="A124" s="1"/>
      <c r="B124" s="32"/>
      <c r="C124" s="32"/>
      <c r="D124" s="32"/>
      <c r="E124" s="32"/>
      <c r="F124" s="32"/>
      <c r="G124" s="32"/>
      <c r="H124" s="24"/>
      <c r="I124" s="24"/>
      <c r="J124" s="101" t="str">
        <f t="shared" si="1"/>
        <v/>
      </c>
      <c r="K124" s="32"/>
      <c r="L124" s="32" t="str">
        <f t="shared" si="2"/>
        <v/>
      </c>
      <c r="M124" s="32"/>
      <c r="N124" s="32"/>
      <c r="O124" s="38"/>
      <c r="P124" s="32"/>
      <c r="Q124" s="24"/>
      <c r="R124" s="32"/>
    </row>
    <row r="125" ht="16.5" customHeight="1">
      <c r="A125" s="1"/>
      <c r="B125" s="32"/>
      <c r="C125" s="32"/>
      <c r="D125" s="32"/>
      <c r="E125" s="32"/>
      <c r="F125" s="32"/>
      <c r="G125" s="32"/>
      <c r="H125" s="24"/>
      <c r="I125" s="24"/>
      <c r="J125" s="101" t="str">
        <f t="shared" si="1"/>
        <v/>
      </c>
      <c r="K125" s="32"/>
      <c r="L125" s="32" t="str">
        <f t="shared" si="2"/>
        <v/>
      </c>
      <c r="M125" s="32"/>
      <c r="N125" s="32"/>
      <c r="O125" s="38"/>
      <c r="P125" s="32"/>
      <c r="Q125" s="24"/>
      <c r="R125" s="32"/>
    </row>
    <row r="126" ht="16.5" customHeight="1">
      <c r="A126" s="1"/>
      <c r="B126" s="32"/>
      <c r="C126" s="32"/>
      <c r="D126" s="32"/>
      <c r="E126" s="32"/>
      <c r="F126" s="32"/>
      <c r="G126" s="32"/>
      <c r="H126" s="24"/>
      <c r="I126" s="24"/>
      <c r="J126" s="101" t="str">
        <f t="shared" si="1"/>
        <v/>
      </c>
      <c r="K126" s="32"/>
      <c r="L126" s="32" t="str">
        <f t="shared" si="2"/>
        <v/>
      </c>
      <c r="M126" s="32"/>
      <c r="N126" s="32"/>
      <c r="O126" s="38"/>
      <c r="P126" s="32"/>
      <c r="Q126" s="24"/>
      <c r="R126" s="32"/>
    </row>
    <row r="127" ht="16.5" customHeight="1">
      <c r="A127" s="1"/>
      <c r="B127" s="32"/>
      <c r="C127" s="32"/>
      <c r="D127" s="32"/>
      <c r="E127" s="32"/>
      <c r="F127" s="32"/>
      <c r="G127" s="32"/>
      <c r="H127" s="24"/>
      <c r="I127" s="24"/>
      <c r="J127" s="101" t="str">
        <f t="shared" si="1"/>
        <v/>
      </c>
      <c r="K127" s="32"/>
      <c r="L127" s="32" t="str">
        <f t="shared" si="2"/>
        <v/>
      </c>
      <c r="M127" s="32"/>
      <c r="N127" s="32"/>
      <c r="O127" s="38"/>
      <c r="P127" s="32"/>
      <c r="Q127" s="24"/>
      <c r="R127" s="32"/>
    </row>
    <row r="128" ht="16.5" customHeight="1">
      <c r="A128" s="1"/>
      <c r="B128" s="32"/>
      <c r="C128" s="32"/>
      <c r="D128" s="32"/>
      <c r="E128" s="32"/>
      <c r="F128" s="32"/>
      <c r="G128" s="32"/>
      <c r="H128" s="24"/>
      <c r="I128" s="24"/>
      <c r="J128" s="101" t="str">
        <f t="shared" si="1"/>
        <v/>
      </c>
      <c r="K128" s="32"/>
      <c r="L128" s="32" t="str">
        <f t="shared" si="2"/>
        <v/>
      </c>
      <c r="M128" s="32"/>
      <c r="N128" s="32"/>
      <c r="O128" s="38"/>
      <c r="P128" s="32"/>
      <c r="Q128" s="24"/>
      <c r="R128" s="32"/>
    </row>
    <row r="129" ht="16.5" customHeight="1">
      <c r="A129" s="1"/>
      <c r="B129" s="32"/>
      <c r="C129" s="32"/>
      <c r="D129" s="32"/>
      <c r="E129" s="32"/>
      <c r="F129" s="32"/>
      <c r="G129" s="32"/>
      <c r="H129" s="24"/>
      <c r="I129" s="24"/>
      <c r="J129" s="101" t="str">
        <f t="shared" si="1"/>
        <v/>
      </c>
      <c r="K129" s="32"/>
      <c r="L129" s="32" t="str">
        <f t="shared" si="2"/>
        <v/>
      </c>
      <c r="M129" s="32"/>
      <c r="N129" s="32"/>
      <c r="O129" s="38"/>
      <c r="P129" s="32"/>
      <c r="Q129" s="24"/>
      <c r="R129" s="32"/>
    </row>
    <row r="130" ht="16.5" customHeight="1">
      <c r="A130" s="1"/>
      <c r="B130" s="32"/>
      <c r="C130" s="32"/>
      <c r="D130" s="32"/>
      <c r="E130" s="32"/>
      <c r="F130" s="32"/>
      <c r="G130" s="32"/>
      <c r="H130" s="24"/>
      <c r="I130" s="24"/>
      <c r="J130" s="101" t="str">
        <f t="shared" si="1"/>
        <v/>
      </c>
      <c r="K130" s="32"/>
      <c r="L130" s="32" t="str">
        <f t="shared" si="2"/>
        <v/>
      </c>
      <c r="M130" s="32"/>
      <c r="N130" s="32"/>
      <c r="O130" s="38"/>
      <c r="P130" s="32"/>
      <c r="Q130" s="24"/>
      <c r="R130" s="32"/>
    </row>
    <row r="131" ht="16.5" customHeight="1">
      <c r="A131" s="1"/>
      <c r="B131" s="32"/>
      <c r="C131" s="32"/>
      <c r="D131" s="32"/>
      <c r="E131" s="32"/>
      <c r="F131" s="32"/>
      <c r="G131" s="32"/>
      <c r="H131" s="24"/>
      <c r="I131" s="24"/>
      <c r="J131" s="101" t="str">
        <f t="shared" si="1"/>
        <v/>
      </c>
      <c r="K131" s="32"/>
      <c r="L131" s="32" t="str">
        <f t="shared" si="2"/>
        <v/>
      </c>
      <c r="M131" s="32"/>
      <c r="N131" s="32"/>
      <c r="O131" s="38"/>
      <c r="P131" s="32"/>
      <c r="Q131" s="24"/>
      <c r="R131" s="32"/>
    </row>
    <row r="132" ht="16.5" customHeight="1">
      <c r="A132" s="1"/>
      <c r="B132" s="32"/>
      <c r="C132" s="32"/>
      <c r="D132" s="32"/>
      <c r="E132" s="32"/>
      <c r="F132" s="32"/>
      <c r="G132" s="32"/>
      <c r="H132" s="24"/>
      <c r="I132" s="24"/>
      <c r="J132" s="101" t="str">
        <f t="shared" si="1"/>
        <v/>
      </c>
      <c r="K132" s="32"/>
      <c r="L132" s="32" t="str">
        <f t="shared" si="2"/>
        <v/>
      </c>
      <c r="M132" s="32"/>
      <c r="N132" s="32"/>
      <c r="O132" s="38"/>
      <c r="P132" s="32"/>
      <c r="Q132" s="24"/>
      <c r="R132" s="32"/>
    </row>
    <row r="133" ht="16.5" customHeight="1">
      <c r="A133" s="1"/>
      <c r="B133" s="32"/>
      <c r="C133" s="32"/>
      <c r="D133" s="32"/>
      <c r="E133" s="32"/>
      <c r="F133" s="32"/>
      <c r="G133" s="32"/>
      <c r="H133" s="24"/>
      <c r="I133" s="24"/>
      <c r="J133" s="101" t="str">
        <f t="shared" si="1"/>
        <v/>
      </c>
      <c r="K133" s="32"/>
      <c r="L133" s="32" t="str">
        <f t="shared" si="2"/>
        <v/>
      </c>
      <c r="M133" s="32"/>
      <c r="N133" s="32"/>
      <c r="O133" s="38"/>
      <c r="P133" s="32"/>
      <c r="Q133" s="24"/>
      <c r="R133" s="32"/>
    </row>
    <row r="134" ht="16.5" customHeight="1">
      <c r="A134" s="1"/>
      <c r="B134" s="32"/>
      <c r="C134" s="32"/>
      <c r="D134" s="32"/>
      <c r="E134" s="32"/>
      <c r="F134" s="32"/>
      <c r="G134" s="32"/>
      <c r="H134" s="24"/>
      <c r="I134" s="24"/>
      <c r="J134" s="101" t="str">
        <f t="shared" si="1"/>
        <v/>
      </c>
      <c r="K134" s="32"/>
      <c r="L134" s="32" t="str">
        <f t="shared" si="2"/>
        <v/>
      </c>
      <c r="M134" s="32"/>
      <c r="N134" s="32"/>
      <c r="O134" s="38"/>
      <c r="P134" s="32"/>
      <c r="Q134" s="24"/>
      <c r="R134" s="32"/>
    </row>
    <row r="135" ht="16.5" customHeight="1">
      <c r="A135" s="1"/>
      <c r="B135" s="32"/>
      <c r="C135" s="32"/>
      <c r="D135" s="32"/>
      <c r="E135" s="32"/>
      <c r="F135" s="32"/>
      <c r="G135" s="32"/>
      <c r="H135" s="24"/>
      <c r="I135" s="24"/>
      <c r="J135" s="101" t="str">
        <f t="shared" si="1"/>
        <v/>
      </c>
      <c r="K135" s="32"/>
      <c r="L135" s="32" t="str">
        <f t="shared" si="2"/>
        <v/>
      </c>
      <c r="M135" s="32"/>
      <c r="N135" s="32"/>
      <c r="O135" s="38"/>
      <c r="P135" s="32"/>
      <c r="Q135" s="24"/>
      <c r="R135" s="32"/>
    </row>
    <row r="136" ht="16.5" customHeight="1">
      <c r="A136" s="1"/>
      <c r="B136" s="32"/>
      <c r="C136" s="32"/>
      <c r="D136" s="32"/>
      <c r="E136" s="32"/>
      <c r="F136" s="32"/>
      <c r="G136" s="32"/>
      <c r="H136" s="24"/>
      <c r="I136" s="24"/>
      <c r="J136" s="101" t="str">
        <f t="shared" si="1"/>
        <v/>
      </c>
      <c r="K136" s="32"/>
      <c r="L136" s="32" t="str">
        <f t="shared" si="2"/>
        <v/>
      </c>
      <c r="M136" s="32"/>
      <c r="N136" s="32"/>
      <c r="O136" s="38"/>
      <c r="P136" s="32"/>
      <c r="Q136" s="24"/>
      <c r="R136" s="32"/>
    </row>
    <row r="137" ht="16.5" customHeight="1">
      <c r="A137" s="1"/>
      <c r="B137" s="32"/>
      <c r="C137" s="32"/>
      <c r="D137" s="32"/>
      <c r="E137" s="32"/>
      <c r="F137" s="32"/>
      <c r="G137" s="32"/>
      <c r="H137" s="24"/>
      <c r="I137" s="24"/>
      <c r="J137" s="101" t="str">
        <f t="shared" si="1"/>
        <v/>
      </c>
      <c r="K137" s="32"/>
      <c r="L137" s="32" t="str">
        <f t="shared" si="2"/>
        <v/>
      </c>
      <c r="M137" s="32"/>
      <c r="N137" s="32"/>
      <c r="O137" s="38"/>
      <c r="P137" s="32"/>
      <c r="Q137" s="24"/>
      <c r="R137" s="32"/>
    </row>
    <row r="138" ht="16.5" customHeight="1">
      <c r="A138" s="1"/>
      <c r="B138" s="32"/>
      <c r="C138" s="32"/>
      <c r="D138" s="32"/>
      <c r="E138" s="32"/>
      <c r="F138" s="32"/>
      <c r="G138" s="32"/>
      <c r="H138" s="24"/>
      <c r="I138" s="24"/>
      <c r="J138" s="101" t="str">
        <f t="shared" si="1"/>
        <v/>
      </c>
      <c r="K138" s="32"/>
      <c r="L138" s="32" t="str">
        <f t="shared" si="2"/>
        <v/>
      </c>
      <c r="M138" s="32"/>
      <c r="N138" s="32"/>
      <c r="O138" s="38"/>
      <c r="P138" s="32"/>
      <c r="Q138" s="24"/>
      <c r="R138" s="32"/>
    </row>
    <row r="139" ht="16.5" customHeight="1">
      <c r="A139" s="1"/>
      <c r="B139" s="32"/>
      <c r="C139" s="32"/>
      <c r="D139" s="32"/>
      <c r="E139" s="32"/>
      <c r="F139" s="32"/>
      <c r="G139" s="32"/>
      <c r="H139" s="24"/>
      <c r="I139" s="24"/>
      <c r="J139" s="101" t="str">
        <f t="shared" si="1"/>
        <v/>
      </c>
      <c r="K139" s="32"/>
      <c r="L139" s="32" t="str">
        <f t="shared" si="2"/>
        <v/>
      </c>
      <c r="M139" s="32"/>
      <c r="N139" s="32"/>
      <c r="O139" s="38"/>
      <c r="P139" s="32"/>
      <c r="Q139" s="24"/>
      <c r="R139" s="32"/>
    </row>
    <row r="140" ht="16.5" customHeight="1">
      <c r="A140" s="1"/>
      <c r="B140" s="32"/>
      <c r="C140" s="32"/>
      <c r="D140" s="32"/>
      <c r="E140" s="32"/>
      <c r="F140" s="32"/>
      <c r="G140" s="32"/>
      <c r="H140" s="24"/>
      <c r="I140" s="24"/>
      <c r="J140" s="101" t="str">
        <f t="shared" si="1"/>
        <v/>
      </c>
      <c r="K140" s="32"/>
      <c r="L140" s="32" t="str">
        <f t="shared" si="2"/>
        <v/>
      </c>
      <c r="M140" s="32"/>
      <c r="N140" s="32"/>
      <c r="O140" s="38"/>
      <c r="P140" s="32"/>
      <c r="Q140" s="24"/>
      <c r="R140" s="32"/>
    </row>
    <row r="141" ht="16.5" customHeight="1">
      <c r="A141" s="1"/>
      <c r="B141" s="32"/>
      <c r="C141" s="32"/>
      <c r="D141" s="32"/>
      <c r="E141" s="32"/>
      <c r="F141" s="32"/>
      <c r="G141" s="32"/>
      <c r="H141" s="24"/>
      <c r="I141" s="24"/>
      <c r="J141" s="101" t="str">
        <f t="shared" si="1"/>
        <v/>
      </c>
      <c r="K141" s="32"/>
      <c r="L141" s="32" t="str">
        <f t="shared" si="2"/>
        <v/>
      </c>
      <c r="M141" s="32"/>
      <c r="N141" s="32"/>
      <c r="O141" s="38"/>
      <c r="P141" s="32"/>
      <c r="Q141" s="24"/>
      <c r="R141" s="32"/>
    </row>
    <row r="142" ht="16.5" customHeight="1">
      <c r="A142" s="1"/>
      <c r="B142" s="32"/>
      <c r="C142" s="32"/>
      <c r="D142" s="32"/>
      <c r="E142" s="32"/>
      <c r="F142" s="32"/>
      <c r="G142" s="32"/>
      <c r="H142" s="24"/>
      <c r="I142" s="24"/>
      <c r="J142" s="101" t="str">
        <f t="shared" si="1"/>
        <v/>
      </c>
      <c r="K142" s="32"/>
      <c r="L142" s="32" t="str">
        <f t="shared" si="2"/>
        <v/>
      </c>
      <c r="M142" s="32"/>
      <c r="N142" s="32"/>
      <c r="O142" s="38"/>
      <c r="P142" s="32"/>
      <c r="Q142" s="24"/>
      <c r="R142" s="32"/>
    </row>
    <row r="143" ht="16.5" customHeight="1">
      <c r="A143" s="1"/>
      <c r="B143" s="32"/>
      <c r="C143" s="32"/>
      <c r="D143" s="32"/>
      <c r="E143" s="32"/>
      <c r="F143" s="32"/>
      <c r="G143" s="32"/>
      <c r="H143" s="24"/>
      <c r="I143" s="24"/>
      <c r="J143" s="101" t="str">
        <f t="shared" si="1"/>
        <v/>
      </c>
      <c r="K143" s="32"/>
      <c r="L143" s="32" t="str">
        <f t="shared" si="2"/>
        <v/>
      </c>
      <c r="M143" s="32"/>
      <c r="N143" s="32"/>
      <c r="O143" s="38"/>
      <c r="P143" s="32"/>
      <c r="Q143" s="24"/>
      <c r="R143" s="32"/>
    </row>
    <row r="144" ht="16.5" customHeight="1">
      <c r="A144" s="1"/>
      <c r="B144" s="32"/>
      <c r="C144" s="32"/>
      <c r="D144" s="32"/>
      <c r="E144" s="32"/>
      <c r="F144" s="32"/>
      <c r="G144" s="32"/>
      <c r="H144" s="24"/>
      <c r="I144" s="24"/>
      <c r="J144" s="101" t="str">
        <f t="shared" si="1"/>
        <v/>
      </c>
      <c r="K144" s="32"/>
      <c r="L144" s="32" t="str">
        <f t="shared" si="2"/>
        <v/>
      </c>
      <c r="M144" s="32"/>
      <c r="N144" s="32"/>
      <c r="O144" s="38"/>
      <c r="P144" s="32"/>
      <c r="Q144" s="24"/>
      <c r="R144" s="32"/>
    </row>
    <row r="145" ht="16.5" customHeight="1">
      <c r="A145" s="1"/>
      <c r="B145" s="32"/>
      <c r="C145" s="32"/>
      <c r="D145" s="32"/>
      <c r="E145" s="32"/>
      <c r="F145" s="32"/>
      <c r="G145" s="32"/>
      <c r="H145" s="24"/>
      <c r="I145" s="24"/>
      <c r="J145" s="101" t="str">
        <f t="shared" si="1"/>
        <v/>
      </c>
      <c r="K145" s="32"/>
      <c r="L145" s="32" t="str">
        <f t="shared" si="2"/>
        <v/>
      </c>
      <c r="M145" s="32"/>
      <c r="N145" s="32"/>
      <c r="O145" s="38"/>
      <c r="P145" s="32"/>
      <c r="Q145" s="24"/>
      <c r="R145" s="32"/>
    </row>
    <row r="146" ht="16.5" customHeight="1">
      <c r="A146" s="1"/>
      <c r="B146" s="32"/>
      <c r="C146" s="32"/>
      <c r="D146" s="32"/>
      <c r="E146" s="32"/>
      <c r="F146" s="32"/>
      <c r="G146" s="32"/>
      <c r="H146" s="24"/>
      <c r="I146" s="24"/>
      <c r="J146" s="101" t="str">
        <f t="shared" si="1"/>
        <v/>
      </c>
      <c r="K146" s="32"/>
      <c r="L146" s="32" t="str">
        <f t="shared" si="2"/>
        <v/>
      </c>
      <c r="M146" s="32"/>
      <c r="N146" s="32"/>
      <c r="O146" s="38"/>
      <c r="P146" s="32"/>
      <c r="Q146" s="24"/>
      <c r="R146" s="32"/>
    </row>
    <row r="147" ht="16.5" customHeight="1">
      <c r="A147" s="1"/>
      <c r="B147" s="32"/>
      <c r="C147" s="32"/>
      <c r="D147" s="32"/>
      <c r="E147" s="32"/>
      <c r="F147" s="32"/>
      <c r="G147" s="32"/>
      <c r="H147" s="24"/>
      <c r="I147" s="24"/>
      <c r="J147" s="101" t="str">
        <f t="shared" si="1"/>
        <v/>
      </c>
      <c r="K147" s="32"/>
      <c r="L147" s="32" t="str">
        <f t="shared" si="2"/>
        <v/>
      </c>
      <c r="M147" s="32"/>
      <c r="N147" s="32"/>
      <c r="O147" s="38"/>
      <c r="P147" s="32"/>
      <c r="Q147" s="24"/>
      <c r="R147" s="32"/>
    </row>
    <row r="148" ht="16.5" customHeight="1">
      <c r="A148" s="1"/>
      <c r="B148" s="32"/>
      <c r="C148" s="32"/>
      <c r="D148" s="32"/>
      <c r="E148" s="32"/>
      <c r="F148" s="32"/>
      <c r="G148" s="32"/>
      <c r="H148" s="24"/>
      <c r="I148" s="24"/>
      <c r="J148" s="101" t="str">
        <f t="shared" si="1"/>
        <v/>
      </c>
      <c r="K148" s="32"/>
      <c r="L148" s="32" t="str">
        <f t="shared" si="2"/>
        <v/>
      </c>
      <c r="M148" s="32"/>
      <c r="N148" s="32"/>
      <c r="O148" s="38"/>
      <c r="P148" s="32"/>
      <c r="Q148" s="24"/>
      <c r="R148" s="32"/>
    </row>
    <row r="149" ht="16.5" customHeight="1">
      <c r="A149" s="1"/>
      <c r="B149" s="32"/>
      <c r="C149" s="32"/>
      <c r="D149" s="32"/>
      <c r="E149" s="32"/>
      <c r="F149" s="32"/>
      <c r="G149" s="32"/>
      <c r="H149" s="24"/>
      <c r="I149" s="24"/>
      <c r="J149" s="101" t="str">
        <f t="shared" si="1"/>
        <v/>
      </c>
      <c r="K149" s="32"/>
      <c r="L149" s="32" t="str">
        <f t="shared" si="2"/>
        <v/>
      </c>
      <c r="M149" s="32"/>
      <c r="N149" s="32"/>
      <c r="O149" s="38"/>
      <c r="P149" s="32"/>
      <c r="Q149" s="24"/>
      <c r="R149" s="32"/>
    </row>
    <row r="150" ht="16.5" customHeight="1">
      <c r="A150" s="1"/>
      <c r="B150" s="32"/>
      <c r="C150" s="32"/>
      <c r="D150" s="32"/>
      <c r="E150" s="32"/>
      <c r="F150" s="32"/>
      <c r="G150" s="32"/>
      <c r="H150" s="24"/>
      <c r="I150" s="24"/>
      <c r="J150" s="101" t="str">
        <f t="shared" si="1"/>
        <v/>
      </c>
      <c r="K150" s="32"/>
      <c r="L150" s="32" t="str">
        <f t="shared" si="2"/>
        <v/>
      </c>
      <c r="M150" s="32"/>
      <c r="N150" s="32"/>
      <c r="O150" s="38"/>
      <c r="P150" s="32"/>
      <c r="Q150" s="24"/>
      <c r="R150" s="32"/>
    </row>
    <row r="151" ht="16.5" customHeight="1">
      <c r="A151" s="1"/>
      <c r="B151" s="32"/>
      <c r="C151" s="32"/>
      <c r="D151" s="32"/>
      <c r="E151" s="32"/>
      <c r="F151" s="32"/>
      <c r="G151" s="32"/>
      <c r="H151" s="24"/>
      <c r="I151" s="24"/>
      <c r="J151" s="101" t="str">
        <f t="shared" si="1"/>
        <v/>
      </c>
      <c r="K151" s="32"/>
      <c r="L151" s="32" t="str">
        <f t="shared" si="2"/>
        <v/>
      </c>
      <c r="M151" s="32"/>
      <c r="N151" s="32"/>
      <c r="O151" s="38"/>
      <c r="P151" s="32"/>
      <c r="Q151" s="24"/>
      <c r="R151" s="32"/>
    </row>
    <row r="152" ht="16.5" customHeight="1">
      <c r="A152" s="1"/>
      <c r="B152" s="32"/>
      <c r="C152" s="32"/>
      <c r="D152" s="32"/>
      <c r="E152" s="32"/>
      <c r="F152" s="32"/>
      <c r="G152" s="32"/>
      <c r="H152" s="24"/>
      <c r="I152" s="24"/>
      <c r="J152" s="101" t="str">
        <f t="shared" si="1"/>
        <v/>
      </c>
      <c r="K152" s="32"/>
      <c r="L152" s="32" t="str">
        <f t="shared" si="2"/>
        <v/>
      </c>
      <c r="M152" s="32"/>
      <c r="N152" s="32"/>
      <c r="O152" s="38"/>
      <c r="P152" s="32"/>
      <c r="Q152" s="24"/>
      <c r="R152" s="32"/>
    </row>
    <row r="153" ht="16.5" customHeight="1">
      <c r="A153" s="1"/>
      <c r="B153" s="32"/>
      <c r="C153" s="32"/>
      <c r="D153" s="32"/>
      <c r="E153" s="32"/>
      <c r="F153" s="32"/>
      <c r="G153" s="32"/>
      <c r="H153" s="24"/>
      <c r="I153" s="24"/>
      <c r="J153" s="101" t="str">
        <f t="shared" si="1"/>
        <v/>
      </c>
      <c r="K153" s="32"/>
      <c r="L153" s="32" t="str">
        <f t="shared" si="2"/>
        <v/>
      </c>
      <c r="M153" s="32"/>
      <c r="N153" s="32"/>
      <c r="O153" s="38"/>
      <c r="P153" s="32"/>
      <c r="Q153" s="24"/>
      <c r="R153" s="32"/>
    </row>
    <row r="154" ht="16.5" customHeight="1">
      <c r="A154" s="1"/>
      <c r="B154" s="32"/>
      <c r="C154" s="32"/>
      <c r="D154" s="32"/>
      <c r="E154" s="32"/>
      <c r="F154" s="32"/>
      <c r="G154" s="32"/>
      <c r="H154" s="24"/>
      <c r="I154" s="24"/>
      <c r="J154" s="101" t="str">
        <f t="shared" si="1"/>
        <v/>
      </c>
      <c r="K154" s="32"/>
      <c r="L154" s="32" t="str">
        <f t="shared" si="2"/>
        <v/>
      </c>
      <c r="M154" s="32"/>
      <c r="N154" s="32"/>
      <c r="O154" s="38"/>
      <c r="P154" s="32"/>
      <c r="Q154" s="24"/>
      <c r="R154" s="32"/>
    </row>
    <row r="155" ht="16.5" customHeight="1">
      <c r="A155" s="1"/>
      <c r="B155" s="32"/>
      <c r="C155" s="32"/>
      <c r="D155" s="32"/>
      <c r="E155" s="32"/>
      <c r="F155" s="32"/>
      <c r="G155" s="32"/>
      <c r="H155" s="24"/>
      <c r="I155" s="24"/>
      <c r="J155" s="101" t="str">
        <f t="shared" si="1"/>
        <v/>
      </c>
      <c r="K155" s="32"/>
      <c r="L155" s="32" t="str">
        <f t="shared" si="2"/>
        <v/>
      </c>
      <c r="M155" s="32"/>
      <c r="N155" s="32"/>
      <c r="O155" s="38"/>
      <c r="P155" s="32"/>
      <c r="Q155" s="24"/>
      <c r="R155" s="32"/>
    </row>
    <row r="156" ht="16.5" customHeight="1">
      <c r="A156" s="1"/>
      <c r="B156" s="32"/>
      <c r="C156" s="32"/>
      <c r="D156" s="32"/>
      <c r="E156" s="32"/>
      <c r="F156" s="32"/>
      <c r="G156" s="32"/>
      <c r="H156" s="24"/>
      <c r="I156" s="24"/>
      <c r="J156" s="101" t="str">
        <f t="shared" si="1"/>
        <v/>
      </c>
      <c r="K156" s="32"/>
      <c r="L156" s="32" t="str">
        <f t="shared" si="2"/>
        <v/>
      </c>
      <c r="M156" s="32"/>
      <c r="N156" s="32"/>
      <c r="O156" s="38"/>
      <c r="P156" s="32"/>
      <c r="Q156" s="24"/>
      <c r="R156" s="32"/>
    </row>
    <row r="157" ht="16.5" customHeight="1">
      <c r="A157" s="1"/>
      <c r="B157" s="32"/>
      <c r="C157" s="32"/>
      <c r="D157" s="32"/>
      <c r="E157" s="32"/>
      <c r="F157" s="32"/>
      <c r="G157" s="32"/>
      <c r="H157" s="24"/>
      <c r="I157" s="24"/>
      <c r="J157" s="101" t="str">
        <f t="shared" si="1"/>
        <v/>
      </c>
      <c r="K157" s="32"/>
      <c r="L157" s="32" t="str">
        <f t="shared" si="2"/>
        <v/>
      </c>
      <c r="M157" s="32"/>
      <c r="N157" s="32"/>
      <c r="O157" s="38"/>
      <c r="P157" s="32"/>
      <c r="Q157" s="24"/>
      <c r="R157" s="32"/>
    </row>
    <row r="158" ht="16.5" customHeight="1">
      <c r="A158" s="1"/>
      <c r="B158" s="32"/>
      <c r="C158" s="32"/>
      <c r="D158" s="32"/>
      <c r="E158" s="32"/>
      <c r="F158" s="32"/>
      <c r="G158" s="32"/>
      <c r="H158" s="24"/>
      <c r="I158" s="24"/>
      <c r="J158" s="101" t="str">
        <f t="shared" si="1"/>
        <v/>
      </c>
      <c r="K158" s="32"/>
      <c r="L158" s="32" t="str">
        <f t="shared" si="2"/>
        <v/>
      </c>
      <c r="M158" s="32"/>
      <c r="N158" s="32"/>
      <c r="O158" s="38"/>
      <c r="P158" s="32"/>
      <c r="Q158" s="24"/>
      <c r="R158" s="32"/>
    </row>
    <row r="159" ht="16.5" customHeight="1">
      <c r="A159" s="1"/>
      <c r="B159" s="32"/>
      <c r="C159" s="32"/>
      <c r="D159" s="32"/>
      <c r="E159" s="32"/>
      <c r="F159" s="32"/>
      <c r="G159" s="32"/>
      <c r="H159" s="24"/>
      <c r="I159" s="24"/>
      <c r="J159" s="101" t="str">
        <f t="shared" si="1"/>
        <v/>
      </c>
      <c r="K159" s="32"/>
      <c r="L159" s="32" t="str">
        <f t="shared" si="2"/>
        <v/>
      </c>
      <c r="M159" s="32"/>
      <c r="N159" s="32"/>
      <c r="O159" s="38"/>
      <c r="P159" s="32"/>
      <c r="Q159" s="24"/>
      <c r="R159" s="32"/>
    </row>
    <row r="160" ht="16.5" customHeight="1">
      <c r="A160" s="1"/>
      <c r="B160" s="32"/>
      <c r="C160" s="32"/>
      <c r="D160" s="32"/>
      <c r="E160" s="32"/>
      <c r="F160" s="32"/>
      <c r="G160" s="32"/>
      <c r="H160" s="24"/>
      <c r="I160" s="24"/>
      <c r="J160" s="101" t="str">
        <f t="shared" si="1"/>
        <v/>
      </c>
      <c r="K160" s="32"/>
      <c r="L160" s="32" t="str">
        <f t="shared" si="2"/>
        <v/>
      </c>
      <c r="M160" s="32"/>
      <c r="N160" s="32"/>
      <c r="O160" s="38"/>
      <c r="P160" s="32"/>
      <c r="Q160" s="24"/>
      <c r="R160" s="32"/>
    </row>
    <row r="161" ht="16.5" customHeight="1">
      <c r="A161" s="1"/>
      <c r="B161" s="32"/>
      <c r="C161" s="32"/>
      <c r="D161" s="32"/>
      <c r="E161" s="32"/>
      <c r="F161" s="32"/>
      <c r="G161" s="32"/>
      <c r="H161" s="24"/>
      <c r="I161" s="24"/>
      <c r="J161" s="101" t="str">
        <f t="shared" si="1"/>
        <v/>
      </c>
      <c r="K161" s="32"/>
      <c r="L161" s="32" t="str">
        <f t="shared" si="2"/>
        <v/>
      </c>
      <c r="M161" s="32"/>
      <c r="N161" s="32"/>
      <c r="O161" s="38"/>
      <c r="P161" s="32"/>
      <c r="Q161" s="24"/>
      <c r="R161" s="32"/>
    </row>
    <row r="162" ht="16.5" customHeight="1">
      <c r="A162" s="1"/>
      <c r="B162" s="32"/>
      <c r="C162" s="32"/>
      <c r="D162" s="32"/>
      <c r="E162" s="32"/>
      <c r="F162" s="32"/>
      <c r="G162" s="32"/>
      <c r="H162" s="24"/>
      <c r="I162" s="24"/>
      <c r="J162" s="101" t="str">
        <f t="shared" si="1"/>
        <v/>
      </c>
      <c r="K162" s="32"/>
      <c r="L162" s="32" t="str">
        <f t="shared" si="2"/>
        <v/>
      </c>
      <c r="M162" s="32"/>
      <c r="N162" s="32"/>
      <c r="O162" s="38"/>
      <c r="P162" s="32"/>
      <c r="Q162" s="24"/>
      <c r="R162" s="32"/>
    </row>
    <row r="163" ht="16.5" customHeight="1">
      <c r="A163" s="1"/>
      <c r="B163" s="32"/>
      <c r="C163" s="32"/>
      <c r="D163" s="32"/>
      <c r="E163" s="32"/>
      <c r="F163" s="32"/>
      <c r="G163" s="32"/>
      <c r="H163" s="24"/>
      <c r="I163" s="24"/>
      <c r="J163" s="101" t="str">
        <f t="shared" si="1"/>
        <v/>
      </c>
      <c r="K163" s="32"/>
      <c r="L163" s="32" t="str">
        <f t="shared" si="2"/>
        <v/>
      </c>
      <c r="M163" s="32"/>
      <c r="N163" s="32"/>
      <c r="O163" s="38"/>
      <c r="P163" s="32"/>
      <c r="Q163" s="24"/>
      <c r="R163" s="32"/>
    </row>
    <row r="164" ht="16.5" customHeight="1">
      <c r="A164" s="1"/>
      <c r="B164" s="32"/>
      <c r="C164" s="32"/>
      <c r="D164" s="32"/>
      <c r="E164" s="32"/>
      <c r="F164" s="32"/>
      <c r="G164" s="32"/>
      <c r="H164" s="24"/>
      <c r="I164" s="24"/>
      <c r="J164" s="101" t="str">
        <f t="shared" si="1"/>
        <v/>
      </c>
      <c r="K164" s="32"/>
      <c r="L164" s="32" t="str">
        <f t="shared" si="2"/>
        <v/>
      </c>
      <c r="M164" s="32"/>
      <c r="N164" s="32"/>
      <c r="O164" s="38"/>
      <c r="P164" s="32"/>
      <c r="Q164" s="24"/>
      <c r="R164" s="32"/>
    </row>
    <row r="165" ht="16.5" customHeight="1">
      <c r="A165" s="1"/>
      <c r="B165" s="32"/>
      <c r="C165" s="32"/>
      <c r="D165" s="32"/>
      <c r="E165" s="32"/>
      <c r="F165" s="32"/>
      <c r="G165" s="32"/>
      <c r="H165" s="24"/>
      <c r="I165" s="24"/>
      <c r="J165" s="101" t="str">
        <f t="shared" si="1"/>
        <v/>
      </c>
      <c r="K165" s="32"/>
      <c r="L165" s="32" t="str">
        <f t="shared" si="2"/>
        <v/>
      </c>
      <c r="M165" s="32"/>
      <c r="N165" s="32"/>
      <c r="O165" s="38"/>
      <c r="P165" s="32"/>
      <c r="Q165" s="24"/>
      <c r="R165" s="32"/>
    </row>
    <row r="166" ht="16.5" customHeight="1">
      <c r="A166" s="1"/>
      <c r="B166" s="32"/>
      <c r="C166" s="32"/>
      <c r="D166" s="32"/>
      <c r="E166" s="32"/>
      <c r="F166" s="32"/>
      <c r="G166" s="32"/>
      <c r="H166" s="24"/>
      <c r="I166" s="24"/>
      <c r="J166" s="101" t="str">
        <f t="shared" si="1"/>
        <v/>
      </c>
      <c r="K166" s="32"/>
      <c r="L166" s="32" t="str">
        <f t="shared" si="2"/>
        <v/>
      </c>
      <c r="M166" s="32"/>
      <c r="N166" s="32"/>
      <c r="O166" s="38"/>
      <c r="P166" s="32"/>
      <c r="Q166" s="24"/>
      <c r="R166" s="32"/>
    </row>
    <row r="167" ht="16.5" customHeight="1">
      <c r="A167" s="1"/>
      <c r="B167" s="32"/>
      <c r="C167" s="32"/>
      <c r="D167" s="32"/>
      <c r="E167" s="32"/>
      <c r="F167" s="32"/>
      <c r="G167" s="32"/>
      <c r="H167" s="24"/>
      <c r="I167" s="24"/>
      <c r="J167" s="101" t="str">
        <f t="shared" si="1"/>
        <v/>
      </c>
      <c r="K167" s="32"/>
      <c r="L167" s="32" t="str">
        <f t="shared" si="2"/>
        <v/>
      </c>
      <c r="M167" s="32"/>
      <c r="N167" s="32"/>
      <c r="O167" s="38"/>
      <c r="P167" s="32"/>
      <c r="Q167" s="24"/>
      <c r="R167" s="32"/>
    </row>
    <row r="168" ht="16.5" customHeight="1">
      <c r="A168" s="1"/>
      <c r="B168" s="32"/>
      <c r="C168" s="32"/>
      <c r="D168" s="32"/>
      <c r="E168" s="32"/>
      <c r="F168" s="32"/>
      <c r="G168" s="32"/>
      <c r="H168" s="24"/>
      <c r="I168" s="24"/>
      <c r="J168" s="101" t="str">
        <f t="shared" si="1"/>
        <v/>
      </c>
      <c r="K168" s="32"/>
      <c r="L168" s="32" t="str">
        <f t="shared" si="2"/>
        <v/>
      </c>
      <c r="M168" s="32"/>
      <c r="N168" s="32"/>
      <c r="O168" s="38"/>
      <c r="P168" s="32"/>
      <c r="Q168" s="24"/>
      <c r="R168" s="32"/>
    </row>
    <row r="169" ht="16.5" customHeight="1">
      <c r="A169" s="1"/>
      <c r="B169" s="32"/>
      <c r="C169" s="32"/>
      <c r="D169" s="32"/>
      <c r="E169" s="32"/>
      <c r="F169" s="32"/>
      <c r="G169" s="32"/>
      <c r="H169" s="24"/>
      <c r="I169" s="24"/>
      <c r="J169" s="101" t="str">
        <f t="shared" si="1"/>
        <v/>
      </c>
      <c r="K169" s="32"/>
      <c r="L169" s="32" t="str">
        <f t="shared" si="2"/>
        <v/>
      </c>
      <c r="M169" s="32"/>
      <c r="N169" s="32"/>
      <c r="O169" s="38"/>
      <c r="P169" s="32"/>
      <c r="Q169" s="24"/>
      <c r="R169" s="32"/>
    </row>
    <row r="170" ht="16.5" customHeight="1">
      <c r="A170" s="1"/>
      <c r="B170" s="32"/>
      <c r="C170" s="32"/>
      <c r="D170" s="32"/>
      <c r="E170" s="32"/>
      <c r="F170" s="32"/>
      <c r="G170" s="32"/>
      <c r="H170" s="24"/>
      <c r="I170" s="24"/>
      <c r="J170" s="101" t="str">
        <f t="shared" si="1"/>
        <v/>
      </c>
      <c r="K170" s="32"/>
      <c r="L170" s="32" t="str">
        <f t="shared" si="2"/>
        <v/>
      </c>
      <c r="M170" s="32"/>
      <c r="N170" s="32"/>
      <c r="O170" s="38"/>
      <c r="P170" s="32"/>
      <c r="Q170" s="24"/>
      <c r="R170" s="32"/>
    </row>
    <row r="171" ht="16.5" customHeight="1">
      <c r="A171" s="1"/>
      <c r="B171" s="32"/>
      <c r="C171" s="32"/>
      <c r="D171" s="32"/>
      <c r="E171" s="32"/>
      <c r="F171" s="32"/>
      <c r="G171" s="32"/>
      <c r="H171" s="24"/>
      <c r="I171" s="24"/>
      <c r="J171" s="101" t="str">
        <f t="shared" si="1"/>
        <v/>
      </c>
      <c r="K171" s="32"/>
      <c r="L171" s="32" t="str">
        <f t="shared" si="2"/>
        <v/>
      </c>
      <c r="M171" s="32"/>
      <c r="N171" s="32"/>
      <c r="O171" s="38"/>
      <c r="P171" s="32"/>
      <c r="Q171" s="24"/>
      <c r="R171" s="32"/>
    </row>
    <row r="172" ht="16.5" customHeight="1">
      <c r="A172" s="1"/>
      <c r="B172" s="32"/>
      <c r="C172" s="32"/>
      <c r="D172" s="32"/>
      <c r="E172" s="32"/>
      <c r="F172" s="32"/>
      <c r="G172" s="32"/>
      <c r="H172" s="24"/>
      <c r="I172" s="24"/>
      <c r="J172" s="101" t="str">
        <f t="shared" si="1"/>
        <v/>
      </c>
      <c r="K172" s="32"/>
      <c r="L172" s="32" t="str">
        <f t="shared" si="2"/>
        <v/>
      </c>
      <c r="M172" s="32"/>
      <c r="N172" s="32"/>
      <c r="O172" s="38"/>
      <c r="P172" s="32"/>
      <c r="Q172" s="24"/>
      <c r="R172" s="32"/>
    </row>
    <row r="173" ht="16.5" customHeight="1">
      <c r="A173" s="1"/>
      <c r="B173" s="32"/>
      <c r="C173" s="32"/>
      <c r="D173" s="32"/>
      <c r="E173" s="32"/>
      <c r="F173" s="32"/>
      <c r="G173" s="32"/>
      <c r="H173" s="24"/>
      <c r="I173" s="24"/>
      <c r="J173" s="101" t="str">
        <f t="shared" si="1"/>
        <v/>
      </c>
      <c r="K173" s="32"/>
      <c r="L173" s="32" t="str">
        <f t="shared" si="2"/>
        <v/>
      </c>
      <c r="M173" s="32"/>
      <c r="N173" s="32"/>
      <c r="O173" s="38"/>
      <c r="P173" s="32"/>
      <c r="Q173" s="24"/>
      <c r="R173" s="32"/>
    </row>
    <row r="174" ht="16.5" customHeight="1">
      <c r="A174" s="1"/>
      <c r="B174" s="32"/>
      <c r="C174" s="32"/>
      <c r="D174" s="32"/>
      <c r="E174" s="32"/>
      <c r="F174" s="32"/>
      <c r="G174" s="32"/>
      <c r="H174" s="24"/>
      <c r="I174" s="24"/>
      <c r="J174" s="101" t="str">
        <f t="shared" si="1"/>
        <v/>
      </c>
      <c r="K174" s="32"/>
      <c r="L174" s="32" t="str">
        <f t="shared" si="2"/>
        <v/>
      </c>
      <c r="M174" s="32"/>
      <c r="N174" s="32"/>
      <c r="O174" s="38"/>
      <c r="P174" s="32"/>
      <c r="Q174" s="24"/>
      <c r="R174" s="32"/>
    </row>
    <row r="175" ht="16.5" customHeight="1">
      <c r="A175" s="1"/>
      <c r="B175" s="32"/>
      <c r="C175" s="32"/>
      <c r="D175" s="32"/>
      <c r="E175" s="32"/>
      <c r="F175" s="32"/>
      <c r="G175" s="32"/>
      <c r="H175" s="24"/>
      <c r="I175" s="24"/>
      <c r="J175" s="101" t="str">
        <f t="shared" si="1"/>
        <v/>
      </c>
      <c r="K175" s="32"/>
      <c r="L175" s="32" t="str">
        <f t="shared" si="2"/>
        <v/>
      </c>
      <c r="M175" s="32"/>
      <c r="N175" s="32"/>
      <c r="O175" s="38"/>
      <c r="P175" s="32"/>
      <c r="Q175" s="24"/>
      <c r="R175" s="32"/>
    </row>
    <row r="176" ht="16.5" customHeight="1">
      <c r="A176" s="1"/>
      <c r="B176" s="32"/>
      <c r="C176" s="32"/>
      <c r="D176" s="32"/>
      <c r="E176" s="32"/>
      <c r="F176" s="32"/>
      <c r="G176" s="32"/>
      <c r="H176" s="24"/>
      <c r="I176" s="24"/>
      <c r="J176" s="101" t="str">
        <f t="shared" si="1"/>
        <v/>
      </c>
      <c r="K176" s="32"/>
      <c r="L176" s="32" t="str">
        <f t="shared" si="2"/>
        <v/>
      </c>
      <c r="M176" s="32"/>
      <c r="N176" s="32"/>
      <c r="O176" s="38"/>
      <c r="P176" s="32"/>
      <c r="Q176" s="24"/>
      <c r="R176" s="32"/>
    </row>
    <row r="177" ht="16.5" customHeight="1">
      <c r="A177" s="1"/>
      <c r="B177" s="32"/>
      <c r="C177" s="32"/>
      <c r="D177" s="32"/>
      <c r="E177" s="32"/>
      <c r="F177" s="32"/>
      <c r="G177" s="32"/>
      <c r="H177" s="24"/>
      <c r="I177" s="24"/>
      <c r="J177" s="101" t="str">
        <f t="shared" si="1"/>
        <v/>
      </c>
      <c r="K177" s="32"/>
      <c r="L177" s="32" t="str">
        <f t="shared" si="2"/>
        <v/>
      </c>
      <c r="M177" s="32"/>
      <c r="N177" s="32"/>
      <c r="O177" s="38"/>
      <c r="P177" s="32"/>
      <c r="Q177" s="24"/>
      <c r="R177" s="32"/>
    </row>
    <row r="178" ht="16.5" customHeight="1">
      <c r="A178" s="1"/>
      <c r="B178" s="32"/>
      <c r="C178" s="32"/>
      <c r="D178" s="32"/>
      <c r="E178" s="32"/>
      <c r="F178" s="32"/>
      <c r="G178" s="32"/>
      <c r="H178" s="24"/>
      <c r="I178" s="24"/>
      <c r="J178" s="101" t="str">
        <f t="shared" si="1"/>
        <v/>
      </c>
      <c r="K178" s="32"/>
      <c r="L178" s="32" t="str">
        <f t="shared" si="2"/>
        <v/>
      </c>
      <c r="M178" s="32"/>
      <c r="N178" s="32"/>
      <c r="O178" s="38"/>
      <c r="P178" s="32"/>
      <c r="Q178" s="24"/>
      <c r="R178" s="32"/>
    </row>
    <row r="179" ht="16.5" customHeight="1">
      <c r="A179" s="1"/>
      <c r="B179" s="32"/>
      <c r="C179" s="32"/>
      <c r="D179" s="32"/>
      <c r="E179" s="32"/>
      <c r="F179" s="32"/>
      <c r="G179" s="32"/>
      <c r="H179" s="24"/>
      <c r="I179" s="24"/>
      <c r="J179" s="101" t="str">
        <f t="shared" si="1"/>
        <v/>
      </c>
      <c r="K179" s="32"/>
      <c r="L179" s="32" t="str">
        <f t="shared" si="2"/>
        <v/>
      </c>
      <c r="M179" s="32"/>
      <c r="N179" s="32"/>
      <c r="O179" s="38"/>
      <c r="P179" s="32"/>
      <c r="Q179" s="24"/>
      <c r="R179" s="32"/>
    </row>
    <row r="180" ht="16.5" customHeight="1">
      <c r="A180" s="1"/>
      <c r="B180" s="32"/>
      <c r="C180" s="32"/>
      <c r="D180" s="32"/>
      <c r="E180" s="32"/>
      <c r="F180" s="32"/>
      <c r="G180" s="32"/>
      <c r="H180" s="24"/>
      <c r="I180" s="24"/>
      <c r="J180" s="101" t="str">
        <f t="shared" si="1"/>
        <v/>
      </c>
      <c r="K180" s="32"/>
      <c r="L180" s="32" t="str">
        <f t="shared" si="2"/>
        <v/>
      </c>
      <c r="M180" s="32"/>
      <c r="N180" s="32"/>
      <c r="O180" s="38"/>
      <c r="P180" s="32"/>
      <c r="Q180" s="24"/>
      <c r="R180" s="32"/>
    </row>
    <row r="181" ht="16.5" customHeight="1">
      <c r="A181" s="1"/>
      <c r="B181" s="32"/>
      <c r="C181" s="32"/>
      <c r="D181" s="32"/>
      <c r="E181" s="32"/>
      <c r="F181" s="32"/>
      <c r="G181" s="32"/>
      <c r="H181" s="24"/>
      <c r="I181" s="24"/>
      <c r="J181" s="101" t="str">
        <f t="shared" si="1"/>
        <v/>
      </c>
      <c r="K181" s="32"/>
      <c r="L181" s="32" t="str">
        <f t="shared" si="2"/>
        <v/>
      </c>
      <c r="M181" s="32"/>
      <c r="N181" s="32"/>
      <c r="O181" s="38"/>
      <c r="P181" s="32"/>
      <c r="Q181" s="24"/>
      <c r="R181" s="32"/>
    </row>
    <row r="182" ht="16.5" customHeight="1">
      <c r="A182" s="1"/>
      <c r="B182" s="32"/>
      <c r="C182" s="32"/>
      <c r="D182" s="32"/>
      <c r="E182" s="32"/>
      <c r="F182" s="32"/>
      <c r="G182" s="32"/>
      <c r="H182" s="24"/>
      <c r="I182" s="24"/>
      <c r="J182" s="101" t="str">
        <f t="shared" si="1"/>
        <v/>
      </c>
      <c r="K182" s="32"/>
      <c r="L182" s="32" t="str">
        <f t="shared" si="2"/>
        <v/>
      </c>
      <c r="M182" s="32"/>
      <c r="N182" s="32"/>
      <c r="O182" s="38"/>
      <c r="P182" s="32"/>
      <c r="Q182" s="24"/>
      <c r="R182" s="32"/>
    </row>
    <row r="183" ht="16.5" customHeight="1">
      <c r="A183" s="1"/>
      <c r="B183" s="32"/>
      <c r="C183" s="32"/>
      <c r="D183" s="32"/>
      <c r="E183" s="32"/>
      <c r="F183" s="32"/>
      <c r="G183" s="32"/>
      <c r="H183" s="24"/>
      <c r="I183" s="24"/>
      <c r="J183" s="101" t="str">
        <f t="shared" si="1"/>
        <v/>
      </c>
      <c r="K183" s="32"/>
      <c r="L183" s="32" t="str">
        <f t="shared" si="2"/>
        <v/>
      </c>
      <c r="M183" s="32"/>
      <c r="N183" s="32"/>
      <c r="O183" s="38"/>
      <c r="P183" s="32"/>
      <c r="Q183" s="24"/>
      <c r="R183" s="32"/>
    </row>
    <row r="184" ht="16.5" customHeight="1">
      <c r="A184" s="1"/>
      <c r="B184" s="32"/>
      <c r="C184" s="32"/>
      <c r="D184" s="32"/>
      <c r="E184" s="32"/>
      <c r="F184" s="32"/>
      <c r="G184" s="32"/>
      <c r="H184" s="24"/>
      <c r="I184" s="24"/>
      <c r="J184" s="101" t="str">
        <f t="shared" si="1"/>
        <v/>
      </c>
      <c r="K184" s="32"/>
      <c r="L184" s="32" t="str">
        <f t="shared" si="2"/>
        <v/>
      </c>
      <c r="M184" s="32"/>
      <c r="N184" s="32"/>
      <c r="O184" s="38"/>
      <c r="P184" s="32"/>
      <c r="Q184" s="24"/>
      <c r="R184" s="32"/>
    </row>
    <row r="185" ht="16.5" customHeight="1">
      <c r="A185" s="1"/>
      <c r="B185" s="32"/>
      <c r="C185" s="32"/>
      <c r="D185" s="32"/>
      <c r="E185" s="32"/>
      <c r="F185" s="32"/>
      <c r="G185" s="32"/>
      <c r="H185" s="24"/>
      <c r="I185" s="24"/>
      <c r="J185" s="101" t="str">
        <f t="shared" si="1"/>
        <v/>
      </c>
      <c r="K185" s="32"/>
      <c r="L185" s="32" t="str">
        <f t="shared" si="2"/>
        <v/>
      </c>
      <c r="M185" s="32"/>
      <c r="N185" s="32"/>
      <c r="O185" s="38"/>
      <c r="P185" s="32"/>
      <c r="Q185" s="24"/>
      <c r="R185" s="32"/>
    </row>
    <row r="186" ht="16.5" customHeight="1">
      <c r="A186" s="1"/>
      <c r="B186" s="32"/>
      <c r="C186" s="32"/>
      <c r="D186" s="32"/>
      <c r="E186" s="32"/>
      <c r="F186" s="32"/>
      <c r="G186" s="32"/>
      <c r="H186" s="24"/>
      <c r="I186" s="24"/>
      <c r="J186" s="101" t="str">
        <f t="shared" si="1"/>
        <v/>
      </c>
      <c r="K186" s="32"/>
      <c r="L186" s="32" t="str">
        <f t="shared" si="2"/>
        <v/>
      </c>
      <c r="M186" s="32"/>
      <c r="N186" s="32"/>
      <c r="O186" s="38"/>
      <c r="P186" s="32"/>
      <c r="Q186" s="24"/>
      <c r="R186" s="32"/>
    </row>
    <row r="187" ht="16.5" customHeight="1">
      <c r="A187" s="1"/>
      <c r="B187" s="32"/>
      <c r="C187" s="32"/>
      <c r="D187" s="32"/>
      <c r="E187" s="32"/>
      <c r="F187" s="32"/>
      <c r="G187" s="32"/>
      <c r="H187" s="24"/>
      <c r="I187" s="24"/>
      <c r="J187" s="101" t="str">
        <f t="shared" si="1"/>
        <v/>
      </c>
      <c r="K187" s="32"/>
      <c r="L187" s="32" t="str">
        <f t="shared" si="2"/>
        <v/>
      </c>
      <c r="M187" s="32"/>
      <c r="N187" s="32"/>
      <c r="O187" s="38"/>
      <c r="P187" s="32"/>
      <c r="Q187" s="24"/>
      <c r="R187" s="32"/>
    </row>
    <row r="188" ht="16.5" customHeight="1">
      <c r="A188" s="1"/>
      <c r="B188" s="32"/>
      <c r="C188" s="32"/>
      <c r="D188" s="32"/>
      <c r="E188" s="32"/>
      <c r="F188" s="32"/>
      <c r="G188" s="32"/>
      <c r="H188" s="24"/>
      <c r="I188" s="24"/>
      <c r="J188" s="101" t="str">
        <f t="shared" si="1"/>
        <v/>
      </c>
      <c r="K188" s="32"/>
      <c r="L188" s="32" t="str">
        <f t="shared" si="2"/>
        <v/>
      </c>
      <c r="M188" s="32"/>
      <c r="N188" s="32"/>
      <c r="O188" s="38"/>
      <c r="P188" s="32"/>
      <c r="Q188" s="24"/>
      <c r="R188" s="32"/>
    </row>
    <row r="189" ht="16.5" customHeight="1">
      <c r="A189" s="1"/>
      <c r="B189" s="32"/>
      <c r="C189" s="32"/>
      <c r="D189" s="32"/>
      <c r="E189" s="32"/>
      <c r="F189" s="32"/>
      <c r="G189" s="32"/>
      <c r="H189" s="24"/>
      <c r="I189" s="24"/>
      <c r="J189" s="101" t="str">
        <f t="shared" si="1"/>
        <v/>
      </c>
      <c r="K189" s="32"/>
      <c r="L189" s="32" t="str">
        <f t="shared" si="2"/>
        <v/>
      </c>
      <c r="M189" s="32"/>
      <c r="N189" s="32"/>
      <c r="O189" s="38"/>
      <c r="P189" s="32"/>
      <c r="Q189" s="24"/>
      <c r="R189" s="32"/>
    </row>
    <row r="190" ht="16.5" customHeight="1">
      <c r="A190" s="1"/>
      <c r="B190" s="32"/>
      <c r="C190" s="32"/>
      <c r="D190" s="32"/>
      <c r="E190" s="32"/>
      <c r="F190" s="32"/>
      <c r="G190" s="32"/>
      <c r="H190" s="24"/>
      <c r="I190" s="24"/>
      <c r="J190" s="101" t="str">
        <f t="shared" si="1"/>
        <v/>
      </c>
      <c r="K190" s="32"/>
      <c r="L190" s="32" t="str">
        <f t="shared" si="2"/>
        <v/>
      </c>
      <c r="M190" s="32"/>
      <c r="N190" s="32"/>
      <c r="O190" s="38"/>
      <c r="P190" s="32"/>
      <c r="Q190" s="24"/>
      <c r="R190" s="32"/>
    </row>
    <row r="191" ht="16.5" customHeight="1">
      <c r="A191" s="1"/>
      <c r="B191" s="32"/>
      <c r="C191" s="32"/>
      <c r="D191" s="32"/>
      <c r="E191" s="32"/>
      <c r="F191" s="32"/>
      <c r="G191" s="32"/>
      <c r="H191" s="24"/>
      <c r="I191" s="24"/>
      <c r="J191" s="101" t="str">
        <f t="shared" si="1"/>
        <v/>
      </c>
      <c r="K191" s="32"/>
      <c r="L191" s="32" t="str">
        <f t="shared" si="2"/>
        <v/>
      </c>
      <c r="M191" s="32"/>
      <c r="N191" s="32"/>
      <c r="O191" s="38"/>
      <c r="P191" s="32"/>
      <c r="Q191" s="24"/>
      <c r="R191" s="32"/>
    </row>
    <row r="192" ht="16.5" customHeight="1">
      <c r="A192" s="1"/>
      <c r="B192" s="32"/>
      <c r="C192" s="32"/>
      <c r="D192" s="32"/>
      <c r="E192" s="32"/>
      <c r="F192" s="32"/>
      <c r="G192" s="32"/>
      <c r="H192" s="24"/>
      <c r="I192" s="24"/>
      <c r="J192" s="101" t="str">
        <f t="shared" si="1"/>
        <v/>
      </c>
      <c r="K192" s="32"/>
      <c r="L192" s="32" t="str">
        <f t="shared" si="2"/>
        <v/>
      </c>
      <c r="M192" s="32"/>
      <c r="N192" s="32"/>
      <c r="O192" s="38"/>
      <c r="P192" s="32"/>
      <c r="Q192" s="24"/>
      <c r="R192" s="32"/>
    </row>
    <row r="193" ht="16.5" customHeight="1">
      <c r="A193" s="1"/>
      <c r="B193" s="32"/>
      <c r="C193" s="32"/>
      <c r="D193" s="32"/>
      <c r="E193" s="32"/>
      <c r="F193" s="32"/>
      <c r="G193" s="32"/>
      <c r="H193" s="24"/>
      <c r="I193" s="24"/>
      <c r="J193" s="101" t="str">
        <f t="shared" si="1"/>
        <v/>
      </c>
      <c r="K193" s="32"/>
      <c r="L193" s="32" t="str">
        <f t="shared" si="2"/>
        <v/>
      </c>
      <c r="M193" s="32"/>
      <c r="N193" s="32"/>
      <c r="O193" s="38"/>
      <c r="P193" s="32"/>
      <c r="Q193" s="24"/>
      <c r="R193" s="32"/>
    </row>
    <row r="194" ht="16.5" customHeight="1">
      <c r="A194" s="1"/>
      <c r="B194" s="32"/>
      <c r="C194" s="32"/>
      <c r="D194" s="32"/>
      <c r="E194" s="32"/>
      <c r="F194" s="32"/>
      <c r="G194" s="32"/>
      <c r="H194" s="24"/>
      <c r="I194" s="24"/>
      <c r="J194" s="101" t="str">
        <f t="shared" si="1"/>
        <v/>
      </c>
      <c r="K194" s="32"/>
      <c r="L194" s="32" t="str">
        <f t="shared" si="2"/>
        <v/>
      </c>
      <c r="M194" s="32"/>
      <c r="N194" s="32"/>
      <c r="O194" s="38"/>
      <c r="P194" s="32"/>
      <c r="Q194" s="24"/>
      <c r="R194" s="32"/>
    </row>
    <row r="195" ht="16.5" customHeight="1">
      <c r="A195" s="1"/>
      <c r="B195" s="32"/>
      <c r="C195" s="32"/>
      <c r="D195" s="32"/>
      <c r="E195" s="32"/>
      <c r="F195" s="32"/>
      <c r="G195" s="32"/>
      <c r="H195" s="24"/>
      <c r="I195" s="24"/>
      <c r="J195" s="101" t="str">
        <f t="shared" si="1"/>
        <v/>
      </c>
      <c r="K195" s="32"/>
      <c r="L195" s="32" t="str">
        <f t="shared" si="2"/>
        <v/>
      </c>
      <c r="M195" s="32"/>
      <c r="N195" s="32"/>
      <c r="O195" s="38"/>
      <c r="P195" s="32"/>
      <c r="Q195" s="24"/>
      <c r="R195" s="32"/>
    </row>
    <row r="196" ht="16.5" customHeight="1">
      <c r="A196" s="1"/>
      <c r="B196" s="32"/>
      <c r="C196" s="32"/>
      <c r="D196" s="32"/>
      <c r="E196" s="32"/>
      <c r="F196" s="32"/>
      <c r="G196" s="32"/>
      <c r="H196" s="24"/>
      <c r="I196" s="24"/>
      <c r="J196" s="101" t="str">
        <f t="shared" si="1"/>
        <v/>
      </c>
      <c r="K196" s="32"/>
      <c r="L196" s="32" t="str">
        <f t="shared" si="2"/>
        <v/>
      </c>
      <c r="M196" s="32"/>
      <c r="N196" s="32"/>
      <c r="O196" s="38"/>
      <c r="P196" s="32"/>
      <c r="Q196" s="24"/>
      <c r="R196" s="32"/>
    </row>
    <row r="197" ht="16.5" customHeight="1">
      <c r="A197" s="1"/>
      <c r="B197" s="32"/>
      <c r="C197" s="32"/>
      <c r="D197" s="32"/>
      <c r="E197" s="32"/>
      <c r="F197" s="32"/>
      <c r="G197" s="32"/>
      <c r="H197" s="24"/>
      <c r="I197" s="24"/>
      <c r="J197" s="101" t="str">
        <f t="shared" si="1"/>
        <v/>
      </c>
      <c r="K197" s="32"/>
      <c r="L197" s="32" t="str">
        <f t="shared" si="2"/>
        <v/>
      </c>
      <c r="M197" s="32"/>
      <c r="N197" s="32"/>
      <c r="O197" s="38"/>
      <c r="P197" s="32"/>
      <c r="Q197" s="24"/>
      <c r="R197" s="32"/>
    </row>
    <row r="198" ht="16.5" customHeight="1">
      <c r="A198" s="1"/>
      <c r="B198" s="32"/>
      <c r="C198" s="32"/>
      <c r="D198" s="32"/>
      <c r="E198" s="32"/>
      <c r="F198" s="32"/>
      <c r="G198" s="32"/>
      <c r="H198" s="24"/>
      <c r="I198" s="24"/>
      <c r="J198" s="101" t="str">
        <f t="shared" si="1"/>
        <v/>
      </c>
      <c r="K198" s="32"/>
      <c r="L198" s="32" t="str">
        <f t="shared" si="2"/>
        <v/>
      </c>
      <c r="M198" s="32"/>
      <c r="N198" s="32"/>
      <c r="O198" s="38"/>
      <c r="P198" s="32"/>
      <c r="Q198" s="24"/>
      <c r="R198" s="32"/>
    </row>
    <row r="199" ht="16.5" customHeight="1">
      <c r="A199" s="1"/>
      <c r="B199" s="32"/>
      <c r="C199" s="32"/>
      <c r="D199" s="32"/>
      <c r="E199" s="32"/>
      <c r="F199" s="32"/>
      <c r="G199" s="32"/>
      <c r="H199" s="24"/>
      <c r="I199" s="24"/>
      <c r="J199" s="101" t="str">
        <f t="shared" si="1"/>
        <v/>
      </c>
      <c r="K199" s="32"/>
      <c r="L199" s="32" t="str">
        <f t="shared" si="2"/>
        <v/>
      </c>
      <c r="M199" s="32"/>
      <c r="N199" s="32"/>
      <c r="O199" s="38"/>
      <c r="P199" s="32"/>
      <c r="Q199" s="24"/>
      <c r="R199" s="32"/>
    </row>
    <row r="200" ht="16.5" customHeight="1">
      <c r="A200" s="1"/>
      <c r="B200" s="32"/>
      <c r="C200" s="32"/>
      <c r="D200" s="32"/>
      <c r="E200" s="32"/>
      <c r="F200" s="32"/>
      <c r="G200" s="32"/>
      <c r="H200" s="24"/>
      <c r="I200" s="24"/>
      <c r="J200" s="101" t="str">
        <f t="shared" si="1"/>
        <v/>
      </c>
      <c r="K200" s="32"/>
      <c r="L200" s="32" t="str">
        <f t="shared" si="2"/>
        <v/>
      </c>
      <c r="M200" s="32"/>
      <c r="N200" s="32"/>
      <c r="O200" s="38"/>
      <c r="P200" s="32"/>
      <c r="Q200" s="24"/>
      <c r="R200" s="32"/>
    </row>
    <row r="201" ht="16.5" customHeight="1">
      <c r="A201" s="1"/>
      <c r="B201" s="32"/>
      <c r="C201" s="32"/>
      <c r="D201" s="32"/>
      <c r="E201" s="32"/>
      <c r="F201" s="32"/>
      <c r="G201" s="32"/>
      <c r="H201" s="24"/>
      <c r="I201" s="24"/>
      <c r="J201" s="101" t="str">
        <f t="shared" si="1"/>
        <v/>
      </c>
      <c r="K201" s="32"/>
      <c r="L201" s="32" t="str">
        <f t="shared" si="2"/>
        <v/>
      </c>
      <c r="M201" s="32"/>
      <c r="N201" s="32"/>
      <c r="O201" s="38"/>
      <c r="P201" s="32"/>
      <c r="Q201" s="24"/>
      <c r="R201" s="32"/>
    </row>
    <row r="202" ht="16.5" customHeight="1">
      <c r="A202" s="1"/>
      <c r="B202" s="32"/>
      <c r="C202" s="32"/>
      <c r="D202" s="32"/>
      <c r="E202" s="32"/>
      <c r="F202" s="32"/>
      <c r="G202" s="32"/>
      <c r="H202" s="24"/>
      <c r="I202" s="24"/>
      <c r="J202" s="101" t="str">
        <f t="shared" si="1"/>
        <v/>
      </c>
      <c r="K202" s="32"/>
      <c r="L202" s="32" t="str">
        <f t="shared" si="2"/>
        <v/>
      </c>
      <c r="M202" s="32"/>
      <c r="N202" s="32"/>
      <c r="O202" s="38"/>
      <c r="P202" s="32"/>
      <c r="Q202" s="24"/>
      <c r="R202" s="32"/>
    </row>
    <row r="203" ht="16.5" customHeight="1">
      <c r="A203" s="1"/>
      <c r="B203" s="32"/>
      <c r="C203" s="32"/>
      <c r="D203" s="32"/>
      <c r="E203" s="32"/>
      <c r="F203" s="32"/>
      <c r="G203" s="32"/>
      <c r="H203" s="24"/>
      <c r="I203" s="24"/>
      <c r="J203" s="101" t="str">
        <f t="shared" si="1"/>
        <v/>
      </c>
      <c r="K203" s="32"/>
      <c r="L203" s="32" t="str">
        <f t="shared" si="2"/>
        <v/>
      </c>
      <c r="M203" s="32"/>
      <c r="N203" s="32"/>
      <c r="O203" s="38"/>
      <c r="P203" s="32"/>
      <c r="Q203" s="24"/>
      <c r="R203" s="32"/>
    </row>
    <row r="204" ht="16.5" customHeight="1">
      <c r="A204" s="1"/>
      <c r="B204" s="32"/>
      <c r="C204" s="32"/>
      <c r="D204" s="32"/>
      <c r="E204" s="32"/>
      <c r="F204" s="32"/>
      <c r="G204" s="32"/>
      <c r="H204" s="24"/>
      <c r="I204" s="24"/>
      <c r="J204" s="101" t="str">
        <f t="shared" si="1"/>
        <v/>
      </c>
      <c r="K204" s="32"/>
      <c r="L204" s="32" t="str">
        <f t="shared" si="2"/>
        <v/>
      </c>
      <c r="M204" s="32"/>
      <c r="N204" s="32"/>
      <c r="O204" s="38"/>
      <c r="P204" s="32"/>
      <c r="Q204" s="24"/>
      <c r="R204" s="32"/>
    </row>
    <row r="205" ht="16.5" customHeight="1">
      <c r="A205" s="1"/>
      <c r="B205" s="32"/>
      <c r="C205" s="32"/>
      <c r="D205" s="32"/>
      <c r="E205" s="32"/>
      <c r="F205" s="32"/>
      <c r="G205" s="32"/>
      <c r="H205" s="24"/>
      <c r="I205" s="24"/>
      <c r="J205" s="101" t="str">
        <f t="shared" si="1"/>
        <v/>
      </c>
      <c r="K205" s="32"/>
      <c r="L205" s="32" t="str">
        <f t="shared" si="2"/>
        <v/>
      </c>
      <c r="M205" s="32"/>
      <c r="N205" s="32"/>
      <c r="O205" s="38"/>
      <c r="P205" s="32"/>
      <c r="Q205" s="24"/>
      <c r="R205" s="32"/>
    </row>
    <row r="206" ht="16.5" customHeight="1">
      <c r="A206" s="1"/>
      <c r="B206" s="32"/>
      <c r="C206" s="32"/>
      <c r="D206" s="32"/>
      <c r="E206" s="32"/>
      <c r="F206" s="32"/>
      <c r="G206" s="32"/>
      <c r="H206" s="24"/>
      <c r="I206" s="24"/>
      <c r="J206" s="101" t="str">
        <f t="shared" si="1"/>
        <v/>
      </c>
      <c r="K206" s="32"/>
      <c r="L206" s="32" t="str">
        <f t="shared" si="2"/>
        <v/>
      </c>
      <c r="M206" s="32"/>
      <c r="N206" s="32"/>
      <c r="O206" s="38"/>
      <c r="P206" s="32"/>
      <c r="Q206" s="24"/>
      <c r="R206" s="32"/>
    </row>
    <row r="207" ht="16.5" customHeight="1">
      <c r="A207" s="1"/>
      <c r="B207" s="32"/>
      <c r="C207" s="32"/>
      <c r="D207" s="32"/>
      <c r="E207" s="32"/>
      <c r="F207" s="32"/>
      <c r="G207" s="32"/>
      <c r="H207" s="24"/>
      <c r="I207" s="24"/>
      <c r="J207" s="101" t="str">
        <f t="shared" si="1"/>
        <v/>
      </c>
      <c r="K207" s="32"/>
      <c r="L207" s="32" t="str">
        <f t="shared" si="2"/>
        <v/>
      </c>
      <c r="M207" s="32"/>
      <c r="N207" s="32"/>
      <c r="O207" s="38"/>
      <c r="P207" s="32"/>
      <c r="Q207" s="24"/>
      <c r="R207" s="32"/>
    </row>
    <row r="208" ht="16.5" customHeight="1">
      <c r="A208" s="1"/>
      <c r="B208" s="32"/>
      <c r="C208" s="32"/>
      <c r="D208" s="32"/>
      <c r="E208" s="32"/>
      <c r="F208" s="32"/>
      <c r="G208" s="32"/>
      <c r="H208" s="24"/>
      <c r="I208" s="24"/>
      <c r="J208" s="101" t="str">
        <f t="shared" si="1"/>
        <v/>
      </c>
      <c r="K208" s="32"/>
      <c r="L208" s="32" t="str">
        <f t="shared" si="2"/>
        <v/>
      </c>
      <c r="M208" s="32"/>
      <c r="N208" s="32"/>
      <c r="O208" s="38"/>
      <c r="P208" s="32"/>
      <c r="Q208" s="24"/>
      <c r="R208" s="32"/>
    </row>
    <row r="209" ht="16.5" customHeight="1">
      <c r="A209" s="1"/>
      <c r="B209" s="32"/>
      <c r="C209" s="32"/>
      <c r="D209" s="32"/>
      <c r="E209" s="32"/>
      <c r="F209" s="32"/>
      <c r="G209" s="32"/>
      <c r="H209" s="24"/>
      <c r="I209" s="24"/>
      <c r="J209" s="101" t="str">
        <f t="shared" si="1"/>
        <v/>
      </c>
      <c r="K209" s="32"/>
      <c r="L209" s="32" t="str">
        <f t="shared" si="2"/>
        <v/>
      </c>
      <c r="M209" s="32"/>
      <c r="N209" s="32"/>
      <c r="O209" s="38"/>
      <c r="P209" s="32"/>
      <c r="Q209" s="24"/>
      <c r="R209" s="32"/>
    </row>
    <row r="210" ht="16.5" customHeight="1">
      <c r="A210" s="1"/>
      <c r="B210" s="32"/>
      <c r="C210" s="32"/>
      <c r="D210" s="32"/>
      <c r="E210" s="32"/>
      <c r="F210" s="32"/>
      <c r="G210" s="32"/>
      <c r="H210" s="24"/>
      <c r="I210" s="24"/>
      <c r="J210" s="101" t="str">
        <f t="shared" si="1"/>
        <v/>
      </c>
      <c r="K210" s="32"/>
      <c r="L210" s="32" t="str">
        <f t="shared" si="2"/>
        <v/>
      </c>
      <c r="M210" s="32"/>
      <c r="N210" s="32"/>
      <c r="O210" s="38"/>
      <c r="P210" s="32"/>
      <c r="Q210" s="24"/>
      <c r="R210" s="32"/>
    </row>
    <row r="211" ht="16.5" customHeight="1">
      <c r="A211" s="1"/>
      <c r="B211" s="32"/>
      <c r="C211" s="32"/>
      <c r="D211" s="32"/>
      <c r="E211" s="32"/>
      <c r="F211" s="32"/>
      <c r="G211" s="32"/>
      <c r="H211" s="24"/>
      <c r="I211" s="24"/>
      <c r="J211" s="101" t="str">
        <f t="shared" si="1"/>
        <v/>
      </c>
      <c r="K211" s="32"/>
      <c r="L211" s="32" t="str">
        <f t="shared" si="2"/>
        <v/>
      </c>
      <c r="M211" s="32"/>
      <c r="N211" s="32"/>
      <c r="O211" s="38"/>
      <c r="P211" s="32"/>
      <c r="Q211" s="24"/>
      <c r="R211" s="32"/>
    </row>
    <row r="212" ht="16.5" customHeight="1">
      <c r="A212" s="1"/>
      <c r="B212" s="32"/>
      <c r="C212" s="32"/>
      <c r="D212" s="32"/>
      <c r="E212" s="32"/>
      <c r="F212" s="32"/>
      <c r="G212" s="32"/>
      <c r="H212" s="24"/>
      <c r="I212" s="24"/>
      <c r="J212" s="101" t="str">
        <f t="shared" si="1"/>
        <v/>
      </c>
      <c r="K212" s="32"/>
      <c r="L212" s="32" t="str">
        <f t="shared" si="2"/>
        <v/>
      </c>
      <c r="M212" s="32"/>
      <c r="N212" s="32"/>
      <c r="O212" s="38"/>
      <c r="P212" s="32"/>
      <c r="Q212" s="24"/>
      <c r="R212" s="32"/>
    </row>
    <row r="213" ht="16.5" customHeight="1">
      <c r="A213" s="1"/>
      <c r="B213" s="32"/>
      <c r="C213" s="32"/>
      <c r="D213" s="32"/>
      <c r="E213" s="32"/>
      <c r="F213" s="32"/>
      <c r="G213" s="32"/>
      <c r="H213" s="24"/>
      <c r="I213" s="24"/>
      <c r="J213" s="101" t="str">
        <f t="shared" si="1"/>
        <v/>
      </c>
      <c r="K213" s="32"/>
      <c r="L213" s="32" t="str">
        <f t="shared" si="2"/>
        <v/>
      </c>
      <c r="M213" s="32"/>
      <c r="N213" s="32"/>
      <c r="O213" s="38"/>
      <c r="P213" s="32"/>
      <c r="Q213" s="24"/>
      <c r="R213" s="32"/>
    </row>
    <row r="214" ht="16.5" customHeight="1">
      <c r="A214" s="1"/>
      <c r="B214" s="32"/>
      <c r="C214" s="32"/>
      <c r="D214" s="32"/>
      <c r="E214" s="32"/>
      <c r="F214" s="32"/>
      <c r="G214" s="32"/>
      <c r="H214" s="24"/>
      <c r="I214" s="24"/>
      <c r="J214" s="101" t="str">
        <f t="shared" si="1"/>
        <v/>
      </c>
      <c r="K214" s="32"/>
      <c r="L214" s="32" t="str">
        <f t="shared" si="2"/>
        <v/>
      </c>
      <c r="M214" s="32"/>
      <c r="N214" s="32"/>
      <c r="O214" s="38"/>
      <c r="P214" s="32"/>
      <c r="Q214" s="24"/>
      <c r="R214" s="32"/>
    </row>
    <row r="215" ht="16.5" customHeight="1">
      <c r="A215" s="1"/>
      <c r="B215" s="32"/>
      <c r="C215" s="32"/>
      <c r="D215" s="32"/>
      <c r="E215" s="32"/>
      <c r="F215" s="32"/>
      <c r="G215" s="32"/>
      <c r="H215" s="24"/>
      <c r="I215" s="24"/>
      <c r="J215" s="101" t="str">
        <f t="shared" si="1"/>
        <v/>
      </c>
      <c r="K215" s="32"/>
      <c r="L215" s="32" t="str">
        <f t="shared" si="2"/>
        <v/>
      </c>
      <c r="M215" s="32"/>
      <c r="N215" s="32"/>
      <c r="O215" s="38"/>
      <c r="P215" s="32"/>
      <c r="Q215" s="24"/>
      <c r="R215" s="32"/>
    </row>
    <row r="216" ht="16.5" customHeight="1">
      <c r="A216" s="1"/>
      <c r="B216" s="32"/>
      <c r="C216" s="32"/>
      <c r="D216" s="32"/>
      <c r="E216" s="32"/>
      <c r="F216" s="32"/>
      <c r="G216" s="32"/>
      <c r="H216" s="24"/>
      <c r="I216" s="24"/>
      <c r="J216" s="101" t="str">
        <f t="shared" si="1"/>
        <v/>
      </c>
      <c r="K216" s="32"/>
      <c r="L216" s="32" t="str">
        <f t="shared" si="2"/>
        <v/>
      </c>
      <c r="M216" s="32"/>
      <c r="N216" s="32"/>
      <c r="O216" s="38"/>
      <c r="P216" s="32"/>
      <c r="Q216" s="24"/>
      <c r="R216" s="32"/>
    </row>
    <row r="217" ht="16.5" customHeight="1">
      <c r="A217" s="1"/>
      <c r="B217" s="32"/>
      <c r="C217" s="32"/>
      <c r="D217" s="32"/>
      <c r="E217" s="32"/>
      <c r="F217" s="32"/>
      <c r="G217" s="32"/>
      <c r="H217" s="24"/>
      <c r="I217" s="24"/>
      <c r="J217" s="101" t="str">
        <f t="shared" si="1"/>
        <v/>
      </c>
      <c r="K217" s="32"/>
      <c r="L217" s="32" t="str">
        <f t="shared" si="2"/>
        <v/>
      </c>
      <c r="M217" s="32"/>
      <c r="N217" s="32"/>
      <c r="O217" s="38"/>
      <c r="P217" s="32"/>
      <c r="Q217" s="24"/>
      <c r="R217" s="32"/>
    </row>
    <row r="218" ht="16.5" customHeight="1">
      <c r="A218" s="1"/>
      <c r="B218" s="32"/>
      <c r="C218" s="32"/>
      <c r="D218" s="32"/>
      <c r="E218" s="32"/>
      <c r="F218" s="32"/>
      <c r="G218" s="32"/>
      <c r="H218" s="24"/>
      <c r="I218" s="24"/>
      <c r="J218" s="101" t="str">
        <f t="shared" si="1"/>
        <v/>
      </c>
      <c r="K218" s="32"/>
      <c r="L218" s="32" t="str">
        <f t="shared" si="2"/>
        <v/>
      </c>
      <c r="M218" s="32"/>
      <c r="N218" s="32"/>
      <c r="O218" s="38"/>
      <c r="P218" s="32"/>
      <c r="Q218" s="24"/>
      <c r="R218" s="32"/>
    </row>
    <row r="219" ht="16.5" customHeight="1">
      <c r="A219" s="1"/>
      <c r="B219" s="32"/>
      <c r="C219" s="32"/>
      <c r="D219" s="32"/>
      <c r="E219" s="32"/>
      <c r="F219" s="32"/>
      <c r="G219" s="32"/>
      <c r="H219" s="24"/>
      <c r="I219" s="24"/>
      <c r="J219" s="101" t="str">
        <f t="shared" si="1"/>
        <v/>
      </c>
      <c r="K219" s="32"/>
      <c r="L219" s="32" t="str">
        <f t="shared" si="2"/>
        <v/>
      </c>
      <c r="M219" s="32"/>
      <c r="N219" s="32"/>
      <c r="O219" s="38"/>
      <c r="P219" s="32"/>
      <c r="Q219" s="24"/>
      <c r="R219" s="32"/>
    </row>
    <row r="220" ht="16.5" customHeight="1">
      <c r="A220" s="1"/>
      <c r="B220" s="32"/>
      <c r="C220" s="32"/>
      <c r="D220" s="32"/>
      <c r="E220" s="32"/>
      <c r="F220" s="32"/>
      <c r="G220" s="32"/>
      <c r="H220" s="24"/>
      <c r="I220" s="24"/>
      <c r="J220" s="101" t="str">
        <f t="shared" si="1"/>
        <v/>
      </c>
      <c r="K220" s="32"/>
      <c r="L220" s="32" t="str">
        <f t="shared" si="2"/>
        <v/>
      </c>
      <c r="M220" s="32"/>
      <c r="N220" s="32"/>
      <c r="O220" s="38"/>
      <c r="P220" s="32"/>
      <c r="Q220" s="24"/>
      <c r="R220" s="32"/>
    </row>
    <row r="221" ht="16.5" customHeight="1">
      <c r="A221" s="1"/>
      <c r="B221" s="32"/>
      <c r="C221" s="32"/>
      <c r="D221" s="32"/>
      <c r="E221" s="32"/>
      <c r="F221" s="32"/>
      <c r="G221" s="32"/>
      <c r="H221" s="24"/>
      <c r="I221" s="24"/>
      <c r="J221" s="101" t="str">
        <f t="shared" si="1"/>
        <v/>
      </c>
      <c r="K221" s="32"/>
      <c r="L221" s="32" t="str">
        <f t="shared" si="2"/>
        <v/>
      </c>
      <c r="M221" s="32"/>
      <c r="N221" s="32"/>
      <c r="O221" s="38"/>
      <c r="P221" s="32"/>
      <c r="Q221" s="24"/>
      <c r="R221" s="32"/>
    </row>
    <row r="222" ht="16.5" customHeight="1">
      <c r="A222" s="1"/>
      <c r="B222" s="32"/>
      <c r="C222" s="32"/>
      <c r="D222" s="32"/>
      <c r="E222" s="32"/>
      <c r="F222" s="32"/>
      <c r="G222" s="32"/>
      <c r="H222" s="24"/>
      <c r="I222" s="24"/>
      <c r="J222" s="101" t="str">
        <f t="shared" si="1"/>
        <v/>
      </c>
      <c r="K222" s="32"/>
      <c r="L222" s="32" t="str">
        <f t="shared" si="2"/>
        <v/>
      </c>
      <c r="M222" s="32"/>
      <c r="N222" s="32"/>
      <c r="O222" s="38"/>
      <c r="P222" s="32"/>
      <c r="Q222" s="24"/>
      <c r="R222" s="32"/>
    </row>
    <row r="223" ht="16.5" customHeight="1">
      <c r="A223" s="1"/>
      <c r="B223" s="32"/>
      <c r="C223" s="32"/>
      <c r="D223" s="32"/>
      <c r="E223" s="32"/>
      <c r="F223" s="32"/>
      <c r="G223" s="32"/>
      <c r="H223" s="24"/>
      <c r="I223" s="24"/>
      <c r="J223" s="101" t="str">
        <f t="shared" si="1"/>
        <v/>
      </c>
      <c r="K223" s="32"/>
      <c r="L223" s="32" t="str">
        <f t="shared" si="2"/>
        <v/>
      </c>
      <c r="M223" s="32"/>
      <c r="N223" s="32"/>
      <c r="O223" s="38"/>
      <c r="P223" s="32"/>
      <c r="Q223" s="24"/>
      <c r="R223" s="32"/>
    </row>
    <row r="224" ht="16.5" customHeight="1">
      <c r="A224" s="1"/>
      <c r="B224" s="32"/>
      <c r="C224" s="32"/>
      <c r="D224" s="32"/>
      <c r="E224" s="32"/>
      <c r="F224" s="32"/>
      <c r="G224" s="32"/>
      <c r="H224" s="24"/>
      <c r="I224" s="24"/>
      <c r="J224" s="101" t="str">
        <f t="shared" si="1"/>
        <v/>
      </c>
      <c r="K224" s="32"/>
      <c r="L224" s="32" t="str">
        <f t="shared" si="2"/>
        <v/>
      </c>
      <c r="M224" s="32"/>
      <c r="N224" s="32"/>
      <c r="O224" s="38"/>
      <c r="P224" s="32"/>
      <c r="Q224" s="24"/>
      <c r="R224" s="32"/>
    </row>
    <row r="225" ht="16.5" customHeight="1">
      <c r="A225" s="1"/>
      <c r="B225" s="32"/>
      <c r="C225" s="32"/>
      <c r="D225" s="32"/>
      <c r="E225" s="32"/>
      <c r="F225" s="32"/>
      <c r="G225" s="32"/>
      <c r="H225" s="24"/>
      <c r="I225" s="24"/>
      <c r="J225" s="101" t="str">
        <f t="shared" si="1"/>
        <v/>
      </c>
      <c r="K225" s="32"/>
      <c r="L225" s="32" t="str">
        <f t="shared" si="2"/>
        <v/>
      </c>
      <c r="M225" s="32"/>
      <c r="N225" s="32"/>
      <c r="O225" s="38"/>
      <c r="P225" s="32"/>
      <c r="Q225" s="24"/>
      <c r="R225" s="32"/>
    </row>
    <row r="226" ht="16.5" customHeight="1">
      <c r="A226" s="1"/>
      <c r="B226" s="32"/>
      <c r="C226" s="32"/>
      <c r="D226" s="32"/>
      <c r="E226" s="32"/>
      <c r="F226" s="32"/>
      <c r="G226" s="32"/>
      <c r="H226" s="24"/>
      <c r="I226" s="24"/>
      <c r="J226" s="101" t="str">
        <f t="shared" si="1"/>
        <v/>
      </c>
      <c r="K226" s="32"/>
      <c r="L226" s="32" t="str">
        <f t="shared" si="2"/>
        <v/>
      </c>
      <c r="M226" s="32"/>
      <c r="N226" s="32"/>
      <c r="O226" s="38"/>
      <c r="P226" s="32"/>
      <c r="Q226" s="24"/>
      <c r="R226" s="32"/>
    </row>
    <row r="227" ht="16.5" customHeight="1">
      <c r="A227" s="1"/>
      <c r="B227" s="32"/>
      <c r="C227" s="32"/>
      <c r="D227" s="32"/>
      <c r="E227" s="32"/>
      <c r="F227" s="32"/>
      <c r="G227" s="32"/>
      <c r="H227" s="24"/>
      <c r="I227" s="24"/>
      <c r="J227" s="101" t="str">
        <f t="shared" si="1"/>
        <v/>
      </c>
      <c r="K227" s="32"/>
      <c r="L227" s="32" t="str">
        <f t="shared" si="2"/>
        <v/>
      </c>
      <c r="M227" s="32"/>
      <c r="N227" s="32"/>
      <c r="O227" s="38"/>
      <c r="P227" s="32"/>
      <c r="Q227" s="24"/>
      <c r="R227" s="32"/>
    </row>
    <row r="228" ht="16.5" customHeight="1">
      <c r="A228" s="1"/>
      <c r="B228" s="32"/>
      <c r="C228" s="32"/>
      <c r="D228" s="32"/>
      <c r="E228" s="32"/>
      <c r="F228" s="32"/>
      <c r="G228" s="32"/>
      <c r="H228" s="24"/>
      <c r="I228" s="24"/>
      <c r="J228" s="101" t="str">
        <f t="shared" si="1"/>
        <v/>
      </c>
      <c r="K228" s="32"/>
      <c r="L228" s="32" t="str">
        <f t="shared" si="2"/>
        <v/>
      </c>
      <c r="M228" s="32"/>
      <c r="N228" s="32"/>
      <c r="O228" s="38"/>
      <c r="P228" s="32"/>
      <c r="Q228" s="24"/>
      <c r="R228" s="32"/>
    </row>
    <row r="229" ht="16.5" customHeight="1">
      <c r="A229" s="1"/>
      <c r="B229" s="32"/>
      <c r="C229" s="32"/>
      <c r="D229" s="32"/>
      <c r="E229" s="32"/>
      <c r="F229" s="32"/>
      <c r="G229" s="32"/>
      <c r="H229" s="24"/>
      <c r="I229" s="24"/>
      <c r="J229" s="101" t="str">
        <f t="shared" si="1"/>
        <v/>
      </c>
      <c r="K229" s="32"/>
      <c r="L229" s="32" t="str">
        <f t="shared" si="2"/>
        <v/>
      </c>
      <c r="M229" s="32"/>
      <c r="N229" s="32"/>
      <c r="O229" s="38"/>
      <c r="P229" s="32"/>
      <c r="Q229" s="24"/>
      <c r="R229" s="32"/>
    </row>
    <row r="230" ht="16.5" customHeight="1">
      <c r="A230" s="1"/>
      <c r="B230" s="32"/>
      <c r="C230" s="32"/>
      <c r="D230" s="32"/>
      <c r="E230" s="32"/>
      <c r="F230" s="32"/>
      <c r="G230" s="32"/>
      <c r="H230" s="24"/>
      <c r="I230" s="24"/>
      <c r="J230" s="101" t="str">
        <f t="shared" si="1"/>
        <v/>
      </c>
      <c r="K230" s="32"/>
      <c r="L230" s="32" t="str">
        <f t="shared" si="2"/>
        <v/>
      </c>
      <c r="M230" s="32"/>
      <c r="N230" s="32"/>
      <c r="O230" s="38"/>
      <c r="P230" s="32"/>
      <c r="Q230" s="24"/>
      <c r="R230" s="32"/>
    </row>
    <row r="231" ht="16.5" customHeight="1">
      <c r="A231" s="1"/>
      <c r="B231" s="32"/>
      <c r="C231" s="32"/>
      <c r="D231" s="32"/>
      <c r="E231" s="32"/>
      <c r="F231" s="32"/>
      <c r="G231" s="32"/>
      <c r="H231" s="24"/>
      <c r="I231" s="24"/>
      <c r="J231" s="101" t="str">
        <f t="shared" si="1"/>
        <v/>
      </c>
      <c r="K231" s="32"/>
      <c r="L231" s="32" t="str">
        <f t="shared" si="2"/>
        <v/>
      </c>
      <c r="M231" s="32"/>
      <c r="N231" s="32"/>
      <c r="O231" s="38"/>
      <c r="P231" s="32"/>
      <c r="Q231" s="24"/>
      <c r="R231" s="32"/>
    </row>
    <row r="232" ht="16.5" customHeight="1">
      <c r="A232" s="1"/>
      <c r="B232" s="32"/>
      <c r="C232" s="32"/>
      <c r="D232" s="32"/>
      <c r="E232" s="32"/>
      <c r="F232" s="32"/>
      <c r="G232" s="32"/>
      <c r="H232" s="24"/>
      <c r="I232" s="24"/>
      <c r="J232" s="101" t="str">
        <f t="shared" si="1"/>
        <v/>
      </c>
      <c r="K232" s="32"/>
      <c r="L232" s="32" t="str">
        <f t="shared" si="2"/>
        <v/>
      </c>
      <c r="M232" s="32"/>
      <c r="N232" s="32"/>
      <c r="O232" s="38"/>
      <c r="P232" s="32"/>
      <c r="Q232" s="24"/>
      <c r="R232" s="32"/>
    </row>
    <row r="233" ht="16.5" customHeight="1">
      <c r="A233" s="1"/>
      <c r="B233" s="32"/>
      <c r="C233" s="32"/>
      <c r="D233" s="32"/>
      <c r="E233" s="32"/>
      <c r="F233" s="32"/>
      <c r="G233" s="32"/>
      <c r="H233" s="24"/>
      <c r="I233" s="24"/>
      <c r="J233" s="101" t="str">
        <f t="shared" si="1"/>
        <v/>
      </c>
      <c r="K233" s="32"/>
      <c r="L233" s="32" t="str">
        <f t="shared" si="2"/>
        <v/>
      </c>
      <c r="M233" s="32"/>
      <c r="N233" s="32"/>
      <c r="O233" s="38"/>
      <c r="P233" s="32"/>
      <c r="Q233" s="24"/>
      <c r="R233" s="32"/>
    </row>
    <row r="234" ht="16.5" customHeight="1">
      <c r="A234" s="1"/>
      <c r="B234" s="32"/>
      <c r="C234" s="32"/>
      <c r="D234" s="32"/>
      <c r="E234" s="32"/>
      <c r="F234" s="32"/>
      <c r="G234" s="32"/>
      <c r="H234" s="24"/>
      <c r="I234" s="24"/>
      <c r="J234" s="101" t="str">
        <f t="shared" si="1"/>
        <v/>
      </c>
      <c r="K234" s="32"/>
      <c r="L234" s="32" t="str">
        <f t="shared" si="2"/>
        <v/>
      </c>
      <c r="M234" s="32"/>
      <c r="N234" s="32"/>
      <c r="O234" s="38"/>
      <c r="P234" s="32"/>
      <c r="Q234" s="24"/>
      <c r="R234" s="32"/>
    </row>
    <row r="235" ht="16.5" customHeight="1">
      <c r="A235" s="1"/>
      <c r="B235" s="32"/>
      <c r="C235" s="32"/>
      <c r="D235" s="32"/>
      <c r="E235" s="32"/>
      <c r="F235" s="32"/>
      <c r="G235" s="32"/>
      <c r="H235" s="24"/>
      <c r="I235" s="24"/>
      <c r="J235" s="101" t="str">
        <f t="shared" si="1"/>
        <v/>
      </c>
      <c r="K235" s="32"/>
      <c r="L235" s="32" t="str">
        <f t="shared" si="2"/>
        <v/>
      </c>
      <c r="M235" s="32"/>
      <c r="N235" s="32"/>
      <c r="O235" s="38"/>
      <c r="P235" s="32"/>
      <c r="Q235" s="24"/>
      <c r="R235" s="32"/>
    </row>
    <row r="236" ht="16.5" customHeight="1">
      <c r="A236" s="1"/>
      <c r="B236" s="32"/>
      <c r="C236" s="32"/>
      <c r="D236" s="32"/>
      <c r="E236" s="32"/>
      <c r="F236" s="32"/>
      <c r="G236" s="32"/>
      <c r="H236" s="24"/>
      <c r="I236" s="24"/>
      <c r="J236" s="101" t="str">
        <f t="shared" si="1"/>
        <v/>
      </c>
      <c r="K236" s="32"/>
      <c r="L236" s="32" t="str">
        <f t="shared" si="2"/>
        <v/>
      </c>
      <c r="M236" s="32"/>
      <c r="N236" s="32"/>
      <c r="O236" s="38"/>
      <c r="P236" s="32"/>
      <c r="Q236" s="24"/>
      <c r="R236" s="32"/>
    </row>
    <row r="237" ht="16.5" customHeight="1">
      <c r="A237" s="1"/>
      <c r="B237" s="32"/>
      <c r="C237" s="32"/>
      <c r="D237" s="32"/>
      <c r="E237" s="32"/>
      <c r="F237" s="32"/>
      <c r="G237" s="32"/>
      <c r="H237" s="24"/>
      <c r="I237" s="24"/>
      <c r="J237" s="101" t="str">
        <f t="shared" si="1"/>
        <v/>
      </c>
      <c r="K237" s="32"/>
      <c r="L237" s="32" t="str">
        <f t="shared" si="2"/>
        <v/>
      </c>
      <c r="M237" s="32"/>
      <c r="N237" s="32"/>
      <c r="O237" s="38"/>
      <c r="P237" s="32"/>
      <c r="Q237" s="24"/>
      <c r="R237" s="32"/>
    </row>
    <row r="238" ht="16.5" customHeight="1">
      <c r="A238" s="1"/>
      <c r="B238" s="32"/>
      <c r="C238" s="32"/>
      <c r="D238" s="32"/>
      <c r="E238" s="32"/>
      <c r="F238" s="32"/>
      <c r="G238" s="32"/>
      <c r="H238" s="24"/>
      <c r="I238" s="24"/>
      <c r="J238" s="101" t="str">
        <f t="shared" si="1"/>
        <v/>
      </c>
      <c r="K238" s="32"/>
      <c r="L238" s="32" t="str">
        <f t="shared" si="2"/>
        <v/>
      </c>
      <c r="M238" s="32"/>
      <c r="N238" s="32"/>
      <c r="O238" s="38"/>
      <c r="P238" s="32"/>
      <c r="Q238" s="24"/>
      <c r="R238" s="32"/>
    </row>
    <row r="239" ht="16.5" customHeight="1">
      <c r="A239" s="1"/>
      <c r="B239" s="32"/>
      <c r="C239" s="32"/>
      <c r="D239" s="32"/>
      <c r="E239" s="32"/>
      <c r="F239" s="32"/>
      <c r="G239" s="32"/>
      <c r="H239" s="24"/>
      <c r="I239" s="24"/>
      <c r="J239" s="101" t="str">
        <f t="shared" si="1"/>
        <v/>
      </c>
      <c r="K239" s="32"/>
      <c r="L239" s="32" t="str">
        <f t="shared" si="2"/>
        <v/>
      </c>
      <c r="M239" s="32"/>
      <c r="N239" s="32"/>
      <c r="O239" s="38"/>
      <c r="P239" s="32"/>
      <c r="Q239" s="24"/>
      <c r="R239" s="32"/>
    </row>
    <row r="240" ht="16.5" customHeight="1">
      <c r="A240" s="1"/>
      <c r="B240" s="32"/>
      <c r="C240" s="32"/>
      <c r="D240" s="32"/>
      <c r="E240" s="32"/>
      <c r="F240" s="32"/>
      <c r="G240" s="32"/>
      <c r="H240" s="24"/>
      <c r="I240" s="24"/>
      <c r="J240" s="101" t="str">
        <f t="shared" si="1"/>
        <v/>
      </c>
      <c r="K240" s="32"/>
      <c r="L240" s="32" t="str">
        <f t="shared" si="2"/>
        <v/>
      </c>
      <c r="M240" s="32"/>
      <c r="N240" s="32"/>
      <c r="O240" s="38"/>
      <c r="P240" s="32"/>
      <c r="Q240" s="24"/>
      <c r="R240" s="32"/>
    </row>
    <row r="241" ht="16.5" customHeight="1">
      <c r="A241" s="1"/>
      <c r="B241" s="32"/>
      <c r="C241" s="32"/>
      <c r="D241" s="32"/>
      <c r="E241" s="32"/>
      <c r="F241" s="32"/>
      <c r="G241" s="32"/>
      <c r="H241" s="24"/>
      <c r="I241" s="24"/>
      <c r="J241" s="101" t="str">
        <f t="shared" si="1"/>
        <v/>
      </c>
      <c r="K241" s="32"/>
      <c r="L241" s="32" t="str">
        <f t="shared" si="2"/>
        <v/>
      </c>
      <c r="M241" s="32"/>
      <c r="N241" s="32"/>
      <c r="O241" s="38"/>
      <c r="P241" s="32"/>
      <c r="Q241" s="24"/>
      <c r="R241" s="32"/>
    </row>
    <row r="242" ht="16.5" customHeight="1">
      <c r="A242" s="1"/>
      <c r="B242" s="32"/>
      <c r="C242" s="32"/>
      <c r="D242" s="32"/>
      <c r="E242" s="32"/>
      <c r="F242" s="32"/>
      <c r="G242" s="32"/>
      <c r="H242" s="24"/>
      <c r="I242" s="24"/>
      <c r="J242" s="101" t="str">
        <f t="shared" si="1"/>
        <v/>
      </c>
      <c r="K242" s="32"/>
      <c r="L242" s="32" t="str">
        <f t="shared" si="2"/>
        <v/>
      </c>
      <c r="M242" s="32"/>
      <c r="N242" s="32"/>
      <c r="O242" s="38"/>
      <c r="P242" s="32"/>
      <c r="Q242" s="24"/>
      <c r="R242" s="32"/>
    </row>
    <row r="243" ht="16.5" customHeight="1">
      <c r="A243" s="1"/>
      <c r="B243" s="32"/>
      <c r="C243" s="32"/>
      <c r="D243" s="32"/>
      <c r="E243" s="32"/>
      <c r="F243" s="32"/>
      <c r="G243" s="32"/>
      <c r="H243" s="24"/>
      <c r="I243" s="24"/>
      <c r="J243" s="101" t="str">
        <f t="shared" si="1"/>
        <v/>
      </c>
      <c r="K243" s="32"/>
      <c r="L243" s="32" t="str">
        <f t="shared" si="2"/>
        <v/>
      </c>
      <c r="M243" s="32"/>
      <c r="N243" s="32"/>
      <c r="O243" s="38"/>
      <c r="P243" s="32"/>
      <c r="Q243" s="24"/>
      <c r="R243" s="32"/>
    </row>
    <row r="244" ht="16.5" customHeight="1">
      <c r="A244" s="1"/>
      <c r="B244" s="32"/>
      <c r="C244" s="32"/>
      <c r="D244" s="32"/>
      <c r="E244" s="32"/>
      <c r="F244" s="32"/>
      <c r="G244" s="32"/>
      <c r="H244" s="24"/>
      <c r="I244" s="24"/>
      <c r="J244" s="101" t="str">
        <f t="shared" si="1"/>
        <v/>
      </c>
      <c r="K244" s="32"/>
      <c r="L244" s="32" t="str">
        <f t="shared" si="2"/>
        <v/>
      </c>
      <c r="M244" s="32"/>
      <c r="N244" s="32"/>
      <c r="O244" s="38"/>
      <c r="P244" s="32"/>
      <c r="Q244" s="24"/>
      <c r="R244" s="32"/>
    </row>
    <row r="245" ht="16.5" customHeight="1">
      <c r="A245" s="1"/>
      <c r="B245" s="32"/>
      <c r="C245" s="32"/>
      <c r="D245" s="32"/>
      <c r="E245" s="32"/>
      <c r="F245" s="32"/>
      <c r="G245" s="32"/>
      <c r="H245" s="24"/>
      <c r="I245" s="24"/>
      <c r="J245" s="101" t="str">
        <f t="shared" si="1"/>
        <v/>
      </c>
      <c r="K245" s="32"/>
      <c r="L245" s="32" t="str">
        <f t="shared" si="2"/>
        <v/>
      </c>
      <c r="M245" s="32"/>
      <c r="N245" s="32"/>
      <c r="O245" s="38"/>
      <c r="P245" s="32"/>
      <c r="Q245" s="24"/>
      <c r="R245" s="32"/>
    </row>
    <row r="246" ht="16.5" customHeight="1">
      <c r="A246" s="1"/>
      <c r="B246" s="32"/>
      <c r="C246" s="32"/>
      <c r="D246" s="32"/>
      <c r="E246" s="32"/>
      <c r="F246" s="32"/>
      <c r="G246" s="32"/>
      <c r="H246" s="24"/>
      <c r="I246" s="24"/>
      <c r="J246" s="101" t="str">
        <f t="shared" si="1"/>
        <v/>
      </c>
      <c r="K246" s="32"/>
      <c r="L246" s="32" t="str">
        <f t="shared" si="2"/>
        <v/>
      </c>
      <c r="M246" s="32"/>
      <c r="N246" s="32"/>
      <c r="O246" s="38"/>
      <c r="P246" s="32"/>
      <c r="Q246" s="24"/>
      <c r="R246" s="32"/>
    </row>
    <row r="247" ht="16.5" customHeight="1">
      <c r="A247" s="1"/>
      <c r="B247" s="32"/>
      <c r="C247" s="32"/>
      <c r="D247" s="32"/>
      <c r="E247" s="32"/>
      <c r="F247" s="32"/>
      <c r="G247" s="32"/>
      <c r="H247" s="24"/>
      <c r="I247" s="24"/>
      <c r="J247" s="101" t="str">
        <f t="shared" si="1"/>
        <v/>
      </c>
      <c r="K247" s="32"/>
      <c r="L247" s="32" t="str">
        <f t="shared" si="2"/>
        <v/>
      </c>
      <c r="M247" s="32"/>
      <c r="N247" s="32"/>
      <c r="O247" s="38"/>
      <c r="P247" s="32"/>
      <c r="Q247" s="24"/>
      <c r="R247" s="32"/>
    </row>
    <row r="248" ht="16.5" customHeight="1">
      <c r="A248" s="1"/>
      <c r="B248" s="32"/>
      <c r="C248" s="32"/>
      <c r="D248" s="32"/>
      <c r="E248" s="32"/>
      <c r="F248" s="32"/>
      <c r="G248" s="32"/>
      <c r="H248" s="24"/>
      <c r="I248" s="24"/>
      <c r="J248" s="101" t="str">
        <f t="shared" si="1"/>
        <v/>
      </c>
      <c r="K248" s="32"/>
      <c r="L248" s="32" t="str">
        <f t="shared" si="2"/>
        <v/>
      </c>
      <c r="M248" s="32"/>
      <c r="N248" s="32"/>
      <c r="O248" s="38"/>
      <c r="P248" s="32"/>
      <c r="Q248" s="24"/>
      <c r="R248" s="32"/>
    </row>
    <row r="249" ht="16.5" customHeight="1">
      <c r="A249" s="1"/>
      <c r="B249" s="32"/>
      <c r="C249" s="32"/>
      <c r="D249" s="32"/>
      <c r="E249" s="32"/>
      <c r="F249" s="32"/>
      <c r="G249" s="32"/>
      <c r="H249" s="24"/>
      <c r="I249" s="24"/>
      <c r="J249" s="101" t="str">
        <f t="shared" si="1"/>
        <v/>
      </c>
      <c r="K249" s="32"/>
      <c r="L249" s="32" t="str">
        <f t="shared" si="2"/>
        <v/>
      </c>
      <c r="M249" s="32"/>
      <c r="N249" s="32"/>
      <c r="O249" s="38"/>
      <c r="P249" s="32"/>
      <c r="Q249" s="24"/>
      <c r="R249" s="32"/>
    </row>
    <row r="250" ht="16.5" customHeight="1">
      <c r="A250" s="1"/>
      <c r="B250" s="32"/>
      <c r="C250" s="32"/>
      <c r="D250" s="32"/>
      <c r="E250" s="32"/>
      <c r="F250" s="32"/>
      <c r="G250" s="32"/>
      <c r="H250" s="24"/>
      <c r="I250" s="24"/>
      <c r="J250" s="101" t="str">
        <f t="shared" si="1"/>
        <v/>
      </c>
      <c r="K250" s="32"/>
      <c r="L250" s="32" t="str">
        <f t="shared" si="2"/>
        <v/>
      </c>
      <c r="M250" s="32"/>
      <c r="N250" s="32"/>
      <c r="O250" s="38"/>
      <c r="P250" s="32"/>
      <c r="Q250" s="24"/>
      <c r="R250" s="32"/>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R$250"/>
  <conditionalFormatting sqref="B7:R250">
    <cfRule type="expression" dxfId="2" priority="1">
      <formula>$L7="OVERDUE"</formula>
    </cfRule>
  </conditionalFormatting>
  <conditionalFormatting sqref="B7:R250">
    <cfRule type="expression" dxfId="14" priority="2">
      <formula>$L7="TODAY"</formula>
    </cfRule>
  </conditionalFormatting>
  <conditionalFormatting sqref="B7:R250">
    <cfRule type="expression" dxfId="6" priority="3">
      <formula>$L7="This week"</formula>
    </cfRule>
  </conditionalFormatting>
  <conditionalFormatting sqref="B7:R250">
    <cfRule type="expression" dxfId="12" priority="4">
      <formula>$K7="Completed"</formula>
    </cfRule>
  </conditionalFormatting>
  <conditionalFormatting sqref="G7:G250">
    <cfRule type="cellIs" dxfId="15" priority="5" operator="equal">
      <formula>"Critical"</formula>
    </cfRule>
  </conditionalFormatting>
  <dataValidations>
    <dataValidation type="list" allowBlank="1" sqref="K7:K250">
      <formula1>"Not Started,In Progress,Waiting,Completed,Cancelled"</formula1>
    </dataValidation>
    <dataValidation type="list" allowBlank="1" sqref="E7:F250">
      <formula1>"Bride,Groom,Couple,Bride's Family,Groom's Family,Coordinator,Vendor,Shared"</formula1>
    </dataValidation>
    <dataValidation type="list" allowBlank="1" sqref="G7:G250">
      <formula1>"Critical,High,Medium,Low"</formula1>
    </dataValidation>
    <dataValidation type="list" allowBlank="1" sqref="P7:P250">
      <formula1>"Yes,No"</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673"/>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9.29"/>
    <col customWidth="1" min="3" max="3" width="13.86"/>
    <col customWidth="1" min="4" max="4" width="58.29"/>
    <col customWidth="1" min="5" max="5" width="19.29"/>
    <col customWidth="1" min="6" max="6" width="9.71"/>
    <col customWidth="1" min="7" max="7" width="42.86"/>
  </cols>
  <sheetData>
    <row r="1" ht="16.5" customHeight="1">
      <c r="A1" s="1"/>
      <c r="B1" s="1"/>
      <c r="C1" s="1"/>
      <c r="D1" s="1"/>
      <c r="E1" s="1"/>
      <c r="F1" s="1"/>
      <c r="G1" s="1"/>
    </row>
    <row r="2" ht="33.75" customHeight="1">
      <c r="A2" s="2"/>
      <c r="B2" s="2" t="s">
        <v>1218</v>
      </c>
      <c r="C2" s="2"/>
      <c r="D2" s="2"/>
      <c r="E2" s="2"/>
      <c r="F2" s="2"/>
      <c r="G2" s="2"/>
    </row>
    <row r="3" ht="15.75" customHeight="1">
      <c r="A3" s="3"/>
      <c r="B3" s="3" t="s">
        <v>1219</v>
      </c>
      <c r="C3" s="3"/>
      <c r="D3" s="3"/>
      <c r="E3" s="3"/>
      <c r="F3" s="3"/>
      <c r="G3" s="3"/>
    </row>
    <row r="4" ht="16.5" customHeight="1">
      <c r="A4" s="1"/>
      <c r="B4" s="1"/>
      <c r="C4" s="1"/>
      <c r="D4" s="1"/>
      <c r="E4" s="1"/>
      <c r="F4" s="1"/>
      <c r="G4" s="1"/>
    </row>
    <row r="5" ht="16.5" customHeight="1">
      <c r="A5" s="1"/>
      <c r="B5" s="1"/>
      <c r="C5" s="1"/>
      <c r="D5" s="5" t="str">
        <f>"Completed: "&amp;COUNTIF(F7:F74,"Yes")&amp;" of "&amp;COUNTIF(F7:F74,"&lt;&gt;")</f>
        <v>Completed: 0 of 59</v>
      </c>
      <c r="E5" s="1"/>
      <c r="F5" s="1"/>
      <c r="G5" s="1"/>
    </row>
    <row r="6" ht="30.0" customHeight="1">
      <c r="A6" s="16"/>
      <c r="B6" s="17" t="s">
        <v>1220</v>
      </c>
      <c r="C6" s="17" t="s">
        <v>1221</v>
      </c>
      <c r="D6" s="17" t="s">
        <v>1222</v>
      </c>
      <c r="E6" s="17" t="s">
        <v>1223</v>
      </c>
      <c r="F6" s="17" t="s">
        <v>1224</v>
      </c>
      <c r="G6" s="17" t="s">
        <v>50</v>
      </c>
    </row>
    <row r="7" ht="15.0" customHeight="1">
      <c r="A7" s="6"/>
      <c r="B7" s="6" t="s">
        <v>1225</v>
      </c>
      <c r="C7" s="99">
        <f>WeddingDate-30</f>
        <v>46603</v>
      </c>
      <c r="D7" s="6"/>
      <c r="E7" s="6"/>
      <c r="F7" s="100"/>
      <c r="G7" s="6"/>
    </row>
    <row r="8" ht="16.5" customHeight="1">
      <c r="A8" s="1"/>
      <c r="B8" s="31" t="s">
        <v>1225</v>
      </c>
      <c r="C8" s="24">
        <f>WeddingDate-30</f>
        <v>46603</v>
      </c>
      <c r="D8" s="32" t="s">
        <v>1238</v>
      </c>
      <c r="E8" s="32" t="s">
        <v>1038</v>
      </c>
      <c r="F8" s="32" t="s">
        <v>1240</v>
      </c>
      <c r="G8" s="32"/>
    </row>
    <row r="9" ht="16.5" customHeight="1">
      <c r="A9" s="1"/>
      <c r="B9" s="31" t="s">
        <v>1225</v>
      </c>
      <c r="C9" s="24">
        <f>WeddingDate-30</f>
        <v>46603</v>
      </c>
      <c r="D9" s="32" t="s">
        <v>1241</v>
      </c>
      <c r="E9" s="32" t="s">
        <v>1038</v>
      </c>
      <c r="F9" s="32" t="s">
        <v>1240</v>
      </c>
      <c r="G9" s="32"/>
    </row>
    <row r="10" ht="16.5" customHeight="1">
      <c r="A10" s="1"/>
      <c r="B10" s="31" t="s">
        <v>1225</v>
      </c>
      <c r="C10" s="24">
        <f>WeddingDate-30</f>
        <v>46603</v>
      </c>
      <c r="D10" s="32" t="s">
        <v>1242</v>
      </c>
      <c r="E10" s="32" t="s">
        <v>1038</v>
      </c>
      <c r="F10" s="32" t="s">
        <v>1240</v>
      </c>
      <c r="G10" s="32"/>
    </row>
    <row r="11" ht="16.5" customHeight="1">
      <c r="A11" s="1"/>
      <c r="B11" s="31" t="s">
        <v>1225</v>
      </c>
      <c r="C11" s="24">
        <f>WeddingDate-30</f>
        <v>46603</v>
      </c>
      <c r="D11" s="32" t="s">
        <v>1243</v>
      </c>
      <c r="E11" s="32" t="s">
        <v>1038</v>
      </c>
      <c r="F11" s="32" t="s">
        <v>1240</v>
      </c>
      <c r="G11" s="32"/>
    </row>
    <row r="12" ht="16.5" customHeight="1">
      <c r="A12" s="1"/>
      <c r="B12" s="31" t="s">
        <v>1225</v>
      </c>
      <c r="C12" s="24">
        <f>WeddingDate-30</f>
        <v>46603</v>
      </c>
      <c r="D12" s="32" t="s">
        <v>1244</v>
      </c>
      <c r="E12" s="32" t="s">
        <v>1038</v>
      </c>
      <c r="F12" s="32" t="s">
        <v>1240</v>
      </c>
      <c r="G12" s="32"/>
    </row>
    <row r="13" ht="16.5" customHeight="1">
      <c r="A13" s="1"/>
      <c r="B13" s="31" t="s">
        <v>1225</v>
      </c>
      <c r="C13" s="24">
        <f>WeddingDate-30</f>
        <v>46603</v>
      </c>
      <c r="D13" s="32" t="s">
        <v>1245</v>
      </c>
      <c r="E13" s="32" t="s">
        <v>1038</v>
      </c>
      <c r="F13" s="32" t="s">
        <v>1240</v>
      </c>
      <c r="G13" s="32"/>
    </row>
    <row r="14" ht="15.0" customHeight="1">
      <c r="A14" s="6"/>
      <c r="B14" s="6" t="s">
        <v>1248</v>
      </c>
      <c r="C14" s="99">
        <f>WeddingDate-21</f>
        <v>46612</v>
      </c>
      <c r="D14" s="6"/>
      <c r="E14" s="6"/>
      <c r="F14" s="100"/>
      <c r="G14" s="6"/>
    </row>
    <row r="15" ht="16.5" customHeight="1">
      <c r="A15" s="1"/>
      <c r="B15" s="31" t="s">
        <v>1248</v>
      </c>
      <c r="C15" s="24">
        <f>WeddingDate-21</f>
        <v>46612</v>
      </c>
      <c r="D15" s="32" t="s">
        <v>1250</v>
      </c>
      <c r="E15" s="32" t="s">
        <v>360</v>
      </c>
      <c r="F15" s="32" t="s">
        <v>1240</v>
      </c>
      <c r="G15" s="32"/>
    </row>
    <row r="16" ht="16.5" customHeight="1">
      <c r="A16" s="1"/>
      <c r="B16" s="31" t="s">
        <v>1248</v>
      </c>
      <c r="C16" s="24">
        <f>WeddingDate-21</f>
        <v>46612</v>
      </c>
      <c r="D16" s="32" t="s">
        <v>1251</v>
      </c>
      <c r="E16" s="32" t="s">
        <v>360</v>
      </c>
      <c r="F16" s="32" t="s">
        <v>1240</v>
      </c>
      <c r="G16" s="32"/>
    </row>
    <row r="17" ht="16.5" customHeight="1">
      <c r="A17" s="1"/>
      <c r="B17" s="31" t="s">
        <v>1248</v>
      </c>
      <c r="C17" s="24">
        <f>WeddingDate-21</f>
        <v>46612</v>
      </c>
      <c r="D17" s="32" t="s">
        <v>1254</v>
      </c>
      <c r="E17" s="32" t="s">
        <v>1038</v>
      </c>
      <c r="F17" s="32" t="s">
        <v>1240</v>
      </c>
      <c r="G17" s="32"/>
    </row>
    <row r="18" ht="16.5" customHeight="1">
      <c r="A18" s="1"/>
      <c r="B18" s="31" t="s">
        <v>1248</v>
      </c>
      <c r="C18" s="24">
        <f>WeddingDate-21</f>
        <v>46612</v>
      </c>
      <c r="D18" s="32" t="s">
        <v>1255</v>
      </c>
      <c r="E18" s="32" t="s">
        <v>1256</v>
      </c>
      <c r="F18" s="32" t="s">
        <v>1240</v>
      </c>
      <c r="G18" s="32"/>
    </row>
    <row r="19" ht="16.5" customHeight="1">
      <c r="A19" s="1"/>
      <c r="B19" s="31" t="s">
        <v>1248</v>
      </c>
      <c r="C19" s="24">
        <f>WeddingDate-21</f>
        <v>46612</v>
      </c>
      <c r="D19" s="32" t="s">
        <v>1258</v>
      </c>
      <c r="E19" s="32" t="s">
        <v>129</v>
      </c>
      <c r="F19" s="32" t="s">
        <v>1240</v>
      </c>
      <c r="G19" s="32"/>
    </row>
    <row r="20" ht="16.5" customHeight="1">
      <c r="A20" s="1"/>
      <c r="B20" s="31" t="s">
        <v>1248</v>
      </c>
      <c r="C20" s="24">
        <f>WeddingDate-21</f>
        <v>46612</v>
      </c>
      <c r="D20" s="32" t="s">
        <v>1260</v>
      </c>
      <c r="E20" s="32" t="s">
        <v>1038</v>
      </c>
      <c r="F20" s="32" t="s">
        <v>1240</v>
      </c>
      <c r="G20" s="32"/>
    </row>
    <row r="21" ht="15.0" customHeight="1">
      <c r="A21" s="6"/>
      <c r="B21" s="6" t="s">
        <v>1261</v>
      </c>
      <c r="C21" s="99">
        <f>WeddingDate-14</f>
        <v>46619</v>
      </c>
      <c r="D21" s="6"/>
      <c r="E21" s="6"/>
      <c r="F21" s="100"/>
      <c r="G21" s="6"/>
    </row>
    <row r="22" ht="16.5" customHeight="1">
      <c r="A22" s="1"/>
      <c r="B22" s="31" t="s">
        <v>1261</v>
      </c>
      <c r="C22" s="24">
        <f>WeddingDate-14</f>
        <v>46619</v>
      </c>
      <c r="D22" s="32" t="s">
        <v>1264</v>
      </c>
      <c r="E22" s="32" t="s">
        <v>1038</v>
      </c>
      <c r="F22" s="32" t="s">
        <v>1240</v>
      </c>
      <c r="G22" s="32"/>
    </row>
    <row r="23" ht="16.5" customHeight="1">
      <c r="A23" s="1"/>
      <c r="B23" s="31" t="s">
        <v>1261</v>
      </c>
      <c r="C23" s="24">
        <f>WeddingDate-14</f>
        <v>46619</v>
      </c>
      <c r="D23" s="32" t="s">
        <v>1265</v>
      </c>
      <c r="E23" s="32" t="s">
        <v>1038</v>
      </c>
      <c r="F23" s="32" t="s">
        <v>1240</v>
      </c>
      <c r="G23" s="32"/>
    </row>
    <row r="24" ht="16.5" customHeight="1">
      <c r="A24" s="1"/>
      <c r="B24" s="31" t="s">
        <v>1261</v>
      </c>
      <c r="C24" s="24">
        <f>WeddingDate-14</f>
        <v>46619</v>
      </c>
      <c r="D24" s="32" t="s">
        <v>1267</v>
      </c>
      <c r="E24" s="32" t="s">
        <v>1038</v>
      </c>
      <c r="F24" s="32" t="s">
        <v>1240</v>
      </c>
      <c r="G24" s="32"/>
    </row>
    <row r="25" ht="16.5" customHeight="1">
      <c r="A25" s="1"/>
      <c r="B25" s="31" t="s">
        <v>1261</v>
      </c>
      <c r="C25" s="24">
        <f>WeddingDate-14</f>
        <v>46619</v>
      </c>
      <c r="D25" s="32" t="s">
        <v>1269</v>
      </c>
      <c r="E25" s="32" t="s">
        <v>360</v>
      </c>
      <c r="F25" s="32" t="s">
        <v>1240</v>
      </c>
      <c r="G25" s="32"/>
    </row>
    <row r="26" ht="16.5" customHeight="1">
      <c r="A26" s="1"/>
      <c r="B26" s="31" t="s">
        <v>1261</v>
      </c>
      <c r="C26" s="24">
        <f>WeddingDate-14</f>
        <v>46619</v>
      </c>
      <c r="D26" s="32" t="s">
        <v>1270</v>
      </c>
      <c r="E26" s="32" t="s">
        <v>360</v>
      </c>
      <c r="F26" s="32" t="s">
        <v>1240</v>
      </c>
      <c r="G26" s="32"/>
    </row>
    <row r="27" ht="16.5" customHeight="1">
      <c r="A27" s="1"/>
      <c r="B27" s="31" t="s">
        <v>1261</v>
      </c>
      <c r="C27" s="24">
        <f>WeddingDate-14</f>
        <v>46619</v>
      </c>
      <c r="D27" s="32" t="s">
        <v>1273</v>
      </c>
      <c r="E27" s="32" t="s">
        <v>1256</v>
      </c>
      <c r="F27" s="32" t="s">
        <v>1240</v>
      </c>
      <c r="G27" s="32"/>
    </row>
    <row r="28" ht="16.5" customHeight="1">
      <c r="A28" s="1"/>
      <c r="B28" s="31" t="s">
        <v>1261</v>
      </c>
      <c r="C28" s="24">
        <f>WeddingDate-14</f>
        <v>46619</v>
      </c>
      <c r="D28" s="32" t="s">
        <v>1274</v>
      </c>
      <c r="E28" s="32" t="s">
        <v>1038</v>
      </c>
      <c r="F28" s="32" t="s">
        <v>1240</v>
      </c>
      <c r="G28" s="32"/>
    </row>
    <row r="29" ht="15.0" customHeight="1">
      <c r="A29" s="6"/>
      <c r="B29" s="6" t="s">
        <v>1275</v>
      </c>
      <c r="C29" s="99">
        <f>WeddingDate-7</f>
        <v>46626</v>
      </c>
      <c r="D29" s="6"/>
      <c r="E29" s="6"/>
      <c r="F29" s="100"/>
      <c r="G29" s="6"/>
    </row>
    <row r="30" ht="16.5" customHeight="1">
      <c r="A30" s="1"/>
      <c r="B30" s="31" t="s">
        <v>1275</v>
      </c>
      <c r="C30" s="24">
        <f>WeddingDate-7</f>
        <v>46626</v>
      </c>
      <c r="D30" s="32" t="s">
        <v>1278</v>
      </c>
      <c r="E30" s="32" t="s">
        <v>1038</v>
      </c>
      <c r="F30" s="32" t="s">
        <v>1240</v>
      </c>
      <c r="G30" s="32"/>
    </row>
    <row r="31" ht="16.5" customHeight="1">
      <c r="A31" s="1"/>
      <c r="B31" s="31" t="s">
        <v>1275</v>
      </c>
      <c r="C31" s="24">
        <f>WeddingDate-7</f>
        <v>46626</v>
      </c>
      <c r="D31" s="32" t="s">
        <v>1279</v>
      </c>
      <c r="E31" s="32" t="s">
        <v>1038</v>
      </c>
      <c r="F31" s="32" t="s">
        <v>1240</v>
      </c>
      <c r="G31" s="32"/>
    </row>
    <row r="32" ht="16.5" customHeight="1">
      <c r="A32" s="1"/>
      <c r="B32" s="31" t="s">
        <v>1275</v>
      </c>
      <c r="C32" s="24">
        <f>WeddingDate-7</f>
        <v>46626</v>
      </c>
      <c r="D32" s="32" t="s">
        <v>1280</v>
      </c>
      <c r="E32" s="32" t="s">
        <v>129</v>
      </c>
      <c r="F32" s="32" t="s">
        <v>1240</v>
      </c>
      <c r="G32" s="32"/>
    </row>
    <row r="33" ht="16.5" customHeight="1">
      <c r="A33" s="1"/>
      <c r="B33" s="31" t="s">
        <v>1275</v>
      </c>
      <c r="C33" s="24">
        <f>WeddingDate-7</f>
        <v>46626</v>
      </c>
      <c r="D33" s="32" t="s">
        <v>1283</v>
      </c>
      <c r="E33" s="32" t="s">
        <v>1038</v>
      </c>
      <c r="F33" s="32" t="s">
        <v>1240</v>
      </c>
      <c r="G33" s="32"/>
    </row>
    <row r="34" ht="16.5" customHeight="1">
      <c r="A34" s="1"/>
      <c r="B34" s="31" t="s">
        <v>1275</v>
      </c>
      <c r="C34" s="24">
        <f>WeddingDate-7</f>
        <v>46626</v>
      </c>
      <c r="D34" s="32" t="s">
        <v>1284</v>
      </c>
      <c r="E34" s="32" t="s">
        <v>1038</v>
      </c>
      <c r="F34" s="32" t="s">
        <v>1240</v>
      </c>
      <c r="G34" s="32"/>
    </row>
    <row r="35" ht="16.5" customHeight="1">
      <c r="A35" s="1"/>
      <c r="B35" s="31" t="s">
        <v>1275</v>
      </c>
      <c r="C35" s="24">
        <f>WeddingDate-7</f>
        <v>46626</v>
      </c>
      <c r="D35" s="32" t="s">
        <v>1285</v>
      </c>
      <c r="E35" s="32" t="s">
        <v>217</v>
      </c>
      <c r="F35" s="32" t="s">
        <v>1240</v>
      </c>
      <c r="G35" s="32"/>
    </row>
    <row r="36" ht="16.5" customHeight="1">
      <c r="A36" s="1"/>
      <c r="B36" s="31" t="s">
        <v>1275</v>
      </c>
      <c r="C36" s="24">
        <f>WeddingDate-7</f>
        <v>46626</v>
      </c>
      <c r="D36" s="32" t="s">
        <v>1288</v>
      </c>
      <c r="E36" s="32" t="s">
        <v>360</v>
      </c>
      <c r="F36" s="32" t="s">
        <v>1240</v>
      </c>
      <c r="G36" s="32"/>
    </row>
    <row r="37" ht="15.0" customHeight="1">
      <c r="A37" s="6"/>
      <c r="B37" s="6" t="s">
        <v>1289</v>
      </c>
      <c r="C37" s="99">
        <f>WeddingDate-3</f>
        <v>46630</v>
      </c>
      <c r="D37" s="6"/>
      <c r="E37" s="6"/>
      <c r="F37" s="100"/>
      <c r="G37" s="6"/>
    </row>
    <row r="38" ht="16.5" customHeight="1">
      <c r="A38" s="1"/>
      <c r="B38" s="31" t="s">
        <v>1289</v>
      </c>
      <c r="C38" s="24">
        <f>WeddingDate-3</f>
        <v>46630</v>
      </c>
      <c r="D38" s="32" t="s">
        <v>1290</v>
      </c>
      <c r="E38" s="32" t="s">
        <v>360</v>
      </c>
      <c r="F38" s="32" t="s">
        <v>1240</v>
      </c>
      <c r="G38" s="32"/>
    </row>
    <row r="39" ht="16.5" customHeight="1">
      <c r="A39" s="1"/>
      <c r="B39" s="31" t="s">
        <v>1289</v>
      </c>
      <c r="C39" s="24">
        <f>WeddingDate-3</f>
        <v>46630</v>
      </c>
      <c r="D39" s="32" t="s">
        <v>1291</v>
      </c>
      <c r="E39" s="32" t="s">
        <v>1038</v>
      </c>
      <c r="F39" s="32" t="s">
        <v>1240</v>
      </c>
      <c r="G39" s="32"/>
    </row>
    <row r="40" ht="16.5" customHeight="1">
      <c r="A40" s="1"/>
      <c r="B40" s="31" t="s">
        <v>1289</v>
      </c>
      <c r="C40" s="24">
        <f>WeddingDate-3</f>
        <v>46630</v>
      </c>
      <c r="D40" s="32" t="s">
        <v>1294</v>
      </c>
      <c r="E40" s="32" t="s">
        <v>1256</v>
      </c>
      <c r="F40" s="32" t="s">
        <v>1240</v>
      </c>
      <c r="G40" s="32"/>
    </row>
    <row r="41" ht="16.5" customHeight="1">
      <c r="A41" s="1"/>
      <c r="B41" s="31" t="s">
        <v>1289</v>
      </c>
      <c r="C41" s="24">
        <f>WeddingDate-3</f>
        <v>46630</v>
      </c>
      <c r="D41" s="32" t="s">
        <v>1295</v>
      </c>
      <c r="E41" s="32" t="s">
        <v>1256</v>
      </c>
      <c r="F41" s="32" t="s">
        <v>1240</v>
      </c>
      <c r="G41" s="32"/>
    </row>
    <row r="42" ht="16.5" customHeight="1">
      <c r="A42" s="1"/>
      <c r="B42" s="31" t="s">
        <v>1289</v>
      </c>
      <c r="C42" s="24">
        <f>WeddingDate-3</f>
        <v>46630</v>
      </c>
      <c r="D42" s="32" t="s">
        <v>1298</v>
      </c>
      <c r="E42" s="32" t="s">
        <v>1038</v>
      </c>
      <c r="F42" s="32" t="s">
        <v>1240</v>
      </c>
      <c r="G42" s="32"/>
    </row>
    <row r="43" ht="15.0" customHeight="1">
      <c r="A43" s="6"/>
      <c r="B43" s="6" t="s">
        <v>1299</v>
      </c>
      <c r="C43" s="99">
        <f>WeddingDate-2</f>
        <v>46631</v>
      </c>
      <c r="D43" s="6"/>
      <c r="E43" s="6"/>
      <c r="F43" s="100"/>
      <c r="G43" s="6"/>
    </row>
    <row r="44" ht="16.5" customHeight="1">
      <c r="A44" s="1"/>
      <c r="B44" s="31" t="s">
        <v>1299</v>
      </c>
      <c r="C44" s="24">
        <f>WeddingDate-2</f>
        <v>46631</v>
      </c>
      <c r="D44" s="32" t="s">
        <v>1300</v>
      </c>
      <c r="E44" s="32" t="s">
        <v>1038</v>
      </c>
      <c r="F44" s="32" t="s">
        <v>1240</v>
      </c>
      <c r="G44" s="32"/>
    </row>
    <row r="45" ht="16.5" customHeight="1">
      <c r="A45" s="1"/>
      <c r="B45" s="31" t="s">
        <v>1299</v>
      </c>
      <c r="C45" s="24">
        <f>WeddingDate-2</f>
        <v>46631</v>
      </c>
      <c r="D45" s="32" t="s">
        <v>1303</v>
      </c>
      <c r="E45" s="32" t="s">
        <v>1038</v>
      </c>
      <c r="F45" s="32" t="s">
        <v>1240</v>
      </c>
      <c r="G45" s="32"/>
    </row>
    <row r="46" ht="16.5" customHeight="1">
      <c r="A46" s="1"/>
      <c r="B46" s="31" t="s">
        <v>1299</v>
      </c>
      <c r="C46" s="24">
        <f>WeddingDate-2</f>
        <v>46631</v>
      </c>
      <c r="D46" s="32" t="s">
        <v>1304</v>
      </c>
      <c r="E46" s="32" t="s">
        <v>1256</v>
      </c>
      <c r="F46" s="32" t="s">
        <v>1240</v>
      </c>
      <c r="G46" s="32"/>
    </row>
    <row r="47" ht="16.5" customHeight="1">
      <c r="A47" s="1"/>
      <c r="B47" s="31" t="s">
        <v>1299</v>
      </c>
      <c r="C47" s="24">
        <f>WeddingDate-2</f>
        <v>46631</v>
      </c>
      <c r="D47" s="32" t="s">
        <v>1305</v>
      </c>
      <c r="E47" s="32" t="s">
        <v>1038</v>
      </c>
      <c r="F47" s="32" t="s">
        <v>1240</v>
      </c>
      <c r="G47" s="32"/>
    </row>
    <row r="48" ht="16.5" customHeight="1">
      <c r="A48" s="1"/>
      <c r="B48" s="31" t="s">
        <v>1299</v>
      </c>
      <c r="C48" s="24">
        <f>WeddingDate-2</f>
        <v>46631</v>
      </c>
      <c r="D48" s="32" t="s">
        <v>1307</v>
      </c>
      <c r="E48" s="32" t="s">
        <v>1038</v>
      </c>
      <c r="F48" s="32" t="s">
        <v>1240</v>
      </c>
      <c r="G48" s="32"/>
    </row>
    <row r="49" ht="15.0" customHeight="1">
      <c r="A49" s="6"/>
      <c r="B49" s="6" t="s">
        <v>1309</v>
      </c>
      <c r="C49" s="99">
        <f>WeddingDate-1</f>
        <v>46632</v>
      </c>
      <c r="D49" s="6"/>
      <c r="E49" s="6"/>
      <c r="F49" s="100"/>
      <c r="G49" s="6"/>
    </row>
    <row r="50" ht="16.5" customHeight="1">
      <c r="A50" s="1"/>
      <c r="B50" s="31" t="s">
        <v>1309</v>
      </c>
      <c r="C50" s="24">
        <f>WeddingDate-1</f>
        <v>46632</v>
      </c>
      <c r="D50" s="32" t="s">
        <v>1310</v>
      </c>
      <c r="E50" s="32" t="s">
        <v>129</v>
      </c>
      <c r="F50" s="32" t="s">
        <v>1240</v>
      </c>
      <c r="G50" s="32"/>
    </row>
    <row r="51" ht="16.5" customHeight="1">
      <c r="A51" s="1"/>
      <c r="B51" s="31" t="s">
        <v>1309</v>
      </c>
      <c r="C51" s="24">
        <f>WeddingDate-1</f>
        <v>46632</v>
      </c>
      <c r="D51" s="32" t="s">
        <v>1311</v>
      </c>
      <c r="E51" s="32" t="s">
        <v>1038</v>
      </c>
      <c r="F51" s="32" t="s">
        <v>1240</v>
      </c>
      <c r="G51" s="32"/>
    </row>
    <row r="52" ht="16.5" customHeight="1">
      <c r="A52" s="1"/>
      <c r="B52" s="31" t="s">
        <v>1309</v>
      </c>
      <c r="C52" s="24">
        <f>WeddingDate-1</f>
        <v>46632</v>
      </c>
      <c r="D52" s="32" t="s">
        <v>1314</v>
      </c>
      <c r="E52" s="32" t="s">
        <v>1038</v>
      </c>
      <c r="F52" s="32" t="s">
        <v>1240</v>
      </c>
      <c r="G52" s="32"/>
    </row>
    <row r="53" ht="16.5" customHeight="1">
      <c r="A53" s="1"/>
      <c r="B53" s="31" t="s">
        <v>1309</v>
      </c>
      <c r="C53" s="24">
        <f>WeddingDate-1</f>
        <v>46632</v>
      </c>
      <c r="D53" s="32" t="s">
        <v>1315</v>
      </c>
      <c r="E53" s="32" t="s">
        <v>360</v>
      </c>
      <c r="F53" s="32" t="s">
        <v>1240</v>
      </c>
      <c r="G53" s="32"/>
    </row>
    <row r="54" ht="16.5" customHeight="1">
      <c r="A54" s="1"/>
      <c r="B54" s="31" t="s">
        <v>1309</v>
      </c>
      <c r="C54" s="24">
        <f>WeddingDate-1</f>
        <v>46632</v>
      </c>
      <c r="D54" s="32" t="s">
        <v>1316</v>
      </c>
      <c r="E54" s="32" t="s">
        <v>1038</v>
      </c>
      <c r="F54" s="32" t="s">
        <v>1240</v>
      </c>
      <c r="G54" s="32"/>
    </row>
    <row r="55" ht="16.5" customHeight="1">
      <c r="A55" s="1"/>
      <c r="B55" s="31" t="s">
        <v>1309</v>
      </c>
      <c r="C55" s="24">
        <f>WeddingDate-1</f>
        <v>46632</v>
      </c>
      <c r="D55" s="32" t="s">
        <v>1317</v>
      </c>
      <c r="E55" s="32" t="s">
        <v>1256</v>
      </c>
      <c r="F55" s="32" t="s">
        <v>1240</v>
      </c>
      <c r="G55" s="32"/>
    </row>
    <row r="56" ht="16.5" customHeight="1">
      <c r="A56" s="1"/>
      <c r="B56" s="31" t="s">
        <v>1309</v>
      </c>
      <c r="C56" s="24">
        <f>WeddingDate-1</f>
        <v>46632</v>
      </c>
      <c r="D56" s="32" t="s">
        <v>1320</v>
      </c>
      <c r="E56" s="32" t="s">
        <v>1038</v>
      </c>
      <c r="F56" s="32" t="s">
        <v>1240</v>
      </c>
      <c r="G56" s="32"/>
    </row>
    <row r="57" ht="15.0" customHeight="1">
      <c r="A57" s="6"/>
      <c r="B57" s="6" t="s">
        <v>1321</v>
      </c>
      <c r="C57" s="99">
        <f>WeddingDate-0</f>
        <v>46633</v>
      </c>
      <c r="D57" s="6"/>
      <c r="E57" s="6"/>
      <c r="F57" s="100"/>
      <c r="G57" s="6"/>
    </row>
    <row r="58" ht="16.5" customHeight="1">
      <c r="A58" s="1"/>
      <c r="B58" s="31" t="s">
        <v>1321</v>
      </c>
      <c r="C58" s="24">
        <f>WeddingDate-0</f>
        <v>46633</v>
      </c>
      <c r="D58" s="32" t="s">
        <v>1322</v>
      </c>
      <c r="E58" s="32" t="s">
        <v>1038</v>
      </c>
      <c r="F58" s="32" t="s">
        <v>1240</v>
      </c>
      <c r="G58" s="32"/>
    </row>
    <row r="59" ht="16.5" customHeight="1">
      <c r="A59" s="1"/>
      <c r="B59" s="31" t="s">
        <v>1321</v>
      </c>
      <c r="C59" s="24">
        <f>WeddingDate-0</f>
        <v>46633</v>
      </c>
      <c r="D59" s="32" t="s">
        <v>1324</v>
      </c>
      <c r="E59" s="32" t="s">
        <v>1256</v>
      </c>
      <c r="F59" s="32" t="s">
        <v>1240</v>
      </c>
      <c r="G59" s="32"/>
    </row>
    <row r="60" ht="16.5" customHeight="1">
      <c r="A60" s="1"/>
      <c r="B60" s="31" t="s">
        <v>1321</v>
      </c>
      <c r="C60" s="24">
        <f>WeddingDate-0</f>
        <v>46633</v>
      </c>
      <c r="D60" s="32" t="s">
        <v>1326</v>
      </c>
      <c r="E60" s="32" t="s">
        <v>1038</v>
      </c>
      <c r="F60" s="32" t="s">
        <v>1240</v>
      </c>
      <c r="G60" s="32"/>
    </row>
    <row r="61" ht="16.5" customHeight="1">
      <c r="A61" s="1"/>
      <c r="B61" s="31" t="s">
        <v>1321</v>
      </c>
      <c r="C61" s="24">
        <f>WeddingDate-0</f>
        <v>46633</v>
      </c>
      <c r="D61" s="32" t="s">
        <v>1327</v>
      </c>
      <c r="E61" s="32" t="s">
        <v>1038</v>
      </c>
      <c r="F61" s="32" t="s">
        <v>1240</v>
      </c>
      <c r="G61" s="32"/>
    </row>
    <row r="62" ht="16.5" customHeight="1">
      <c r="A62" s="1"/>
      <c r="B62" s="31" t="s">
        <v>1321</v>
      </c>
      <c r="C62" s="24">
        <f>WeddingDate-0</f>
        <v>46633</v>
      </c>
      <c r="D62" s="32" t="s">
        <v>1330</v>
      </c>
      <c r="E62" s="32" t="s">
        <v>360</v>
      </c>
      <c r="F62" s="32" t="s">
        <v>1240</v>
      </c>
      <c r="G62" s="32"/>
    </row>
    <row r="63" ht="16.5" customHeight="1">
      <c r="A63" s="1"/>
      <c r="B63" s="31" t="s">
        <v>1321</v>
      </c>
      <c r="C63" s="24">
        <f>WeddingDate-0</f>
        <v>46633</v>
      </c>
      <c r="D63" s="32" t="s">
        <v>1331</v>
      </c>
      <c r="E63" s="32" t="s">
        <v>360</v>
      </c>
      <c r="F63" s="32" t="s">
        <v>1240</v>
      </c>
      <c r="G63" s="32"/>
    </row>
    <row r="64" ht="16.5" customHeight="1">
      <c r="A64" s="1"/>
      <c r="B64" s="31" t="s">
        <v>1321</v>
      </c>
      <c r="C64" s="24">
        <f>WeddingDate-0</f>
        <v>46633</v>
      </c>
      <c r="D64" s="32" t="s">
        <v>1333</v>
      </c>
      <c r="E64" s="32" t="s">
        <v>360</v>
      </c>
      <c r="F64" s="32" t="s">
        <v>1240</v>
      </c>
      <c r="G64" s="32"/>
    </row>
    <row r="65" ht="16.5" customHeight="1">
      <c r="A65" s="1"/>
      <c r="B65" s="31" t="s">
        <v>1321</v>
      </c>
      <c r="C65" s="24">
        <f>WeddingDate-0</f>
        <v>46633</v>
      </c>
      <c r="D65" s="32" t="s">
        <v>1335</v>
      </c>
      <c r="E65" s="32" t="s">
        <v>217</v>
      </c>
      <c r="F65" s="32" t="s">
        <v>1240</v>
      </c>
      <c r="G65" s="32"/>
    </row>
    <row r="66" ht="16.5" customHeight="1">
      <c r="A66" s="1"/>
      <c r="B66" s="31" t="s">
        <v>1321</v>
      </c>
      <c r="C66" s="24">
        <f>WeddingDate-0</f>
        <v>46633</v>
      </c>
      <c r="D66" s="32" t="s">
        <v>1336</v>
      </c>
      <c r="E66" s="32" t="s">
        <v>1038</v>
      </c>
      <c r="F66" s="32" t="s">
        <v>1240</v>
      </c>
      <c r="G66" s="32"/>
    </row>
    <row r="67" ht="15.0" customHeight="1">
      <c r="A67" s="6"/>
      <c r="B67" s="6" t="s">
        <v>1339</v>
      </c>
      <c r="C67" s="99">
        <f>WeddingDate+1</f>
        <v>46634</v>
      </c>
      <c r="D67" s="6"/>
      <c r="E67" s="6"/>
      <c r="F67" s="100"/>
      <c r="G67" s="6"/>
    </row>
    <row r="68" ht="16.5" customHeight="1">
      <c r="A68" s="1"/>
      <c r="B68" s="31" t="s">
        <v>1339</v>
      </c>
      <c r="C68" s="24">
        <f>WeddingDate+1</f>
        <v>46634</v>
      </c>
      <c r="D68" s="32" t="s">
        <v>1340</v>
      </c>
      <c r="E68" s="32" t="s">
        <v>1038</v>
      </c>
      <c r="F68" s="32" t="s">
        <v>1240</v>
      </c>
      <c r="G68" s="32"/>
    </row>
    <row r="69" ht="16.5" customHeight="1">
      <c r="A69" s="1"/>
      <c r="B69" s="31" t="s">
        <v>1339</v>
      </c>
      <c r="C69" s="24">
        <f>WeddingDate+1</f>
        <v>46634</v>
      </c>
      <c r="D69" s="32" t="s">
        <v>1342</v>
      </c>
      <c r="E69" s="32" t="s">
        <v>1038</v>
      </c>
      <c r="F69" s="32" t="s">
        <v>1240</v>
      </c>
      <c r="G69" s="32"/>
    </row>
    <row r="70" ht="16.5" customHeight="1">
      <c r="A70" s="1"/>
      <c r="B70" s="31" t="s">
        <v>1339</v>
      </c>
      <c r="C70" s="24">
        <f>WeddingDate+1</f>
        <v>46634</v>
      </c>
      <c r="D70" s="32" t="s">
        <v>1344</v>
      </c>
      <c r="E70" s="32" t="s">
        <v>1038</v>
      </c>
      <c r="F70" s="32" t="s">
        <v>1240</v>
      </c>
      <c r="G70" s="32"/>
    </row>
    <row r="71" ht="16.5" customHeight="1">
      <c r="A71" s="1"/>
      <c r="B71" s="31" t="s">
        <v>1339</v>
      </c>
      <c r="C71" s="24">
        <f>WeddingDate+1</f>
        <v>46634</v>
      </c>
      <c r="D71" s="32" t="s">
        <v>1345</v>
      </c>
      <c r="E71" s="32" t="s">
        <v>129</v>
      </c>
      <c r="F71" s="32" t="s">
        <v>1240</v>
      </c>
      <c r="G71" s="32"/>
    </row>
    <row r="72" ht="16.5" customHeight="1">
      <c r="A72" s="1"/>
      <c r="B72" s="31" t="s">
        <v>1339</v>
      </c>
      <c r="C72" s="24">
        <f>WeddingDate+1</f>
        <v>46634</v>
      </c>
      <c r="D72" s="32" t="s">
        <v>1348</v>
      </c>
      <c r="E72" s="32" t="s">
        <v>360</v>
      </c>
      <c r="F72" s="32" t="s">
        <v>1240</v>
      </c>
      <c r="G72" s="32"/>
    </row>
    <row r="73" ht="16.5" customHeight="1">
      <c r="A73" s="1"/>
      <c r="B73" s="31" t="s">
        <v>1339</v>
      </c>
      <c r="C73" s="24">
        <f>WeddingDate+1</f>
        <v>46634</v>
      </c>
      <c r="D73" s="32" t="s">
        <v>1349</v>
      </c>
      <c r="E73" s="32" t="s">
        <v>1038</v>
      </c>
      <c r="F73" s="32" t="s">
        <v>1240</v>
      </c>
      <c r="G73" s="32"/>
    </row>
    <row r="74" ht="16.5" customHeight="1">
      <c r="A74" s="1"/>
      <c r="B74" s="31" t="s">
        <v>1339</v>
      </c>
      <c r="C74" s="24">
        <f>WeddingDate+1</f>
        <v>46634</v>
      </c>
      <c r="D74" s="32" t="s">
        <v>1351</v>
      </c>
      <c r="E74" s="32" t="s">
        <v>1038</v>
      </c>
      <c r="F74" s="32" t="s">
        <v>1240</v>
      </c>
      <c r="G74" s="3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G$74"/>
  <conditionalFormatting sqref="B7:G74">
    <cfRule type="expression" dxfId="12" priority="1">
      <formula>$F7="Yes"</formula>
    </cfRule>
  </conditionalFormatting>
  <conditionalFormatting sqref="B7:G74">
    <cfRule type="expression" dxfId="6" priority="2">
      <formula>AND($F7&lt;&gt;"Yes",$C7&lt;&gt;"",$C7&lt;TODAY())</formula>
    </cfRule>
  </conditionalFormatting>
  <dataValidations>
    <dataValidation type="list" allowBlank="1" sqref="E7:E74">
      <formula1>"Bride,Groom,Couple,Bride's Family,Groom's Family,Coordinator,Vendor,Shared"</formula1>
    </dataValidation>
    <dataValidation type="list" allowBlank="1" sqref="F7:F74">
      <formula1>"Yes,No"</formula1>
    </dataValidation>
  </dataValidations>
  <printOptions horizontalCentered="1"/>
  <pageMargins bottom="0.4" footer="0.0" header="0.0" left="0.3" right="0.3" top="0.4"/>
  <pageSetup fitToHeight="0" orientation="landscape"/>
  <headerFooter>
    <oddFooter>&amp;C 08 Countdown   -   page &amp;P of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6D3B"/>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0"/>
    <col customWidth="1" min="2" max="2" width="7.43"/>
    <col customWidth="1" min="3" max="3" width="19.29"/>
    <col customWidth="1" min="4" max="4" width="30.0"/>
    <col customWidth="1" min="5" max="5" width="17.14"/>
    <col customWidth="1" min="6" max="6" width="8.57"/>
    <col customWidth="1" min="7" max="7" width="16.14"/>
    <col customWidth="1" min="8" max="8" width="6.43"/>
    <col customWidth="1" min="9" max="11" width="9.71"/>
    <col customWidth="1" min="12" max="12" width="15.0"/>
    <col customWidth="1" min="13" max="13" width="13.86"/>
    <col customWidth="1" min="14" max="14" width="21.43"/>
    <col customWidth="1" min="15" max="16" width="12.86"/>
    <col customWidth="1" min="17" max="17" width="10.71"/>
    <col customWidth="1" min="18" max="19" width="12.86"/>
    <col customWidth="1" min="20" max="25" width="11.86"/>
    <col customWidth="1" min="26" max="26" width="15.0"/>
    <col customWidth="1" min="27" max="27" width="10.71"/>
    <col customWidth="1" min="28" max="28" width="12.86"/>
    <col customWidth="1" min="29" max="29" width="13.86"/>
    <col customWidth="1" min="30" max="30" width="8.57"/>
    <col customWidth="1" min="31" max="32" width="15.0"/>
    <col customWidth="1" min="33" max="33" width="21.43"/>
    <col customWidth="1" min="34" max="34" width="12.86"/>
    <col customWidth="1" min="35" max="35" width="27.86"/>
  </cols>
  <sheetData>
    <row r="1" ht="16.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33.75" customHeight="1">
      <c r="A2" s="2"/>
      <c r="B2" s="2" t="s">
        <v>1370</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ht="15.75" customHeight="1">
      <c r="A3" s="3"/>
      <c r="B3" s="3" t="s">
        <v>1373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ht="16.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ht="16.5" customHeight="1">
      <c r="A5" s="1"/>
      <c r="B5" s="1"/>
      <c r="C5" s="1"/>
      <c r="D5" s="5" t="s">
        <v>13</v>
      </c>
      <c r="E5" s="1"/>
      <c r="F5" s="1"/>
      <c r="G5" s="1"/>
      <c r="H5" s="1"/>
      <c r="I5" s="102">
        <f t="shared" ref="I5:K5" si="1">SUM(I7:I300)</f>
        <v>156</v>
      </c>
      <c r="J5" s="102">
        <f t="shared" si="1"/>
        <v>0</v>
      </c>
      <c r="K5" s="102">
        <f t="shared" si="1"/>
        <v>156</v>
      </c>
      <c r="L5" s="1"/>
      <c r="M5" s="1"/>
      <c r="N5" s="1"/>
      <c r="O5" s="1"/>
      <c r="P5" s="1"/>
      <c r="Q5" s="1"/>
      <c r="R5" s="1"/>
      <c r="S5" s="1"/>
      <c r="T5" s="1"/>
      <c r="U5" s="1"/>
      <c r="V5" s="1"/>
      <c r="W5" s="102">
        <f t="shared" ref="W5:Y5" si="2">SUM(W7:W300)</f>
        <v>0</v>
      </c>
      <c r="X5" s="102">
        <f t="shared" si="2"/>
        <v>0</v>
      </c>
      <c r="Y5" s="102">
        <f t="shared" si="2"/>
        <v>0</v>
      </c>
      <c r="Z5" s="1"/>
      <c r="AA5" s="1"/>
      <c r="AB5" s="1"/>
      <c r="AC5" s="1"/>
      <c r="AD5" s="1"/>
      <c r="AE5" s="13">
        <f t="shared" ref="AE5:AF5" si="3">SUM(AE7:AE300)</f>
        <v>605000</v>
      </c>
      <c r="AF5" s="13">
        <f t="shared" si="3"/>
        <v>0</v>
      </c>
      <c r="AG5" s="1"/>
      <c r="AH5" s="1"/>
      <c r="AI5" s="1"/>
    </row>
    <row r="6" ht="30.0" customHeight="1">
      <c r="A6" s="16"/>
      <c r="B6" s="17" t="s">
        <v>24</v>
      </c>
      <c r="C6" s="17" t="s">
        <v>503</v>
      </c>
      <c r="D6" s="17" t="s">
        <v>1382</v>
      </c>
      <c r="E6" s="17" t="s">
        <v>1194</v>
      </c>
      <c r="F6" s="17" t="s">
        <v>1383</v>
      </c>
      <c r="G6" s="17" t="s">
        <v>55</v>
      </c>
      <c r="H6" s="17" t="s">
        <v>1384</v>
      </c>
      <c r="I6" s="17" t="s">
        <v>1385</v>
      </c>
      <c r="J6" s="17" t="s">
        <v>1386</v>
      </c>
      <c r="K6" s="17" t="s">
        <v>1387</v>
      </c>
      <c r="L6" s="17" t="s">
        <v>183</v>
      </c>
      <c r="M6" s="17" t="s">
        <v>184</v>
      </c>
      <c r="N6" s="17" t="s">
        <v>185</v>
      </c>
      <c r="O6" s="17" t="s">
        <v>1390</v>
      </c>
      <c r="P6" s="17" t="s">
        <v>1391</v>
      </c>
      <c r="Q6" s="17" t="s">
        <v>1392</v>
      </c>
      <c r="R6" s="17" t="s">
        <v>1393</v>
      </c>
      <c r="S6" s="17" t="s">
        <v>1394</v>
      </c>
      <c r="T6" s="17" t="s">
        <v>1395</v>
      </c>
      <c r="U6" s="17" t="s">
        <v>1396</v>
      </c>
      <c r="V6" s="17" t="s">
        <v>1397</v>
      </c>
      <c r="W6" s="17" t="s">
        <v>1398</v>
      </c>
      <c r="X6" s="17" t="s">
        <v>1399</v>
      </c>
      <c r="Y6" s="17" t="s">
        <v>1400</v>
      </c>
      <c r="Z6" s="17" t="s">
        <v>1402</v>
      </c>
      <c r="AA6" s="17" t="s">
        <v>1403</v>
      </c>
      <c r="AB6" s="17" t="s">
        <v>1405</v>
      </c>
      <c r="AC6" s="17" t="s">
        <v>1406</v>
      </c>
      <c r="AD6" s="17" t="s">
        <v>1407</v>
      </c>
      <c r="AE6" s="17" t="s">
        <v>1408</v>
      </c>
      <c r="AF6" s="17" t="s">
        <v>1409</v>
      </c>
      <c r="AG6" s="17" t="s">
        <v>1410</v>
      </c>
      <c r="AH6" s="17" t="s">
        <v>1411</v>
      </c>
      <c r="AI6" s="17" t="s">
        <v>50</v>
      </c>
    </row>
    <row r="7" ht="16.5" customHeight="1">
      <c r="A7" s="1"/>
      <c r="B7" s="31" t="s">
        <v>1412</v>
      </c>
      <c r="C7" s="32" t="s">
        <v>1413</v>
      </c>
      <c r="D7" s="32" t="s">
        <v>1414</v>
      </c>
      <c r="E7" s="32"/>
      <c r="F7" s="32" t="s">
        <v>129</v>
      </c>
      <c r="G7" s="32" t="s">
        <v>1415</v>
      </c>
      <c r="H7" s="32"/>
      <c r="I7" s="103">
        <v>4.0</v>
      </c>
      <c r="J7" s="103">
        <v>0.0</v>
      </c>
      <c r="K7" s="104">
        <f t="shared" ref="K7:K300" si="4">IF($D7="","",I7+J7)</f>
        <v>4</v>
      </c>
      <c r="L7" s="32"/>
      <c r="M7" s="32"/>
      <c r="N7" s="32"/>
      <c r="O7" s="32"/>
      <c r="P7" s="32"/>
      <c r="Q7" s="32"/>
      <c r="R7" s="32"/>
      <c r="S7" s="32"/>
      <c r="T7" s="24"/>
      <c r="U7" s="32" t="s">
        <v>1422</v>
      </c>
      <c r="V7" s="24"/>
      <c r="W7" s="103"/>
      <c r="X7" s="103"/>
      <c r="Y7" s="104">
        <f t="shared" ref="Y7:Y300" si="5">IF($D7="","",W7+X7)</f>
        <v>0</v>
      </c>
      <c r="Z7" s="32"/>
      <c r="AA7" s="32"/>
      <c r="AB7" s="32"/>
      <c r="AC7" s="32"/>
      <c r="AD7" s="32"/>
      <c r="AE7" s="38">
        <v>10000.0</v>
      </c>
      <c r="AF7" s="38"/>
      <c r="AG7" s="32"/>
      <c r="AH7" s="32"/>
      <c r="AI7" s="32"/>
    </row>
    <row r="8" ht="16.5" customHeight="1">
      <c r="A8" s="1"/>
      <c r="B8" s="31" t="s">
        <v>1425</v>
      </c>
      <c r="C8" s="32" t="s">
        <v>1413</v>
      </c>
      <c r="D8" s="32" t="s">
        <v>1426</v>
      </c>
      <c r="E8" s="32"/>
      <c r="F8" s="32" t="s">
        <v>129</v>
      </c>
      <c r="G8" s="32" t="s">
        <v>1415</v>
      </c>
      <c r="H8" s="32"/>
      <c r="I8" s="103">
        <v>4.0</v>
      </c>
      <c r="J8" s="103">
        <v>0.0</v>
      </c>
      <c r="K8" s="104">
        <f t="shared" si="4"/>
        <v>4</v>
      </c>
      <c r="L8" s="32"/>
      <c r="M8" s="32"/>
      <c r="N8" s="32"/>
      <c r="O8" s="32"/>
      <c r="P8" s="32"/>
      <c r="Q8" s="32"/>
      <c r="R8" s="32"/>
      <c r="S8" s="32"/>
      <c r="T8" s="24"/>
      <c r="U8" s="32" t="s">
        <v>1422</v>
      </c>
      <c r="V8" s="24"/>
      <c r="W8" s="103"/>
      <c r="X8" s="103"/>
      <c r="Y8" s="104">
        <f t="shared" si="5"/>
        <v>0</v>
      </c>
      <c r="Z8" s="32"/>
      <c r="AA8" s="32"/>
      <c r="AB8" s="32"/>
      <c r="AC8" s="32"/>
      <c r="AD8" s="32"/>
      <c r="AE8" s="38">
        <v>5000.0</v>
      </c>
      <c r="AF8" s="38"/>
      <c r="AG8" s="32"/>
      <c r="AH8" s="32"/>
      <c r="AI8" s="32"/>
    </row>
    <row r="9" ht="16.5" customHeight="1">
      <c r="A9" s="1"/>
      <c r="B9" s="31" t="s">
        <v>1431</v>
      </c>
      <c r="C9" s="32" t="s">
        <v>1413</v>
      </c>
      <c r="D9" s="32" t="s">
        <v>1432</v>
      </c>
      <c r="E9" s="32"/>
      <c r="F9" s="32" t="s">
        <v>129</v>
      </c>
      <c r="G9" s="32" t="s">
        <v>1415</v>
      </c>
      <c r="H9" s="32"/>
      <c r="I9" s="103">
        <v>3.0</v>
      </c>
      <c r="J9" s="103">
        <v>0.0</v>
      </c>
      <c r="K9" s="104">
        <f t="shared" si="4"/>
        <v>3</v>
      </c>
      <c r="L9" s="32"/>
      <c r="M9" s="32"/>
      <c r="N9" s="32"/>
      <c r="O9" s="32"/>
      <c r="P9" s="32"/>
      <c r="Q9" s="32"/>
      <c r="R9" s="32"/>
      <c r="S9" s="32"/>
      <c r="T9" s="24"/>
      <c r="U9" s="32" t="s">
        <v>1422</v>
      </c>
      <c r="V9" s="24"/>
      <c r="W9" s="103"/>
      <c r="X9" s="103"/>
      <c r="Y9" s="104">
        <f t="shared" si="5"/>
        <v>0</v>
      </c>
      <c r="Z9" s="32"/>
      <c r="AA9" s="32"/>
      <c r="AB9" s="32"/>
      <c r="AC9" s="32"/>
      <c r="AD9" s="32"/>
      <c r="AE9" s="38">
        <v>5000.0</v>
      </c>
      <c r="AF9" s="38"/>
      <c r="AG9" s="32"/>
      <c r="AH9" s="32"/>
      <c r="AI9" s="32"/>
    </row>
    <row r="10" ht="16.5" customHeight="1">
      <c r="A10" s="1"/>
      <c r="B10" s="31" t="s">
        <v>1435</v>
      </c>
      <c r="C10" s="32" t="s">
        <v>1413</v>
      </c>
      <c r="D10" s="32" t="s">
        <v>1436</v>
      </c>
      <c r="E10" s="32"/>
      <c r="F10" s="32" t="s">
        <v>129</v>
      </c>
      <c r="G10" s="32" t="s">
        <v>1415</v>
      </c>
      <c r="H10" s="32"/>
      <c r="I10" s="103">
        <v>3.0</v>
      </c>
      <c r="J10" s="103">
        <v>0.0</v>
      </c>
      <c r="K10" s="104">
        <f t="shared" si="4"/>
        <v>3</v>
      </c>
      <c r="L10" s="32"/>
      <c r="M10" s="32"/>
      <c r="N10" s="32"/>
      <c r="O10" s="32"/>
      <c r="P10" s="32"/>
      <c r="Q10" s="32"/>
      <c r="R10" s="32"/>
      <c r="S10" s="32"/>
      <c r="T10" s="24"/>
      <c r="U10" s="32" t="s">
        <v>1422</v>
      </c>
      <c r="V10" s="24"/>
      <c r="W10" s="103"/>
      <c r="X10" s="103"/>
      <c r="Y10" s="104">
        <f t="shared" si="5"/>
        <v>0</v>
      </c>
      <c r="Z10" s="32"/>
      <c r="AA10" s="32"/>
      <c r="AB10" s="32"/>
      <c r="AC10" s="32"/>
      <c r="AD10" s="32"/>
      <c r="AE10" s="38">
        <v>5000.0</v>
      </c>
      <c r="AF10" s="38"/>
      <c r="AG10" s="32"/>
      <c r="AH10" s="32"/>
      <c r="AI10" s="32"/>
    </row>
    <row r="11" ht="16.5" customHeight="1">
      <c r="A11" s="1"/>
      <c r="B11" s="31" t="s">
        <v>1439</v>
      </c>
      <c r="C11" s="32" t="s">
        <v>1413</v>
      </c>
      <c r="D11" s="32" t="s">
        <v>1440</v>
      </c>
      <c r="E11" s="32"/>
      <c r="F11" s="32" t="s">
        <v>129</v>
      </c>
      <c r="G11" s="32" t="s">
        <v>1415</v>
      </c>
      <c r="H11" s="32"/>
      <c r="I11" s="103">
        <v>2.0</v>
      </c>
      <c r="J11" s="103">
        <v>0.0</v>
      </c>
      <c r="K11" s="104">
        <f t="shared" si="4"/>
        <v>2</v>
      </c>
      <c r="L11" s="32"/>
      <c r="M11" s="32"/>
      <c r="N11" s="32"/>
      <c r="O11" s="32"/>
      <c r="P11" s="32"/>
      <c r="Q11" s="32"/>
      <c r="R11" s="32"/>
      <c r="S11" s="32"/>
      <c r="T11" s="24"/>
      <c r="U11" s="32" t="s">
        <v>1422</v>
      </c>
      <c r="V11" s="24"/>
      <c r="W11" s="103"/>
      <c r="X11" s="103"/>
      <c r="Y11" s="104">
        <f t="shared" si="5"/>
        <v>0</v>
      </c>
      <c r="Z11" s="32"/>
      <c r="AA11" s="32"/>
      <c r="AB11" s="32"/>
      <c r="AC11" s="32"/>
      <c r="AD11" s="32"/>
      <c r="AE11" s="38">
        <v>5000.0</v>
      </c>
      <c r="AF11" s="38"/>
      <c r="AG11" s="32"/>
      <c r="AH11" s="32"/>
      <c r="AI11" s="32"/>
    </row>
    <row r="12" ht="16.5" customHeight="1">
      <c r="A12" s="1"/>
      <c r="B12" s="31" t="s">
        <v>1444</v>
      </c>
      <c r="C12" s="32" t="s">
        <v>1413</v>
      </c>
      <c r="D12" s="32" t="s">
        <v>1446</v>
      </c>
      <c r="E12" s="32"/>
      <c r="F12" s="32" t="s">
        <v>129</v>
      </c>
      <c r="G12" s="32" t="s">
        <v>1415</v>
      </c>
      <c r="H12" s="32"/>
      <c r="I12" s="103">
        <v>1.0</v>
      </c>
      <c r="J12" s="103">
        <v>0.0</v>
      </c>
      <c r="K12" s="104">
        <f t="shared" si="4"/>
        <v>1</v>
      </c>
      <c r="L12" s="32"/>
      <c r="M12" s="32"/>
      <c r="N12" s="32"/>
      <c r="O12" s="32"/>
      <c r="P12" s="32"/>
      <c r="Q12" s="32"/>
      <c r="R12" s="32"/>
      <c r="S12" s="32"/>
      <c r="T12" s="24"/>
      <c r="U12" s="32" t="s">
        <v>1422</v>
      </c>
      <c r="V12" s="24"/>
      <c r="W12" s="103"/>
      <c r="X12" s="103"/>
      <c r="Y12" s="104">
        <f t="shared" si="5"/>
        <v>0</v>
      </c>
      <c r="Z12" s="32"/>
      <c r="AA12" s="32"/>
      <c r="AB12" s="32"/>
      <c r="AC12" s="32"/>
      <c r="AD12" s="32"/>
      <c r="AE12" s="38">
        <v>5000.0</v>
      </c>
      <c r="AF12" s="38"/>
      <c r="AG12" s="32"/>
      <c r="AH12" s="32"/>
      <c r="AI12" s="32"/>
    </row>
    <row r="13" ht="16.5" customHeight="1">
      <c r="A13" s="1"/>
      <c r="B13" s="31" t="s">
        <v>1448</v>
      </c>
      <c r="C13" s="32" t="s">
        <v>1413</v>
      </c>
      <c r="D13" s="32" t="s">
        <v>1449</v>
      </c>
      <c r="E13" s="32"/>
      <c r="F13" s="32" t="s">
        <v>129</v>
      </c>
      <c r="G13" s="32" t="s">
        <v>1415</v>
      </c>
      <c r="H13" s="32"/>
      <c r="I13" s="103">
        <v>2.0</v>
      </c>
      <c r="J13" s="103">
        <v>0.0</v>
      </c>
      <c r="K13" s="104">
        <f t="shared" si="4"/>
        <v>2</v>
      </c>
      <c r="L13" s="32"/>
      <c r="M13" s="32"/>
      <c r="N13" s="32"/>
      <c r="O13" s="32"/>
      <c r="P13" s="32"/>
      <c r="Q13" s="32"/>
      <c r="R13" s="32"/>
      <c r="S13" s="32"/>
      <c r="T13" s="24"/>
      <c r="U13" s="32" t="s">
        <v>1422</v>
      </c>
      <c r="V13" s="24"/>
      <c r="W13" s="103"/>
      <c r="X13" s="103"/>
      <c r="Y13" s="104">
        <f t="shared" si="5"/>
        <v>0</v>
      </c>
      <c r="Z13" s="32"/>
      <c r="AA13" s="32"/>
      <c r="AB13" s="32"/>
      <c r="AC13" s="32"/>
      <c r="AD13" s="32"/>
      <c r="AE13" s="38">
        <v>5000.0</v>
      </c>
      <c r="AF13" s="38"/>
      <c r="AG13" s="32"/>
      <c r="AH13" s="32"/>
      <c r="AI13" s="32"/>
    </row>
    <row r="14" ht="16.5" customHeight="1">
      <c r="A14" s="1"/>
      <c r="B14" s="31" t="s">
        <v>1452</v>
      </c>
      <c r="C14" s="32" t="s">
        <v>1413</v>
      </c>
      <c r="D14" s="32" t="s">
        <v>1453</v>
      </c>
      <c r="E14" s="32"/>
      <c r="F14" s="32" t="s">
        <v>129</v>
      </c>
      <c r="G14" s="32" t="s">
        <v>1415</v>
      </c>
      <c r="H14" s="32"/>
      <c r="I14" s="103">
        <v>1.0</v>
      </c>
      <c r="J14" s="103">
        <v>0.0</v>
      </c>
      <c r="K14" s="104">
        <f t="shared" si="4"/>
        <v>1</v>
      </c>
      <c r="L14" s="32"/>
      <c r="M14" s="32"/>
      <c r="N14" s="32"/>
      <c r="O14" s="32"/>
      <c r="P14" s="32"/>
      <c r="Q14" s="32"/>
      <c r="R14" s="32"/>
      <c r="S14" s="32"/>
      <c r="T14" s="24"/>
      <c r="U14" s="32" t="s">
        <v>1422</v>
      </c>
      <c r="V14" s="24"/>
      <c r="W14" s="103"/>
      <c r="X14" s="103"/>
      <c r="Y14" s="104">
        <f t="shared" si="5"/>
        <v>0</v>
      </c>
      <c r="Z14" s="32"/>
      <c r="AA14" s="32"/>
      <c r="AB14" s="32"/>
      <c r="AC14" s="32"/>
      <c r="AD14" s="32"/>
      <c r="AE14" s="38">
        <v>5000.0</v>
      </c>
      <c r="AF14" s="38"/>
      <c r="AG14" s="32"/>
      <c r="AH14" s="32"/>
      <c r="AI14" s="32"/>
    </row>
    <row r="15" ht="16.5" customHeight="1">
      <c r="A15" s="1"/>
      <c r="B15" s="31" t="s">
        <v>1456</v>
      </c>
      <c r="C15" s="32" t="s">
        <v>1413</v>
      </c>
      <c r="D15" s="32" t="s">
        <v>1457</v>
      </c>
      <c r="E15" s="32"/>
      <c r="F15" s="32" t="s">
        <v>129</v>
      </c>
      <c r="G15" s="32" t="s">
        <v>1415</v>
      </c>
      <c r="H15" s="32"/>
      <c r="I15" s="103">
        <v>2.0</v>
      </c>
      <c r="J15" s="103">
        <v>0.0</v>
      </c>
      <c r="K15" s="104">
        <f t="shared" si="4"/>
        <v>2</v>
      </c>
      <c r="L15" s="32"/>
      <c r="M15" s="32"/>
      <c r="N15" s="32"/>
      <c r="O15" s="32"/>
      <c r="P15" s="32"/>
      <c r="Q15" s="32"/>
      <c r="R15" s="32"/>
      <c r="S15" s="32"/>
      <c r="T15" s="24"/>
      <c r="U15" s="32" t="s">
        <v>1422</v>
      </c>
      <c r="V15" s="24"/>
      <c r="W15" s="103"/>
      <c r="X15" s="103"/>
      <c r="Y15" s="104">
        <f t="shared" si="5"/>
        <v>0</v>
      </c>
      <c r="Z15" s="32"/>
      <c r="AA15" s="32"/>
      <c r="AB15" s="32"/>
      <c r="AC15" s="32"/>
      <c r="AD15" s="32"/>
      <c r="AE15" s="38">
        <v>5000.0</v>
      </c>
      <c r="AF15" s="38"/>
      <c r="AG15" s="32"/>
      <c r="AH15" s="32"/>
      <c r="AI15" s="32"/>
    </row>
    <row r="16" ht="16.5" customHeight="1">
      <c r="A16" s="1"/>
      <c r="B16" s="31" t="s">
        <v>1460</v>
      </c>
      <c r="C16" s="32" t="s">
        <v>1413</v>
      </c>
      <c r="D16" s="32" t="s">
        <v>1461</v>
      </c>
      <c r="E16" s="32"/>
      <c r="F16" s="32" t="s">
        <v>129</v>
      </c>
      <c r="G16" s="32" t="s">
        <v>1415</v>
      </c>
      <c r="H16" s="32"/>
      <c r="I16" s="103">
        <v>1.0</v>
      </c>
      <c r="J16" s="103">
        <v>0.0</v>
      </c>
      <c r="K16" s="104">
        <f t="shared" si="4"/>
        <v>1</v>
      </c>
      <c r="L16" s="32"/>
      <c r="M16" s="32"/>
      <c r="N16" s="32"/>
      <c r="O16" s="32"/>
      <c r="P16" s="32"/>
      <c r="Q16" s="32"/>
      <c r="R16" s="32"/>
      <c r="S16" s="32"/>
      <c r="T16" s="24"/>
      <c r="U16" s="32" t="s">
        <v>1422</v>
      </c>
      <c r="V16" s="24"/>
      <c r="W16" s="103"/>
      <c r="X16" s="103"/>
      <c r="Y16" s="104">
        <f t="shared" si="5"/>
        <v>0</v>
      </c>
      <c r="Z16" s="32"/>
      <c r="AA16" s="32"/>
      <c r="AB16" s="32"/>
      <c r="AC16" s="32"/>
      <c r="AD16" s="32"/>
      <c r="AE16" s="38">
        <v>5000.0</v>
      </c>
      <c r="AF16" s="38"/>
      <c r="AG16" s="32"/>
      <c r="AH16" s="32"/>
      <c r="AI16" s="32"/>
    </row>
    <row r="17" ht="16.5" customHeight="1">
      <c r="A17" s="1"/>
      <c r="B17" s="31" t="s">
        <v>1466</v>
      </c>
      <c r="C17" s="32" t="s">
        <v>1413</v>
      </c>
      <c r="D17" s="32" t="s">
        <v>1467</v>
      </c>
      <c r="E17" s="32"/>
      <c r="F17" s="32" t="s">
        <v>129</v>
      </c>
      <c r="G17" s="32" t="s">
        <v>1415</v>
      </c>
      <c r="H17" s="32"/>
      <c r="I17" s="103">
        <v>1.0</v>
      </c>
      <c r="J17" s="103">
        <v>0.0</v>
      </c>
      <c r="K17" s="104">
        <f t="shared" si="4"/>
        <v>1</v>
      </c>
      <c r="L17" s="32"/>
      <c r="M17" s="32"/>
      <c r="N17" s="32"/>
      <c r="O17" s="32"/>
      <c r="P17" s="32"/>
      <c r="Q17" s="32"/>
      <c r="R17" s="32"/>
      <c r="S17" s="32"/>
      <c r="T17" s="24"/>
      <c r="U17" s="32" t="s">
        <v>1422</v>
      </c>
      <c r="V17" s="24"/>
      <c r="W17" s="103"/>
      <c r="X17" s="103"/>
      <c r="Y17" s="104">
        <f t="shared" si="5"/>
        <v>0</v>
      </c>
      <c r="Z17" s="32"/>
      <c r="AA17" s="32"/>
      <c r="AB17" s="32"/>
      <c r="AC17" s="32"/>
      <c r="AD17" s="32"/>
      <c r="AE17" s="38">
        <v>5000.0</v>
      </c>
      <c r="AF17" s="38"/>
      <c r="AG17" s="32"/>
      <c r="AH17" s="32"/>
      <c r="AI17" s="32"/>
    </row>
    <row r="18" ht="16.5" customHeight="1">
      <c r="A18" s="1"/>
      <c r="B18" s="31" t="s">
        <v>1470</v>
      </c>
      <c r="C18" s="32" t="s">
        <v>1413</v>
      </c>
      <c r="D18" s="32" t="s">
        <v>1471</v>
      </c>
      <c r="E18" s="32"/>
      <c r="F18" s="32" t="s">
        <v>129</v>
      </c>
      <c r="G18" s="32" t="s">
        <v>1415</v>
      </c>
      <c r="H18" s="32"/>
      <c r="I18" s="103">
        <v>1.0</v>
      </c>
      <c r="J18" s="103">
        <v>0.0</v>
      </c>
      <c r="K18" s="104">
        <f t="shared" si="4"/>
        <v>1</v>
      </c>
      <c r="L18" s="32"/>
      <c r="M18" s="32"/>
      <c r="N18" s="32"/>
      <c r="O18" s="32"/>
      <c r="P18" s="32"/>
      <c r="Q18" s="32"/>
      <c r="R18" s="32"/>
      <c r="S18" s="32"/>
      <c r="T18" s="24"/>
      <c r="U18" s="32" t="s">
        <v>1422</v>
      </c>
      <c r="V18" s="24"/>
      <c r="W18" s="103"/>
      <c r="X18" s="103"/>
      <c r="Y18" s="104">
        <f t="shared" si="5"/>
        <v>0</v>
      </c>
      <c r="Z18" s="32"/>
      <c r="AA18" s="32"/>
      <c r="AB18" s="32"/>
      <c r="AC18" s="32"/>
      <c r="AD18" s="32"/>
      <c r="AE18" s="38">
        <v>5000.0</v>
      </c>
      <c r="AF18" s="38"/>
      <c r="AG18" s="32"/>
      <c r="AH18" s="32"/>
      <c r="AI18" s="32"/>
    </row>
    <row r="19" ht="16.5" customHeight="1">
      <c r="A19" s="1"/>
      <c r="B19" s="31" t="s">
        <v>1476</v>
      </c>
      <c r="C19" s="32" t="s">
        <v>1413</v>
      </c>
      <c r="D19" s="32" t="s">
        <v>1477</v>
      </c>
      <c r="E19" s="32"/>
      <c r="F19" s="32" t="s">
        <v>129</v>
      </c>
      <c r="G19" s="32" t="s">
        <v>1415</v>
      </c>
      <c r="H19" s="32"/>
      <c r="I19" s="103">
        <v>4.0</v>
      </c>
      <c r="J19" s="103">
        <v>0.0</v>
      </c>
      <c r="K19" s="104">
        <f t="shared" si="4"/>
        <v>4</v>
      </c>
      <c r="L19" s="32"/>
      <c r="M19" s="32"/>
      <c r="N19" s="32"/>
      <c r="O19" s="32"/>
      <c r="P19" s="32"/>
      <c r="Q19" s="32"/>
      <c r="R19" s="32"/>
      <c r="S19" s="32"/>
      <c r="T19" s="24"/>
      <c r="U19" s="32" t="s">
        <v>1422</v>
      </c>
      <c r="V19" s="24"/>
      <c r="W19" s="103"/>
      <c r="X19" s="103"/>
      <c r="Y19" s="104">
        <f t="shared" si="5"/>
        <v>0</v>
      </c>
      <c r="Z19" s="32"/>
      <c r="AA19" s="32"/>
      <c r="AB19" s="32"/>
      <c r="AC19" s="32"/>
      <c r="AD19" s="32"/>
      <c r="AE19" s="38">
        <v>10000.0</v>
      </c>
      <c r="AF19" s="38"/>
      <c r="AG19" s="32"/>
      <c r="AH19" s="32"/>
      <c r="AI19" s="32"/>
    </row>
    <row r="20" ht="16.5" customHeight="1">
      <c r="A20" s="1"/>
      <c r="B20" s="31" t="s">
        <v>1482</v>
      </c>
      <c r="C20" s="32" t="s">
        <v>1413</v>
      </c>
      <c r="D20" s="32" t="s">
        <v>1483</v>
      </c>
      <c r="E20" s="32"/>
      <c r="F20" s="32" t="s">
        <v>129</v>
      </c>
      <c r="G20" s="32" t="s">
        <v>1415</v>
      </c>
      <c r="H20" s="32"/>
      <c r="I20" s="103">
        <v>4.0</v>
      </c>
      <c r="J20" s="103">
        <v>0.0</v>
      </c>
      <c r="K20" s="104">
        <f t="shared" si="4"/>
        <v>4</v>
      </c>
      <c r="L20" s="32"/>
      <c r="M20" s="32"/>
      <c r="N20" s="32"/>
      <c r="O20" s="32"/>
      <c r="P20" s="32"/>
      <c r="Q20" s="32"/>
      <c r="R20" s="32"/>
      <c r="S20" s="32"/>
      <c r="T20" s="24"/>
      <c r="U20" s="32" t="s">
        <v>1422</v>
      </c>
      <c r="V20" s="24"/>
      <c r="W20" s="103"/>
      <c r="X20" s="103"/>
      <c r="Y20" s="104">
        <f t="shared" si="5"/>
        <v>0</v>
      </c>
      <c r="Z20" s="32"/>
      <c r="AA20" s="32"/>
      <c r="AB20" s="32"/>
      <c r="AC20" s="32"/>
      <c r="AD20" s="32"/>
      <c r="AE20" s="38">
        <v>5000.0</v>
      </c>
      <c r="AF20" s="38"/>
      <c r="AG20" s="32"/>
      <c r="AH20" s="32"/>
      <c r="AI20" s="32"/>
    </row>
    <row r="21" ht="16.5" customHeight="1">
      <c r="A21" s="1"/>
      <c r="B21" s="31" t="s">
        <v>1491</v>
      </c>
      <c r="C21" s="32" t="s">
        <v>1413</v>
      </c>
      <c r="D21" s="32" t="s">
        <v>1492</v>
      </c>
      <c r="E21" s="32"/>
      <c r="F21" s="32" t="s">
        <v>129</v>
      </c>
      <c r="G21" s="32" t="s">
        <v>1415</v>
      </c>
      <c r="H21" s="32"/>
      <c r="I21" s="103">
        <v>2.0</v>
      </c>
      <c r="J21" s="103">
        <v>0.0</v>
      </c>
      <c r="K21" s="104">
        <f t="shared" si="4"/>
        <v>2</v>
      </c>
      <c r="L21" s="32"/>
      <c r="M21" s="32"/>
      <c r="N21" s="32"/>
      <c r="O21" s="32"/>
      <c r="P21" s="32"/>
      <c r="Q21" s="32"/>
      <c r="R21" s="32"/>
      <c r="S21" s="32"/>
      <c r="T21" s="24"/>
      <c r="U21" s="32" t="s">
        <v>1422</v>
      </c>
      <c r="V21" s="24"/>
      <c r="W21" s="103"/>
      <c r="X21" s="103"/>
      <c r="Y21" s="104">
        <f t="shared" si="5"/>
        <v>0</v>
      </c>
      <c r="Z21" s="32"/>
      <c r="AA21" s="32"/>
      <c r="AB21" s="32"/>
      <c r="AC21" s="32"/>
      <c r="AD21" s="32"/>
      <c r="AE21" s="38">
        <v>5000.0</v>
      </c>
      <c r="AF21" s="38"/>
      <c r="AG21" s="32"/>
      <c r="AH21" s="32"/>
      <c r="AI21" s="32"/>
    </row>
    <row r="22" ht="16.5" customHeight="1">
      <c r="A22" s="1"/>
      <c r="B22" s="31" t="s">
        <v>1499</v>
      </c>
      <c r="C22" s="32" t="s">
        <v>1413</v>
      </c>
      <c r="D22" s="32" t="s">
        <v>1501</v>
      </c>
      <c r="E22" s="32"/>
      <c r="F22" s="32" t="s">
        <v>129</v>
      </c>
      <c r="G22" s="32" t="s">
        <v>1415</v>
      </c>
      <c r="H22" s="32"/>
      <c r="I22" s="103">
        <v>1.0</v>
      </c>
      <c r="J22" s="103">
        <v>0.0</v>
      </c>
      <c r="K22" s="104">
        <f t="shared" si="4"/>
        <v>1</v>
      </c>
      <c r="L22" s="32"/>
      <c r="M22" s="32"/>
      <c r="N22" s="32"/>
      <c r="O22" s="32"/>
      <c r="P22" s="32"/>
      <c r="Q22" s="32"/>
      <c r="R22" s="32"/>
      <c r="S22" s="32"/>
      <c r="T22" s="24"/>
      <c r="U22" s="32" t="s">
        <v>1422</v>
      </c>
      <c r="V22" s="24"/>
      <c r="W22" s="103"/>
      <c r="X22" s="103"/>
      <c r="Y22" s="104">
        <f t="shared" si="5"/>
        <v>0</v>
      </c>
      <c r="Z22" s="32"/>
      <c r="AA22" s="32"/>
      <c r="AB22" s="32"/>
      <c r="AC22" s="32"/>
      <c r="AD22" s="32"/>
      <c r="AE22" s="38">
        <v>5000.0</v>
      </c>
      <c r="AF22" s="38"/>
      <c r="AG22" s="32"/>
      <c r="AH22" s="32"/>
      <c r="AI22" s="32"/>
    </row>
    <row r="23" ht="16.5" customHeight="1">
      <c r="A23" s="1"/>
      <c r="B23" s="31" t="s">
        <v>1507</v>
      </c>
      <c r="C23" s="32" t="s">
        <v>1413</v>
      </c>
      <c r="D23" s="32" t="s">
        <v>1508</v>
      </c>
      <c r="E23" s="32"/>
      <c r="F23" s="32" t="s">
        <v>129</v>
      </c>
      <c r="G23" s="32" t="s">
        <v>1415</v>
      </c>
      <c r="H23" s="32"/>
      <c r="I23" s="103">
        <v>3.0</v>
      </c>
      <c r="J23" s="103">
        <v>0.0</v>
      </c>
      <c r="K23" s="104">
        <f t="shared" si="4"/>
        <v>3</v>
      </c>
      <c r="L23" s="32"/>
      <c r="M23" s="32"/>
      <c r="N23" s="32"/>
      <c r="O23" s="32"/>
      <c r="P23" s="32"/>
      <c r="Q23" s="32"/>
      <c r="R23" s="32"/>
      <c r="S23" s="32"/>
      <c r="T23" s="24"/>
      <c r="U23" s="32" t="s">
        <v>1422</v>
      </c>
      <c r="V23" s="24"/>
      <c r="W23" s="103"/>
      <c r="X23" s="103"/>
      <c r="Y23" s="104">
        <f t="shared" si="5"/>
        <v>0</v>
      </c>
      <c r="Z23" s="32"/>
      <c r="AA23" s="32"/>
      <c r="AB23" s="32"/>
      <c r="AC23" s="32"/>
      <c r="AD23" s="32"/>
      <c r="AE23" s="38">
        <v>10000.0</v>
      </c>
      <c r="AF23" s="38"/>
      <c r="AG23" s="32"/>
      <c r="AH23" s="32"/>
      <c r="AI23" s="32"/>
    </row>
    <row r="24" ht="16.5" customHeight="1">
      <c r="A24" s="1"/>
      <c r="B24" s="31" t="s">
        <v>1514</v>
      </c>
      <c r="C24" s="32" t="s">
        <v>1413</v>
      </c>
      <c r="D24" s="32" t="s">
        <v>1515</v>
      </c>
      <c r="E24" s="32"/>
      <c r="F24" s="32" t="s">
        <v>129</v>
      </c>
      <c r="G24" s="32" t="s">
        <v>1415</v>
      </c>
      <c r="H24" s="32"/>
      <c r="I24" s="103">
        <v>6.0</v>
      </c>
      <c r="J24" s="103">
        <v>0.0</v>
      </c>
      <c r="K24" s="104">
        <f t="shared" si="4"/>
        <v>6</v>
      </c>
      <c r="L24" s="32"/>
      <c r="M24" s="32"/>
      <c r="N24" s="32"/>
      <c r="O24" s="32"/>
      <c r="P24" s="32"/>
      <c r="Q24" s="32"/>
      <c r="R24" s="32"/>
      <c r="S24" s="32"/>
      <c r="T24" s="24"/>
      <c r="U24" s="32" t="s">
        <v>1422</v>
      </c>
      <c r="V24" s="24"/>
      <c r="W24" s="103"/>
      <c r="X24" s="103"/>
      <c r="Y24" s="104">
        <f t="shared" si="5"/>
        <v>0</v>
      </c>
      <c r="Z24" s="32"/>
      <c r="AA24" s="32"/>
      <c r="AB24" s="32"/>
      <c r="AC24" s="32"/>
      <c r="AD24" s="32"/>
      <c r="AE24" s="38">
        <v>10000.0</v>
      </c>
      <c r="AF24" s="38"/>
      <c r="AG24" s="32"/>
      <c r="AH24" s="32"/>
      <c r="AI24" s="32"/>
    </row>
    <row r="25" ht="16.5" customHeight="1">
      <c r="A25" s="1"/>
      <c r="B25" s="31" t="s">
        <v>1520</v>
      </c>
      <c r="C25" s="32" t="s">
        <v>1413</v>
      </c>
      <c r="D25" s="32" t="s">
        <v>1521</v>
      </c>
      <c r="E25" s="32"/>
      <c r="F25" s="32" t="s">
        <v>129</v>
      </c>
      <c r="G25" s="32" t="s">
        <v>1415</v>
      </c>
      <c r="H25" s="32"/>
      <c r="I25" s="103">
        <v>9.0</v>
      </c>
      <c r="J25" s="103">
        <v>0.0</v>
      </c>
      <c r="K25" s="104">
        <f t="shared" si="4"/>
        <v>9</v>
      </c>
      <c r="L25" s="32"/>
      <c r="M25" s="32"/>
      <c r="N25" s="32"/>
      <c r="O25" s="32"/>
      <c r="P25" s="32"/>
      <c r="Q25" s="32"/>
      <c r="R25" s="32"/>
      <c r="S25" s="32"/>
      <c r="T25" s="24"/>
      <c r="U25" s="32" t="s">
        <v>1422</v>
      </c>
      <c r="V25" s="24"/>
      <c r="W25" s="103"/>
      <c r="X25" s="103"/>
      <c r="Y25" s="104">
        <f t="shared" si="5"/>
        <v>0</v>
      </c>
      <c r="Z25" s="32"/>
      <c r="AA25" s="32"/>
      <c r="AB25" s="32"/>
      <c r="AC25" s="32"/>
      <c r="AD25" s="32"/>
      <c r="AE25" s="38">
        <v>10000.0</v>
      </c>
      <c r="AF25" s="38"/>
      <c r="AG25" s="32"/>
      <c r="AH25" s="32"/>
      <c r="AI25" s="32"/>
    </row>
    <row r="26" ht="16.5" customHeight="1">
      <c r="A26" s="1"/>
      <c r="B26" s="31" t="s">
        <v>1528</v>
      </c>
      <c r="C26" s="32" t="s">
        <v>1413</v>
      </c>
      <c r="D26" s="32" t="s">
        <v>1529</v>
      </c>
      <c r="E26" s="32"/>
      <c r="F26" s="32" t="s">
        <v>129</v>
      </c>
      <c r="G26" s="32" t="s">
        <v>1415</v>
      </c>
      <c r="H26" s="32"/>
      <c r="I26" s="103">
        <v>1.0</v>
      </c>
      <c r="J26" s="103">
        <v>0.0</v>
      </c>
      <c r="K26" s="104">
        <f t="shared" si="4"/>
        <v>1</v>
      </c>
      <c r="L26" s="32"/>
      <c r="M26" s="32"/>
      <c r="N26" s="32"/>
      <c r="O26" s="32"/>
      <c r="P26" s="32"/>
      <c r="Q26" s="32"/>
      <c r="R26" s="32"/>
      <c r="S26" s="32"/>
      <c r="T26" s="24"/>
      <c r="U26" s="32" t="s">
        <v>1422</v>
      </c>
      <c r="V26" s="24"/>
      <c r="W26" s="103"/>
      <c r="X26" s="103"/>
      <c r="Y26" s="104">
        <f t="shared" si="5"/>
        <v>0</v>
      </c>
      <c r="Z26" s="32"/>
      <c r="AA26" s="32"/>
      <c r="AB26" s="32"/>
      <c r="AC26" s="32"/>
      <c r="AD26" s="32"/>
      <c r="AE26" s="38">
        <v>5000.0</v>
      </c>
      <c r="AF26" s="38"/>
      <c r="AG26" s="32"/>
      <c r="AH26" s="32"/>
      <c r="AI26" s="32"/>
    </row>
    <row r="27" ht="16.5" customHeight="1">
      <c r="A27" s="1"/>
      <c r="B27" s="31" t="s">
        <v>1536</v>
      </c>
      <c r="C27" s="32" t="s">
        <v>1413</v>
      </c>
      <c r="D27" s="32" t="s">
        <v>1537</v>
      </c>
      <c r="E27" s="32"/>
      <c r="F27" s="32" t="s">
        <v>129</v>
      </c>
      <c r="G27" s="32" t="s">
        <v>1415</v>
      </c>
      <c r="H27" s="32"/>
      <c r="I27" s="103">
        <v>2.0</v>
      </c>
      <c r="J27" s="103">
        <v>0.0</v>
      </c>
      <c r="K27" s="104">
        <f t="shared" si="4"/>
        <v>2</v>
      </c>
      <c r="L27" s="32"/>
      <c r="M27" s="32"/>
      <c r="N27" s="32"/>
      <c r="O27" s="32"/>
      <c r="P27" s="32"/>
      <c r="Q27" s="32"/>
      <c r="R27" s="32"/>
      <c r="S27" s="32"/>
      <c r="T27" s="24"/>
      <c r="U27" s="32" t="s">
        <v>1422</v>
      </c>
      <c r="V27" s="24"/>
      <c r="W27" s="103"/>
      <c r="X27" s="103"/>
      <c r="Y27" s="104">
        <f t="shared" si="5"/>
        <v>0</v>
      </c>
      <c r="Z27" s="32"/>
      <c r="AA27" s="32"/>
      <c r="AB27" s="32"/>
      <c r="AC27" s="32"/>
      <c r="AD27" s="32"/>
      <c r="AE27" s="38">
        <v>5000.0</v>
      </c>
      <c r="AF27" s="38"/>
      <c r="AG27" s="32"/>
      <c r="AH27" s="32"/>
      <c r="AI27" s="32"/>
    </row>
    <row r="28" ht="16.5" customHeight="1">
      <c r="A28" s="1"/>
      <c r="B28" s="31" t="s">
        <v>1544</v>
      </c>
      <c r="C28" s="32" t="s">
        <v>1413</v>
      </c>
      <c r="D28" s="32" t="s">
        <v>1545</v>
      </c>
      <c r="E28" s="32"/>
      <c r="F28" s="32" t="s">
        <v>129</v>
      </c>
      <c r="G28" s="32" t="s">
        <v>1415</v>
      </c>
      <c r="H28" s="32"/>
      <c r="I28" s="103">
        <v>1.0</v>
      </c>
      <c r="J28" s="103">
        <v>0.0</v>
      </c>
      <c r="K28" s="104">
        <f t="shared" si="4"/>
        <v>1</v>
      </c>
      <c r="L28" s="32"/>
      <c r="M28" s="32"/>
      <c r="N28" s="32"/>
      <c r="O28" s="32"/>
      <c r="P28" s="32"/>
      <c r="Q28" s="32"/>
      <c r="R28" s="32"/>
      <c r="S28" s="32"/>
      <c r="T28" s="24"/>
      <c r="U28" s="32" t="s">
        <v>1422</v>
      </c>
      <c r="V28" s="24"/>
      <c r="W28" s="103"/>
      <c r="X28" s="103"/>
      <c r="Y28" s="104">
        <f t="shared" si="5"/>
        <v>0</v>
      </c>
      <c r="Z28" s="32"/>
      <c r="AA28" s="32"/>
      <c r="AB28" s="32"/>
      <c r="AC28" s="32"/>
      <c r="AD28" s="32"/>
      <c r="AE28" s="38">
        <v>5000.0</v>
      </c>
      <c r="AF28" s="38"/>
      <c r="AG28" s="32"/>
      <c r="AH28" s="32"/>
      <c r="AI28" s="32"/>
    </row>
    <row r="29" ht="16.5" customHeight="1">
      <c r="A29" s="1"/>
      <c r="B29" s="31" t="s">
        <v>1548</v>
      </c>
      <c r="C29" s="32" t="s">
        <v>1413</v>
      </c>
      <c r="D29" s="32" t="s">
        <v>1549</v>
      </c>
      <c r="E29" s="32"/>
      <c r="F29" s="32" t="s">
        <v>129</v>
      </c>
      <c r="G29" s="32" t="s">
        <v>1550</v>
      </c>
      <c r="H29" s="32"/>
      <c r="I29" s="103">
        <v>1.0</v>
      </c>
      <c r="J29" s="103">
        <v>0.0</v>
      </c>
      <c r="K29" s="104">
        <f t="shared" si="4"/>
        <v>1</v>
      </c>
      <c r="L29" s="32"/>
      <c r="M29" s="32"/>
      <c r="N29" s="32"/>
      <c r="O29" s="32"/>
      <c r="P29" s="32"/>
      <c r="Q29" s="32"/>
      <c r="R29" s="32"/>
      <c r="S29" s="32"/>
      <c r="T29" s="24"/>
      <c r="U29" s="32" t="s">
        <v>1422</v>
      </c>
      <c r="V29" s="24"/>
      <c r="W29" s="103"/>
      <c r="X29" s="103"/>
      <c r="Y29" s="104">
        <f t="shared" si="5"/>
        <v>0</v>
      </c>
      <c r="Z29" s="32"/>
      <c r="AA29" s="32"/>
      <c r="AB29" s="32"/>
      <c r="AC29" s="32"/>
      <c r="AD29" s="32"/>
      <c r="AE29" s="38">
        <v>10000.0</v>
      </c>
      <c r="AF29" s="38"/>
      <c r="AG29" s="32"/>
      <c r="AH29" s="32"/>
      <c r="AI29" s="32"/>
    </row>
    <row r="30" ht="16.5" customHeight="1">
      <c r="A30" s="1"/>
      <c r="B30" s="31" t="s">
        <v>1554</v>
      </c>
      <c r="C30" s="32" t="s">
        <v>1413</v>
      </c>
      <c r="D30" s="32" t="s">
        <v>1556</v>
      </c>
      <c r="E30" s="32"/>
      <c r="F30" s="32" t="s">
        <v>129</v>
      </c>
      <c r="G30" s="32" t="s">
        <v>1550</v>
      </c>
      <c r="H30" s="32"/>
      <c r="I30" s="103">
        <v>4.0</v>
      </c>
      <c r="J30" s="103">
        <v>0.0</v>
      </c>
      <c r="K30" s="104">
        <f t="shared" si="4"/>
        <v>4</v>
      </c>
      <c r="L30" s="32"/>
      <c r="M30" s="32"/>
      <c r="N30" s="32"/>
      <c r="O30" s="32"/>
      <c r="P30" s="32"/>
      <c r="Q30" s="32"/>
      <c r="R30" s="32"/>
      <c r="S30" s="32"/>
      <c r="T30" s="24"/>
      <c r="U30" s="32" t="s">
        <v>1422</v>
      </c>
      <c r="V30" s="24"/>
      <c r="W30" s="103"/>
      <c r="X30" s="103"/>
      <c r="Y30" s="104">
        <f t="shared" si="5"/>
        <v>0</v>
      </c>
      <c r="Z30" s="32"/>
      <c r="AA30" s="32"/>
      <c r="AB30" s="32"/>
      <c r="AC30" s="32"/>
      <c r="AD30" s="32"/>
      <c r="AE30" s="38">
        <v>0.0</v>
      </c>
      <c r="AF30" s="38"/>
      <c r="AG30" s="32"/>
      <c r="AH30" s="32"/>
      <c r="AI30" s="32"/>
    </row>
    <row r="31" ht="16.5" customHeight="1">
      <c r="A31" s="1"/>
      <c r="B31" s="31" t="s">
        <v>1568</v>
      </c>
      <c r="C31" s="32" t="s">
        <v>1413</v>
      </c>
      <c r="D31" s="32" t="s">
        <v>1569</v>
      </c>
      <c r="E31" s="32"/>
      <c r="F31" s="32" t="s">
        <v>129</v>
      </c>
      <c r="G31" s="32" t="s">
        <v>1550</v>
      </c>
      <c r="H31" s="32"/>
      <c r="I31" s="103">
        <v>5.0</v>
      </c>
      <c r="J31" s="103">
        <v>0.0</v>
      </c>
      <c r="K31" s="104">
        <f t="shared" si="4"/>
        <v>5</v>
      </c>
      <c r="L31" s="32"/>
      <c r="M31" s="32"/>
      <c r="N31" s="32"/>
      <c r="O31" s="32"/>
      <c r="P31" s="32"/>
      <c r="Q31" s="32"/>
      <c r="R31" s="32"/>
      <c r="S31" s="32"/>
      <c r="T31" s="24"/>
      <c r="U31" s="32" t="s">
        <v>1422</v>
      </c>
      <c r="V31" s="24"/>
      <c r="W31" s="103"/>
      <c r="X31" s="103"/>
      <c r="Y31" s="104">
        <f t="shared" si="5"/>
        <v>0</v>
      </c>
      <c r="Z31" s="32"/>
      <c r="AA31" s="32"/>
      <c r="AB31" s="32"/>
      <c r="AC31" s="32"/>
      <c r="AD31" s="32"/>
      <c r="AE31" s="38">
        <v>0.0</v>
      </c>
      <c r="AF31" s="38"/>
      <c r="AG31" s="32"/>
      <c r="AH31" s="32"/>
      <c r="AI31" s="32"/>
    </row>
    <row r="32" ht="16.5" customHeight="1">
      <c r="A32" s="1"/>
      <c r="B32" s="31" t="s">
        <v>1572</v>
      </c>
      <c r="C32" s="32" t="s">
        <v>1413</v>
      </c>
      <c r="D32" s="32" t="s">
        <v>1574</v>
      </c>
      <c r="E32" s="32"/>
      <c r="F32" s="32" t="s">
        <v>129</v>
      </c>
      <c r="G32" s="32" t="s">
        <v>1415</v>
      </c>
      <c r="H32" s="32"/>
      <c r="I32" s="103">
        <v>16.0</v>
      </c>
      <c r="J32" s="103">
        <v>0.0</v>
      </c>
      <c r="K32" s="104">
        <f t="shared" si="4"/>
        <v>16</v>
      </c>
      <c r="L32" s="32"/>
      <c r="M32" s="32"/>
      <c r="N32" s="32"/>
      <c r="O32" s="32"/>
      <c r="P32" s="32"/>
      <c r="Q32" s="32"/>
      <c r="R32" s="32"/>
      <c r="S32" s="32"/>
      <c r="T32" s="24"/>
      <c r="U32" s="32" t="s">
        <v>1422</v>
      </c>
      <c r="V32" s="24"/>
      <c r="W32" s="103"/>
      <c r="X32" s="103"/>
      <c r="Y32" s="104">
        <f t="shared" si="5"/>
        <v>0</v>
      </c>
      <c r="Z32" s="32"/>
      <c r="AA32" s="32"/>
      <c r="AB32" s="32"/>
      <c r="AC32" s="32"/>
      <c r="AD32" s="32"/>
      <c r="AE32" s="38">
        <v>30000.0</v>
      </c>
      <c r="AF32" s="38"/>
      <c r="AG32" s="32"/>
      <c r="AH32" s="32"/>
      <c r="AI32" s="32"/>
    </row>
    <row r="33" ht="16.5" customHeight="1">
      <c r="A33" s="1"/>
      <c r="B33" s="31" t="s">
        <v>1577</v>
      </c>
      <c r="C33" s="32" t="s">
        <v>1413</v>
      </c>
      <c r="D33" s="32" t="s">
        <v>1579</v>
      </c>
      <c r="E33" s="32"/>
      <c r="F33" s="32" t="s">
        <v>129</v>
      </c>
      <c r="G33" s="32" t="s">
        <v>1415</v>
      </c>
      <c r="H33" s="32"/>
      <c r="I33" s="103">
        <v>3.0</v>
      </c>
      <c r="J33" s="103">
        <v>0.0</v>
      </c>
      <c r="K33" s="104">
        <f t="shared" si="4"/>
        <v>3</v>
      </c>
      <c r="L33" s="32"/>
      <c r="M33" s="32"/>
      <c r="N33" s="32"/>
      <c r="O33" s="32"/>
      <c r="P33" s="32"/>
      <c r="Q33" s="32"/>
      <c r="R33" s="32"/>
      <c r="S33" s="32"/>
      <c r="T33" s="24"/>
      <c r="U33" s="32" t="s">
        <v>1422</v>
      </c>
      <c r="V33" s="24"/>
      <c r="W33" s="103"/>
      <c r="X33" s="103"/>
      <c r="Y33" s="104">
        <f t="shared" si="5"/>
        <v>0</v>
      </c>
      <c r="Z33" s="32"/>
      <c r="AA33" s="32"/>
      <c r="AB33" s="32"/>
      <c r="AC33" s="32"/>
      <c r="AD33" s="32"/>
      <c r="AE33" s="38">
        <v>10000.0</v>
      </c>
      <c r="AF33" s="38"/>
      <c r="AG33" s="32"/>
      <c r="AH33" s="32"/>
      <c r="AI33" s="32"/>
    </row>
    <row r="34" ht="16.5" customHeight="1">
      <c r="A34" s="1"/>
      <c r="B34" s="31" t="s">
        <v>1581</v>
      </c>
      <c r="C34" s="32" t="s">
        <v>1413</v>
      </c>
      <c r="D34" s="32" t="s">
        <v>1582</v>
      </c>
      <c r="E34" s="32"/>
      <c r="F34" s="32" t="s">
        <v>129</v>
      </c>
      <c r="G34" s="32" t="s">
        <v>1415</v>
      </c>
      <c r="H34" s="32"/>
      <c r="I34" s="103">
        <v>0.0</v>
      </c>
      <c r="J34" s="103">
        <v>0.0</v>
      </c>
      <c r="K34" s="104">
        <f t="shared" si="4"/>
        <v>0</v>
      </c>
      <c r="L34" s="32"/>
      <c r="M34" s="32"/>
      <c r="N34" s="32"/>
      <c r="O34" s="32"/>
      <c r="P34" s="32"/>
      <c r="Q34" s="32"/>
      <c r="R34" s="32"/>
      <c r="S34" s="32"/>
      <c r="T34" s="24"/>
      <c r="U34" s="32" t="s">
        <v>1422</v>
      </c>
      <c r="V34" s="24"/>
      <c r="W34" s="103"/>
      <c r="X34" s="103"/>
      <c r="Y34" s="104">
        <f t="shared" si="5"/>
        <v>0</v>
      </c>
      <c r="Z34" s="32"/>
      <c r="AA34" s="32"/>
      <c r="AB34" s="32"/>
      <c r="AC34" s="32"/>
      <c r="AD34" s="32"/>
      <c r="AE34" s="38">
        <v>20000.0</v>
      </c>
      <c r="AF34" s="38"/>
      <c r="AG34" s="32"/>
      <c r="AH34" s="32"/>
      <c r="AI34" s="32"/>
    </row>
    <row r="35" ht="16.5" customHeight="1">
      <c r="A35" s="1"/>
      <c r="B35" s="31" t="s">
        <v>1586</v>
      </c>
      <c r="C35" s="32" t="s">
        <v>1413</v>
      </c>
      <c r="D35" s="32" t="s">
        <v>1587</v>
      </c>
      <c r="E35" s="32"/>
      <c r="F35" s="32" t="s">
        <v>129</v>
      </c>
      <c r="G35" s="32" t="s">
        <v>1415</v>
      </c>
      <c r="H35" s="32"/>
      <c r="I35" s="103">
        <v>0.0</v>
      </c>
      <c r="J35" s="103">
        <v>0.0</v>
      </c>
      <c r="K35" s="104">
        <f t="shared" si="4"/>
        <v>0</v>
      </c>
      <c r="L35" s="32"/>
      <c r="M35" s="32"/>
      <c r="N35" s="32"/>
      <c r="O35" s="32"/>
      <c r="P35" s="32"/>
      <c r="Q35" s="32"/>
      <c r="R35" s="32"/>
      <c r="S35" s="32"/>
      <c r="T35" s="24"/>
      <c r="U35" s="32" t="s">
        <v>1422</v>
      </c>
      <c r="V35" s="24"/>
      <c r="W35" s="103"/>
      <c r="X35" s="103"/>
      <c r="Y35" s="104">
        <f t="shared" si="5"/>
        <v>0</v>
      </c>
      <c r="Z35" s="32"/>
      <c r="AA35" s="32"/>
      <c r="AB35" s="32"/>
      <c r="AC35" s="32"/>
      <c r="AD35" s="32"/>
      <c r="AE35" s="38">
        <v>5000.0</v>
      </c>
      <c r="AF35" s="38"/>
      <c r="AG35" s="32"/>
      <c r="AH35" s="32"/>
      <c r="AI35" s="32"/>
    </row>
    <row r="36" ht="16.5" customHeight="1">
      <c r="A36" s="1"/>
      <c r="B36" s="31" t="s">
        <v>1591</v>
      </c>
      <c r="C36" s="32" t="s">
        <v>1413</v>
      </c>
      <c r="D36" s="32" t="s">
        <v>1592</v>
      </c>
      <c r="E36" s="32"/>
      <c r="F36" s="32" t="s">
        <v>129</v>
      </c>
      <c r="G36" s="32" t="s">
        <v>1415</v>
      </c>
      <c r="H36" s="32"/>
      <c r="I36" s="103">
        <v>0.0</v>
      </c>
      <c r="J36" s="103">
        <v>0.0</v>
      </c>
      <c r="K36" s="104">
        <f t="shared" si="4"/>
        <v>0</v>
      </c>
      <c r="L36" s="32"/>
      <c r="M36" s="32"/>
      <c r="N36" s="32"/>
      <c r="O36" s="32"/>
      <c r="P36" s="32"/>
      <c r="Q36" s="32"/>
      <c r="R36" s="32"/>
      <c r="S36" s="32"/>
      <c r="T36" s="24"/>
      <c r="U36" s="32" t="s">
        <v>1422</v>
      </c>
      <c r="V36" s="24"/>
      <c r="W36" s="103"/>
      <c r="X36" s="103"/>
      <c r="Y36" s="104">
        <f t="shared" si="5"/>
        <v>0</v>
      </c>
      <c r="Z36" s="32"/>
      <c r="AA36" s="32"/>
      <c r="AB36" s="32"/>
      <c r="AC36" s="32"/>
      <c r="AD36" s="32"/>
      <c r="AE36" s="38">
        <v>5000.0</v>
      </c>
      <c r="AF36" s="38"/>
      <c r="AG36" s="32"/>
      <c r="AH36" s="32"/>
      <c r="AI36" s="32"/>
    </row>
    <row r="37" ht="16.5" customHeight="1">
      <c r="A37" s="1"/>
      <c r="B37" s="31" t="s">
        <v>1597</v>
      </c>
      <c r="C37" s="32" t="s">
        <v>1413</v>
      </c>
      <c r="D37" s="32" t="s">
        <v>1598</v>
      </c>
      <c r="E37" s="32"/>
      <c r="F37" s="32" t="s">
        <v>129</v>
      </c>
      <c r="G37" s="32" t="s">
        <v>1415</v>
      </c>
      <c r="H37" s="32"/>
      <c r="I37" s="103">
        <v>5.0</v>
      </c>
      <c r="J37" s="103">
        <v>0.0</v>
      </c>
      <c r="K37" s="104">
        <f t="shared" si="4"/>
        <v>5</v>
      </c>
      <c r="L37" s="32"/>
      <c r="M37" s="32"/>
      <c r="N37" s="32"/>
      <c r="O37" s="32"/>
      <c r="P37" s="32"/>
      <c r="Q37" s="32"/>
      <c r="R37" s="32"/>
      <c r="S37" s="32"/>
      <c r="T37" s="24"/>
      <c r="U37" s="32" t="s">
        <v>1422</v>
      </c>
      <c r="V37" s="24"/>
      <c r="W37" s="103"/>
      <c r="X37" s="103"/>
      <c r="Y37" s="104">
        <f t="shared" si="5"/>
        <v>0</v>
      </c>
      <c r="Z37" s="32"/>
      <c r="AA37" s="32"/>
      <c r="AB37" s="32"/>
      <c r="AC37" s="32"/>
      <c r="AD37" s="32"/>
      <c r="AE37" s="38">
        <v>10000.0</v>
      </c>
      <c r="AF37" s="38"/>
      <c r="AG37" s="32"/>
      <c r="AH37" s="32"/>
      <c r="AI37" s="32"/>
    </row>
    <row r="38" ht="16.5" customHeight="1">
      <c r="A38" s="1"/>
      <c r="B38" s="31" t="s">
        <v>1603</v>
      </c>
      <c r="C38" s="32" t="s">
        <v>1413</v>
      </c>
      <c r="D38" s="32" t="s">
        <v>1604</v>
      </c>
      <c r="E38" s="32"/>
      <c r="F38" s="32" t="s">
        <v>129</v>
      </c>
      <c r="G38" s="32" t="s">
        <v>1415</v>
      </c>
      <c r="H38" s="32"/>
      <c r="I38" s="103">
        <v>1.0</v>
      </c>
      <c r="J38" s="103">
        <v>0.0</v>
      </c>
      <c r="K38" s="104">
        <f t="shared" si="4"/>
        <v>1</v>
      </c>
      <c r="L38" s="32"/>
      <c r="M38" s="32"/>
      <c r="N38" s="32"/>
      <c r="O38" s="32"/>
      <c r="P38" s="32"/>
      <c r="Q38" s="32"/>
      <c r="R38" s="32"/>
      <c r="S38" s="32"/>
      <c r="T38" s="24"/>
      <c r="U38" s="32" t="s">
        <v>1422</v>
      </c>
      <c r="V38" s="24"/>
      <c r="W38" s="103"/>
      <c r="X38" s="103"/>
      <c r="Y38" s="104">
        <f t="shared" si="5"/>
        <v>0</v>
      </c>
      <c r="Z38" s="32"/>
      <c r="AA38" s="32"/>
      <c r="AB38" s="32"/>
      <c r="AC38" s="32"/>
      <c r="AD38" s="32"/>
      <c r="AE38" s="38">
        <v>10000.0</v>
      </c>
      <c r="AF38" s="38"/>
      <c r="AG38" s="32"/>
      <c r="AH38" s="32"/>
      <c r="AI38" s="32"/>
    </row>
    <row r="39" ht="16.5" customHeight="1">
      <c r="A39" s="1"/>
      <c r="B39" s="31" t="s">
        <v>1606</v>
      </c>
      <c r="C39" s="32" t="s">
        <v>1413</v>
      </c>
      <c r="D39" s="32" t="s">
        <v>1607</v>
      </c>
      <c r="E39" s="32"/>
      <c r="F39" s="32" t="s">
        <v>129</v>
      </c>
      <c r="G39" s="32" t="s">
        <v>1415</v>
      </c>
      <c r="H39" s="32"/>
      <c r="I39" s="103">
        <v>5.0</v>
      </c>
      <c r="J39" s="103">
        <v>0.0</v>
      </c>
      <c r="K39" s="104">
        <f t="shared" si="4"/>
        <v>5</v>
      </c>
      <c r="L39" s="32"/>
      <c r="M39" s="32"/>
      <c r="N39" s="32"/>
      <c r="O39" s="32"/>
      <c r="P39" s="32"/>
      <c r="Q39" s="32"/>
      <c r="R39" s="32"/>
      <c r="S39" s="32"/>
      <c r="T39" s="24"/>
      <c r="U39" s="32" t="s">
        <v>1422</v>
      </c>
      <c r="V39" s="24"/>
      <c r="W39" s="103"/>
      <c r="X39" s="103"/>
      <c r="Y39" s="104">
        <f t="shared" si="5"/>
        <v>0</v>
      </c>
      <c r="Z39" s="32"/>
      <c r="AA39" s="32"/>
      <c r="AB39" s="32"/>
      <c r="AC39" s="32"/>
      <c r="AD39" s="32"/>
      <c r="AE39" s="38">
        <v>25000.0</v>
      </c>
      <c r="AF39" s="38"/>
      <c r="AG39" s="32"/>
      <c r="AH39" s="32"/>
      <c r="AI39" s="32"/>
    </row>
    <row r="40" ht="16.5" customHeight="1">
      <c r="A40" s="1"/>
      <c r="B40" s="31" t="s">
        <v>1610</v>
      </c>
      <c r="C40" s="32" t="s">
        <v>1413</v>
      </c>
      <c r="D40" s="32" t="s">
        <v>1611</v>
      </c>
      <c r="E40" s="32"/>
      <c r="F40" s="32" t="s">
        <v>129</v>
      </c>
      <c r="G40" s="32" t="s">
        <v>1415</v>
      </c>
      <c r="H40" s="32"/>
      <c r="I40" s="103">
        <v>10.0</v>
      </c>
      <c r="J40" s="103">
        <v>0.0</v>
      </c>
      <c r="K40" s="104">
        <f t="shared" si="4"/>
        <v>10</v>
      </c>
      <c r="L40" s="32"/>
      <c r="M40" s="32"/>
      <c r="N40" s="32"/>
      <c r="O40" s="32"/>
      <c r="P40" s="32"/>
      <c r="Q40" s="32"/>
      <c r="R40" s="32"/>
      <c r="S40" s="32"/>
      <c r="T40" s="24"/>
      <c r="U40" s="32" t="s">
        <v>1422</v>
      </c>
      <c r="V40" s="24"/>
      <c r="W40" s="103"/>
      <c r="X40" s="103"/>
      <c r="Y40" s="104">
        <f t="shared" si="5"/>
        <v>0</v>
      </c>
      <c r="Z40" s="32"/>
      <c r="AA40" s="32"/>
      <c r="AB40" s="32"/>
      <c r="AC40" s="32"/>
      <c r="AD40" s="32"/>
      <c r="AE40" s="38">
        <v>50000.0</v>
      </c>
      <c r="AF40" s="38"/>
      <c r="AG40" s="32"/>
      <c r="AH40" s="32"/>
      <c r="AI40" s="32"/>
    </row>
    <row r="41" ht="16.5" customHeight="1">
      <c r="A41" s="1"/>
      <c r="B41" s="31" t="s">
        <v>1615</v>
      </c>
      <c r="C41" s="32" t="s">
        <v>1413</v>
      </c>
      <c r="D41" s="32" t="s">
        <v>1617</v>
      </c>
      <c r="E41" s="32"/>
      <c r="F41" s="32" t="s">
        <v>129</v>
      </c>
      <c r="G41" s="32" t="s">
        <v>1415</v>
      </c>
      <c r="H41" s="32"/>
      <c r="I41" s="103">
        <v>0.0</v>
      </c>
      <c r="J41" s="103">
        <v>0.0</v>
      </c>
      <c r="K41" s="104">
        <f t="shared" si="4"/>
        <v>0</v>
      </c>
      <c r="L41" s="32"/>
      <c r="M41" s="32"/>
      <c r="N41" s="32"/>
      <c r="O41" s="32"/>
      <c r="P41" s="32"/>
      <c r="Q41" s="32"/>
      <c r="R41" s="32"/>
      <c r="S41" s="32"/>
      <c r="T41" s="24"/>
      <c r="U41" s="32" t="s">
        <v>1422</v>
      </c>
      <c r="V41" s="24"/>
      <c r="W41" s="103"/>
      <c r="X41" s="103"/>
      <c r="Y41" s="104">
        <f t="shared" si="5"/>
        <v>0</v>
      </c>
      <c r="Z41" s="32"/>
      <c r="AA41" s="32"/>
      <c r="AB41" s="32"/>
      <c r="AC41" s="32"/>
      <c r="AD41" s="32"/>
      <c r="AE41" s="38">
        <v>15000.0</v>
      </c>
      <c r="AF41" s="38"/>
      <c r="AG41" s="32"/>
      <c r="AH41" s="32"/>
      <c r="AI41" s="32"/>
    </row>
    <row r="42" ht="16.5" customHeight="1">
      <c r="A42" s="1"/>
      <c r="B42" s="31" t="s">
        <v>1621</v>
      </c>
      <c r="C42" s="32" t="s">
        <v>1413</v>
      </c>
      <c r="D42" s="32" t="s">
        <v>1622</v>
      </c>
      <c r="E42" s="32"/>
      <c r="F42" s="32" t="s">
        <v>129</v>
      </c>
      <c r="G42" s="32" t="s">
        <v>1415</v>
      </c>
      <c r="H42" s="32"/>
      <c r="I42" s="103">
        <v>0.0</v>
      </c>
      <c r="J42" s="103">
        <v>0.0</v>
      </c>
      <c r="K42" s="104">
        <f t="shared" si="4"/>
        <v>0</v>
      </c>
      <c r="L42" s="32"/>
      <c r="M42" s="32"/>
      <c r="N42" s="32"/>
      <c r="O42" s="32"/>
      <c r="P42" s="32"/>
      <c r="Q42" s="32"/>
      <c r="R42" s="32"/>
      <c r="S42" s="32"/>
      <c r="T42" s="24"/>
      <c r="U42" s="32" t="s">
        <v>1422</v>
      </c>
      <c r="V42" s="24"/>
      <c r="W42" s="103"/>
      <c r="X42" s="103"/>
      <c r="Y42" s="104">
        <f t="shared" si="5"/>
        <v>0</v>
      </c>
      <c r="Z42" s="32"/>
      <c r="AA42" s="32"/>
      <c r="AB42" s="32"/>
      <c r="AC42" s="32"/>
      <c r="AD42" s="32"/>
      <c r="AE42" s="38">
        <v>5000.0</v>
      </c>
      <c r="AF42" s="38"/>
      <c r="AG42" s="32"/>
      <c r="AH42" s="32"/>
      <c r="AI42" s="32"/>
    </row>
    <row r="43" ht="16.5" customHeight="1">
      <c r="A43" s="1"/>
      <c r="B43" s="31" t="s">
        <v>1625</v>
      </c>
      <c r="C43" s="32" t="s">
        <v>1413</v>
      </c>
      <c r="D43" s="32" t="s">
        <v>1626</v>
      </c>
      <c r="E43" s="32"/>
      <c r="F43" s="32" t="s">
        <v>129</v>
      </c>
      <c r="G43" s="32" t="s">
        <v>1415</v>
      </c>
      <c r="H43" s="32"/>
      <c r="I43" s="103">
        <v>5.0</v>
      </c>
      <c r="J43" s="103">
        <v>0.0</v>
      </c>
      <c r="K43" s="104">
        <f t="shared" si="4"/>
        <v>5</v>
      </c>
      <c r="L43" s="32"/>
      <c r="M43" s="32"/>
      <c r="N43" s="32"/>
      <c r="O43" s="32"/>
      <c r="P43" s="32"/>
      <c r="Q43" s="32"/>
      <c r="R43" s="32"/>
      <c r="S43" s="32"/>
      <c r="T43" s="24"/>
      <c r="U43" s="32" t="s">
        <v>1422</v>
      </c>
      <c r="V43" s="24"/>
      <c r="W43" s="103"/>
      <c r="X43" s="103"/>
      <c r="Y43" s="104">
        <f t="shared" si="5"/>
        <v>0</v>
      </c>
      <c r="Z43" s="32"/>
      <c r="AA43" s="32"/>
      <c r="AB43" s="32"/>
      <c r="AC43" s="32"/>
      <c r="AD43" s="32"/>
      <c r="AE43" s="38">
        <v>10000.0</v>
      </c>
      <c r="AF43" s="38"/>
      <c r="AG43" s="32"/>
      <c r="AH43" s="32"/>
      <c r="AI43" s="32"/>
    </row>
    <row r="44" ht="16.5" customHeight="1">
      <c r="A44" s="1"/>
      <c r="B44" s="31" t="s">
        <v>1630</v>
      </c>
      <c r="C44" s="32" t="s">
        <v>1413</v>
      </c>
      <c r="D44" s="32" t="s">
        <v>1631</v>
      </c>
      <c r="E44" s="32"/>
      <c r="F44" s="32" t="s">
        <v>129</v>
      </c>
      <c r="G44" s="32" t="s">
        <v>1415</v>
      </c>
      <c r="H44" s="32"/>
      <c r="I44" s="103">
        <v>1.0</v>
      </c>
      <c r="J44" s="103">
        <v>0.0</v>
      </c>
      <c r="K44" s="104">
        <f t="shared" si="4"/>
        <v>1</v>
      </c>
      <c r="L44" s="32"/>
      <c r="M44" s="32"/>
      <c r="N44" s="32"/>
      <c r="O44" s="32"/>
      <c r="P44" s="32"/>
      <c r="Q44" s="32"/>
      <c r="R44" s="32"/>
      <c r="S44" s="32"/>
      <c r="T44" s="24"/>
      <c r="U44" s="32" t="s">
        <v>1422</v>
      </c>
      <c r="V44" s="24"/>
      <c r="W44" s="103"/>
      <c r="X44" s="103"/>
      <c r="Y44" s="104">
        <f t="shared" si="5"/>
        <v>0</v>
      </c>
      <c r="Z44" s="32"/>
      <c r="AA44" s="32"/>
      <c r="AB44" s="32"/>
      <c r="AC44" s="32"/>
      <c r="AD44" s="32"/>
      <c r="AE44" s="38">
        <v>5000.0</v>
      </c>
      <c r="AF44" s="38"/>
      <c r="AG44" s="32"/>
      <c r="AH44" s="32"/>
      <c r="AI44" s="32"/>
    </row>
    <row r="45" ht="16.5" customHeight="1">
      <c r="A45" s="1"/>
      <c r="B45" s="31" t="s">
        <v>1632</v>
      </c>
      <c r="C45" s="32" t="s">
        <v>1413</v>
      </c>
      <c r="D45" s="32" t="s">
        <v>1633</v>
      </c>
      <c r="E45" s="32"/>
      <c r="F45" s="32" t="s">
        <v>129</v>
      </c>
      <c r="G45" s="32" t="s">
        <v>1415</v>
      </c>
      <c r="H45" s="32"/>
      <c r="I45" s="103">
        <v>2.0</v>
      </c>
      <c r="J45" s="103">
        <v>0.0</v>
      </c>
      <c r="K45" s="104">
        <f t="shared" si="4"/>
        <v>2</v>
      </c>
      <c r="L45" s="32"/>
      <c r="M45" s="32"/>
      <c r="N45" s="32"/>
      <c r="O45" s="32"/>
      <c r="P45" s="32"/>
      <c r="Q45" s="32"/>
      <c r="R45" s="32"/>
      <c r="S45" s="32"/>
      <c r="T45" s="24"/>
      <c r="U45" s="32" t="s">
        <v>1422</v>
      </c>
      <c r="V45" s="24"/>
      <c r="W45" s="103"/>
      <c r="X45" s="103"/>
      <c r="Y45" s="104">
        <f t="shared" si="5"/>
        <v>0</v>
      </c>
      <c r="Z45" s="32"/>
      <c r="AA45" s="32"/>
      <c r="AB45" s="32"/>
      <c r="AC45" s="32"/>
      <c r="AD45" s="32"/>
      <c r="AE45" s="38">
        <v>5000.0</v>
      </c>
      <c r="AF45" s="38"/>
      <c r="AG45" s="32"/>
      <c r="AH45" s="32"/>
      <c r="AI45" s="32"/>
    </row>
    <row r="46" ht="16.5" customHeight="1">
      <c r="A46" s="1"/>
      <c r="B46" s="31" t="s">
        <v>1635</v>
      </c>
      <c r="C46" s="32" t="s">
        <v>1413</v>
      </c>
      <c r="D46" s="32" t="s">
        <v>1636</v>
      </c>
      <c r="E46" s="32"/>
      <c r="F46" s="32" t="s">
        <v>129</v>
      </c>
      <c r="G46" s="32" t="s">
        <v>1415</v>
      </c>
      <c r="H46" s="32"/>
      <c r="I46" s="103">
        <v>0.0</v>
      </c>
      <c r="J46" s="103">
        <v>0.0</v>
      </c>
      <c r="K46" s="104">
        <f t="shared" si="4"/>
        <v>0</v>
      </c>
      <c r="L46" s="32"/>
      <c r="M46" s="32"/>
      <c r="N46" s="32"/>
      <c r="O46" s="32"/>
      <c r="P46" s="32"/>
      <c r="Q46" s="32"/>
      <c r="R46" s="32"/>
      <c r="S46" s="32"/>
      <c r="T46" s="24"/>
      <c r="U46" s="32" t="s">
        <v>1422</v>
      </c>
      <c r="V46" s="24"/>
      <c r="W46" s="103"/>
      <c r="X46" s="103"/>
      <c r="Y46" s="104">
        <f t="shared" si="5"/>
        <v>0</v>
      </c>
      <c r="Z46" s="32"/>
      <c r="AA46" s="32"/>
      <c r="AB46" s="32"/>
      <c r="AC46" s="32"/>
      <c r="AD46" s="32"/>
      <c r="AE46" s="38">
        <v>15000.0</v>
      </c>
      <c r="AF46" s="38"/>
      <c r="AG46" s="32"/>
      <c r="AH46" s="32"/>
      <c r="AI46" s="32"/>
    </row>
    <row r="47" ht="16.5" customHeight="1">
      <c r="A47" s="1"/>
      <c r="B47" s="31" t="s">
        <v>1638</v>
      </c>
      <c r="C47" s="32" t="s">
        <v>1639</v>
      </c>
      <c r="D47" s="32" t="s">
        <v>1640</v>
      </c>
      <c r="E47" s="32"/>
      <c r="F47" s="32" t="s">
        <v>129</v>
      </c>
      <c r="G47" s="32" t="s">
        <v>1641</v>
      </c>
      <c r="H47" s="32"/>
      <c r="I47" s="103">
        <v>2.0</v>
      </c>
      <c r="J47" s="103">
        <v>0.0</v>
      </c>
      <c r="K47" s="104">
        <f t="shared" si="4"/>
        <v>2</v>
      </c>
      <c r="L47" s="32"/>
      <c r="M47" s="32"/>
      <c r="N47" s="32"/>
      <c r="O47" s="32"/>
      <c r="P47" s="32"/>
      <c r="Q47" s="32"/>
      <c r="R47" s="32"/>
      <c r="S47" s="32"/>
      <c r="T47" s="24"/>
      <c r="U47" s="32" t="s">
        <v>1422</v>
      </c>
      <c r="V47" s="24"/>
      <c r="W47" s="103"/>
      <c r="X47" s="103"/>
      <c r="Y47" s="104">
        <f t="shared" si="5"/>
        <v>0</v>
      </c>
      <c r="Z47" s="32"/>
      <c r="AA47" s="32"/>
      <c r="AB47" s="32"/>
      <c r="AC47" s="32"/>
      <c r="AD47" s="32"/>
      <c r="AE47" s="38">
        <v>10000.0</v>
      </c>
      <c r="AF47" s="38"/>
      <c r="AG47" s="32"/>
      <c r="AH47" s="32"/>
      <c r="AI47" s="32"/>
    </row>
    <row r="48" ht="16.5" customHeight="1">
      <c r="A48" s="1"/>
      <c r="B48" s="31" t="s">
        <v>1642</v>
      </c>
      <c r="C48" s="32" t="s">
        <v>1639</v>
      </c>
      <c r="D48" s="32" t="s">
        <v>1643</v>
      </c>
      <c r="E48" s="32"/>
      <c r="F48" s="32" t="s">
        <v>129</v>
      </c>
      <c r="G48" s="32" t="s">
        <v>1641</v>
      </c>
      <c r="H48" s="32"/>
      <c r="I48" s="103">
        <v>1.0</v>
      </c>
      <c r="J48" s="103">
        <v>0.0</v>
      </c>
      <c r="K48" s="104">
        <f t="shared" si="4"/>
        <v>1</v>
      </c>
      <c r="L48" s="32"/>
      <c r="M48" s="32"/>
      <c r="N48" s="32"/>
      <c r="O48" s="32"/>
      <c r="P48" s="32"/>
      <c r="Q48" s="32"/>
      <c r="R48" s="32"/>
      <c r="S48" s="32"/>
      <c r="T48" s="24"/>
      <c r="U48" s="32" t="s">
        <v>1422</v>
      </c>
      <c r="V48" s="24"/>
      <c r="W48" s="103"/>
      <c r="X48" s="103"/>
      <c r="Y48" s="104">
        <f t="shared" si="5"/>
        <v>0</v>
      </c>
      <c r="Z48" s="32"/>
      <c r="AA48" s="32"/>
      <c r="AB48" s="32"/>
      <c r="AC48" s="32"/>
      <c r="AD48" s="32"/>
      <c r="AE48" s="38">
        <v>10000.0</v>
      </c>
      <c r="AF48" s="38"/>
      <c r="AG48" s="32"/>
      <c r="AH48" s="32"/>
      <c r="AI48" s="32"/>
    </row>
    <row r="49" ht="16.5" customHeight="1">
      <c r="A49" s="1"/>
      <c r="B49" s="31" t="s">
        <v>1645</v>
      </c>
      <c r="C49" s="32" t="s">
        <v>1639</v>
      </c>
      <c r="D49" s="32" t="s">
        <v>1646</v>
      </c>
      <c r="E49" s="32"/>
      <c r="F49" s="32" t="s">
        <v>129</v>
      </c>
      <c r="G49" s="32" t="s">
        <v>1641</v>
      </c>
      <c r="H49" s="32"/>
      <c r="I49" s="103">
        <v>2.0</v>
      </c>
      <c r="J49" s="103">
        <v>0.0</v>
      </c>
      <c r="K49" s="104">
        <f t="shared" si="4"/>
        <v>2</v>
      </c>
      <c r="L49" s="32"/>
      <c r="M49" s="32"/>
      <c r="N49" s="32"/>
      <c r="O49" s="32"/>
      <c r="P49" s="32"/>
      <c r="Q49" s="32"/>
      <c r="R49" s="32"/>
      <c r="S49" s="32"/>
      <c r="T49" s="24"/>
      <c r="U49" s="32" t="s">
        <v>1422</v>
      </c>
      <c r="V49" s="24"/>
      <c r="W49" s="103"/>
      <c r="X49" s="103"/>
      <c r="Y49" s="104">
        <f t="shared" si="5"/>
        <v>0</v>
      </c>
      <c r="Z49" s="32"/>
      <c r="AA49" s="32"/>
      <c r="AB49" s="32"/>
      <c r="AC49" s="32"/>
      <c r="AD49" s="32"/>
      <c r="AE49" s="38">
        <v>10000.0</v>
      </c>
      <c r="AF49" s="38"/>
      <c r="AG49" s="32"/>
      <c r="AH49" s="32"/>
      <c r="AI49" s="32"/>
    </row>
    <row r="50" ht="16.5" customHeight="1">
      <c r="A50" s="1"/>
      <c r="B50" s="31" t="s">
        <v>1647</v>
      </c>
      <c r="C50" s="32" t="s">
        <v>1639</v>
      </c>
      <c r="D50" s="32" t="s">
        <v>1648</v>
      </c>
      <c r="E50" s="32"/>
      <c r="F50" s="32" t="s">
        <v>129</v>
      </c>
      <c r="G50" s="32" t="s">
        <v>1641</v>
      </c>
      <c r="H50" s="32"/>
      <c r="I50" s="103">
        <v>1.0</v>
      </c>
      <c r="J50" s="103">
        <v>0.0</v>
      </c>
      <c r="K50" s="104">
        <f t="shared" si="4"/>
        <v>1</v>
      </c>
      <c r="L50" s="32"/>
      <c r="M50" s="32"/>
      <c r="N50" s="32"/>
      <c r="O50" s="32"/>
      <c r="P50" s="32"/>
      <c r="Q50" s="32"/>
      <c r="R50" s="32"/>
      <c r="S50" s="32"/>
      <c r="T50" s="24"/>
      <c r="U50" s="32" t="s">
        <v>1422</v>
      </c>
      <c r="V50" s="24"/>
      <c r="W50" s="103"/>
      <c r="X50" s="103"/>
      <c r="Y50" s="104">
        <f t="shared" si="5"/>
        <v>0</v>
      </c>
      <c r="Z50" s="32"/>
      <c r="AA50" s="32"/>
      <c r="AB50" s="32"/>
      <c r="AC50" s="32"/>
      <c r="AD50" s="32"/>
      <c r="AE50" s="38">
        <v>5000.0</v>
      </c>
      <c r="AF50" s="38"/>
      <c r="AG50" s="32"/>
      <c r="AH50" s="32"/>
      <c r="AI50" s="32"/>
    </row>
    <row r="51" ht="16.5" customHeight="1">
      <c r="A51" s="1"/>
      <c r="B51" s="31" t="s">
        <v>1650</v>
      </c>
      <c r="C51" s="32" t="s">
        <v>1639</v>
      </c>
      <c r="D51" s="32" t="s">
        <v>1651</v>
      </c>
      <c r="E51" s="32"/>
      <c r="F51" s="32" t="s">
        <v>129</v>
      </c>
      <c r="G51" s="32" t="s">
        <v>1641</v>
      </c>
      <c r="H51" s="32"/>
      <c r="I51" s="103">
        <v>1.0</v>
      </c>
      <c r="J51" s="103">
        <v>0.0</v>
      </c>
      <c r="K51" s="104">
        <f t="shared" si="4"/>
        <v>1</v>
      </c>
      <c r="L51" s="32"/>
      <c r="M51" s="32"/>
      <c r="N51" s="32"/>
      <c r="O51" s="32"/>
      <c r="P51" s="32"/>
      <c r="Q51" s="32"/>
      <c r="R51" s="32"/>
      <c r="S51" s="32"/>
      <c r="T51" s="24"/>
      <c r="U51" s="32" t="s">
        <v>1422</v>
      </c>
      <c r="V51" s="24"/>
      <c r="W51" s="103"/>
      <c r="X51" s="103"/>
      <c r="Y51" s="104">
        <f t="shared" si="5"/>
        <v>0</v>
      </c>
      <c r="Z51" s="32"/>
      <c r="AA51" s="32"/>
      <c r="AB51" s="32"/>
      <c r="AC51" s="32"/>
      <c r="AD51" s="32"/>
      <c r="AE51" s="38">
        <v>10000.0</v>
      </c>
      <c r="AF51" s="38"/>
      <c r="AG51" s="32"/>
      <c r="AH51" s="32"/>
      <c r="AI51" s="32"/>
    </row>
    <row r="52" ht="16.5" customHeight="1">
      <c r="A52" s="1"/>
      <c r="B52" s="31" t="s">
        <v>1653</v>
      </c>
      <c r="C52" s="32" t="s">
        <v>1639</v>
      </c>
      <c r="D52" s="32" t="s">
        <v>1654</v>
      </c>
      <c r="E52" s="32"/>
      <c r="F52" s="32" t="s">
        <v>129</v>
      </c>
      <c r="G52" s="32" t="s">
        <v>1641</v>
      </c>
      <c r="H52" s="32"/>
      <c r="I52" s="103">
        <v>1.0</v>
      </c>
      <c r="J52" s="103">
        <v>0.0</v>
      </c>
      <c r="K52" s="104">
        <f t="shared" si="4"/>
        <v>1</v>
      </c>
      <c r="L52" s="32"/>
      <c r="M52" s="32"/>
      <c r="N52" s="32"/>
      <c r="O52" s="32"/>
      <c r="P52" s="32"/>
      <c r="Q52" s="32"/>
      <c r="R52" s="32"/>
      <c r="S52" s="32"/>
      <c r="T52" s="24"/>
      <c r="U52" s="32" t="s">
        <v>1422</v>
      </c>
      <c r="V52" s="24"/>
      <c r="W52" s="103"/>
      <c r="X52" s="103"/>
      <c r="Y52" s="104">
        <f t="shared" si="5"/>
        <v>0</v>
      </c>
      <c r="Z52" s="32"/>
      <c r="AA52" s="32"/>
      <c r="AB52" s="32"/>
      <c r="AC52" s="32"/>
      <c r="AD52" s="32"/>
      <c r="AE52" s="38">
        <v>10000.0</v>
      </c>
      <c r="AF52" s="38"/>
      <c r="AG52" s="32"/>
      <c r="AH52" s="32"/>
      <c r="AI52" s="32"/>
    </row>
    <row r="53" ht="16.5" customHeight="1">
      <c r="A53" s="1"/>
      <c r="B53" s="31" t="s">
        <v>1655</v>
      </c>
      <c r="C53" s="32" t="s">
        <v>1639</v>
      </c>
      <c r="D53" s="32" t="s">
        <v>1656</v>
      </c>
      <c r="E53" s="32"/>
      <c r="F53" s="32" t="s">
        <v>129</v>
      </c>
      <c r="G53" s="32" t="s">
        <v>1641</v>
      </c>
      <c r="H53" s="32"/>
      <c r="I53" s="103">
        <v>1.0</v>
      </c>
      <c r="J53" s="103">
        <v>0.0</v>
      </c>
      <c r="K53" s="104">
        <f t="shared" si="4"/>
        <v>1</v>
      </c>
      <c r="L53" s="32"/>
      <c r="M53" s="32"/>
      <c r="N53" s="32"/>
      <c r="O53" s="32"/>
      <c r="P53" s="32"/>
      <c r="Q53" s="32"/>
      <c r="R53" s="32"/>
      <c r="S53" s="32"/>
      <c r="T53" s="24"/>
      <c r="U53" s="32" t="s">
        <v>1422</v>
      </c>
      <c r="V53" s="24"/>
      <c r="W53" s="103"/>
      <c r="X53" s="103"/>
      <c r="Y53" s="104">
        <f t="shared" si="5"/>
        <v>0</v>
      </c>
      <c r="Z53" s="32"/>
      <c r="AA53" s="32"/>
      <c r="AB53" s="32"/>
      <c r="AC53" s="32"/>
      <c r="AD53" s="32"/>
      <c r="AE53" s="38">
        <v>10000.0</v>
      </c>
      <c r="AF53" s="38"/>
      <c r="AG53" s="32"/>
      <c r="AH53" s="32"/>
      <c r="AI53" s="32"/>
    </row>
    <row r="54" ht="16.5" customHeight="1">
      <c r="A54" s="1"/>
      <c r="B54" s="31" t="s">
        <v>1658</v>
      </c>
      <c r="C54" s="32" t="s">
        <v>1639</v>
      </c>
      <c r="D54" s="32" t="s">
        <v>1659</v>
      </c>
      <c r="E54" s="32"/>
      <c r="F54" s="32" t="s">
        <v>129</v>
      </c>
      <c r="G54" s="32" t="s">
        <v>1641</v>
      </c>
      <c r="H54" s="32"/>
      <c r="I54" s="103">
        <v>1.0</v>
      </c>
      <c r="J54" s="103">
        <v>0.0</v>
      </c>
      <c r="K54" s="104">
        <f t="shared" si="4"/>
        <v>1</v>
      </c>
      <c r="L54" s="32"/>
      <c r="M54" s="32"/>
      <c r="N54" s="32"/>
      <c r="O54" s="32"/>
      <c r="P54" s="32"/>
      <c r="Q54" s="32"/>
      <c r="R54" s="32"/>
      <c r="S54" s="32"/>
      <c r="T54" s="24"/>
      <c r="U54" s="32" t="s">
        <v>1422</v>
      </c>
      <c r="V54" s="24"/>
      <c r="W54" s="103"/>
      <c r="X54" s="103"/>
      <c r="Y54" s="104">
        <f t="shared" si="5"/>
        <v>0</v>
      </c>
      <c r="Z54" s="32"/>
      <c r="AA54" s="32"/>
      <c r="AB54" s="32"/>
      <c r="AC54" s="32"/>
      <c r="AD54" s="32"/>
      <c r="AE54" s="38">
        <v>5000.0</v>
      </c>
      <c r="AF54" s="38"/>
      <c r="AG54" s="32"/>
      <c r="AH54" s="32"/>
      <c r="AI54" s="32"/>
    </row>
    <row r="55" ht="16.5" customHeight="1">
      <c r="A55" s="1"/>
      <c r="B55" s="31" t="s">
        <v>1661</v>
      </c>
      <c r="C55" s="32" t="s">
        <v>1639</v>
      </c>
      <c r="D55" s="32" t="s">
        <v>1662</v>
      </c>
      <c r="E55" s="32"/>
      <c r="F55" s="32" t="s">
        <v>129</v>
      </c>
      <c r="G55" s="32" t="s">
        <v>1641</v>
      </c>
      <c r="H55" s="32"/>
      <c r="I55" s="103">
        <v>1.0</v>
      </c>
      <c r="J55" s="103">
        <v>0.0</v>
      </c>
      <c r="K55" s="104">
        <f t="shared" si="4"/>
        <v>1</v>
      </c>
      <c r="L55" s="32"/>
      <c r="M55" s="32"/>
      <c r="N55" s="32"/>
      <c r="O55" s="32"/>
      <c r="P55" s="32"/>
      <c r="Q55" s="32"/>
      <c r="R55" s="32"/>
      <c r="S55" s="32"/>
      <c r="T55" s="24"/>
      <c r="U55" s="32" t="s">
        <v>1422</v>
      </c>
      <c r="V55" s="24"/>
      <c r="W55" s="103"/>
      <c r="X55" s="103"/>
      <c r="Y55" s="104">
        <f t="shared" si="5"/>
        <v>0</v>
      </c>
      <c r="Z55" s="32"/>
      <c r="AA55" s="32"/>
      <c r="AB55" s="32"/>
      <c r="AC55" s="32"/>
      <c r="AD55" s="32"/>
      <c r="AE55" s="38">
        <v>5000.0</v>
      </c>
      <c r="AF55" s="38"/>
      <c r="AG55" s="32"/>
      <c r="AH55" s="32"/>
      <c r="AI55" s="32"/>
    </row>
    <row r="56" ht="16.5" customHeight="1">
      <c r="A56" s="1"/>
      <c r="B56" s="31" t="s">
        <v>1663</v>
      </c>
      <c r="C56" s="32" t="s">
        <v>1639</v>
      </c>
      <c r="D56" s="32" t="s">
        <v>1664</v>
      </c>
      <c r="E56" s="32"/>
      <c r="F56" s="32" t="s">
        <v>129</v>
      </c>
      <c r="G56" s="32" t="s">
        <v>1641</v>
      </c>
      <c r="H56" s="32"/>
      <c r="I56" s="103">
        <v>1.0</v>
      </c>
      <c r="J56" s="103">
        <v>0.0</v>
      </c>
      <c r="K56" s="104">
        <f t="shared" si="4"/>
        <v>1</v>
      </c>
      <c r="L56" s="32"/>
      <c r="M56" s="32"/>
      <c r="N56" s="32"/>
      <c r="O56" s="32"/>
      <c r="P56" s="32"/>
      <c r="Q56" s="32"/>
      <c r="R56" s="32"/>
      <c r="S56" s="32"/>
      <c r="T56" s="24"/>
      <c r="U56" s="32" t="s">
        <v>1422</v>
      </c>
      <c r="V56" s="24"/>
      <c r="W56" s="103"/>
      <c r="X56" s="103"/>
      <c r="Y56" s="104">
        <f t="shared" si="5"/>
        <v>0</v>
      </c>
      <c r="Z56" s="32"/>
      <c r="AA56" s="32"/>
      <c r="AB56" s="32"/>
      <c r="AC56" s="32"/>
      <c r="AD56" s="32"/>
      <c r="AE56" s="38">
        <v>5000.0</v>
      </c>
      <c r="AF56" s="38"/>
      <c r="AG56" s="32"/>
      <c r="AH56" s="32"/>
      <c r="AI56" s="32"/>
    </row>
    <row r="57" ht="16.5" customHeight="1">
      <c r="A57" s="1"/>
      <c r="B57" s="31" t="s">
        <v>1666</v>
      </c>
      <c r="C57" s="32" t="s">
        <v>1639</v>
      </c>
      <c r="D57" s="32" t="s">
        <v>1667</v>
      </c>
      <c r="E57" s="32"/>
      <c r="F57" s="32" t="s">
        <v>129</v>
      </c>
      <c r="G57" s="32" t="s">
        <v>1641</v>
      </c>
      <c r="H57" s="32"/>
      <c r="I57" s="103">
        <v>1.0</v>
      </c>
      <c r="J57" s="103">
        <v>0.0</v>
      </c>
      <c r="K57" s="104">
        <f t="shared" si="4"/>
        <v>1</v>
      </c>
      <c r="L57" s="32"/>
      <c r="M57" s="32"/>
      <c r="N57" s="32"/>
      <c r="O57" s="32"/>
      <c r="P57" s="32"/>
      <c r="Q57" s="32"/>
      <c r="R57" s="32"/>
      <c r="S57" s="32"/>
      <c r="T57" s="24"/>
      <c r="U57" s="32" t="s">
        <v>1422</v>
      </c>
      <c r="V57" s="24"/>
      <c r="W57" s="103"/>
      <c r="X57" s="103"/>
      <c r="Y57" s="104">
        <f t="shared" si="5"/>
        <v>0</v>
      </c>
      <c r="Z57" s="32"/>
      <c r="AA57" s="32"/>
      <c r="AB57" s="32"/>
      <c r="AC57" s="32"/>
      <c r="AD57" s="32"/>
      <c r="AE57" s="38">
        <v>5000.0</v>
      </c>
      <c r="AF57" s="38"/>
      <c r="AG57" s="32"/>
      <c r="AH57" s="32"/>
      <c r="AI57" s="32"/>
    </row>
    <row r="58" ht="16.5" customHeight="1">
      <c r="A58" s="1"/>
      <c r="B58" s="31" t="s">
        <v>1668</v>
      </c>
      <c r="C58" s="32" t="s">
        <v>1639</v>
      </c>
      <c r="D58" s="32" t="s">
        <v>1669</v>
      </c>
      <c r="E58" s="32"/>
      <c r="F58" s="32" t="s">
        <v>129</v>
      </c>
      <c r="G58" s="32" t="s">
        <v>1641</v>
      </c>
      <c r="H58" s="32"/>
      <c r="I58" s="103">
        <v>1.0</v>
      </c>
      <c r="J58" s="103">
        <v>0.0</v>
      </c>
      <c r="K58" s="104">
        <f t="shared" si="4"/>
        <v>1</v>
      </c>
      <c r="L58" s="32"/>
      <c r="M58" s="32"/>
      <c r="N58" s="32"/>
      <c r="O58" s="32"/>
      <c r="P58" s="32"/>
      <c r="Q58" s="32"/>
      <c r="R58" s="32"/>
      <c r="S58" s="32"/>
      <c r="T58" s="24"/>
      <c r="U58" s="32" t="s">
        <v>1422</v>
      </c>
      <c r="V58" s="24"/>
      <c r="W58" s="103"/>
      <c r="X58" s="103"/>
      <c r="Y58" s="104">
        <f t="shared" si="5"/>
        <v>0</v>
      </c>
      <c r="Z58" s="32"/>
      <c r="AA58" s="32"/>
      <c r="AB58" s="32"/>
      <c r="AC58" s="32"/>
      <c r="AD58" s="32"/>
      <c r="AE58" s="38">
        <v>5000.0</v>
      </c>
      <c r="AF58" s="38"/>
      <c r="AG58" s="32"/>
      <c r="AH58" s="32"/>
      <c r="AI58" s="32"/>
    </row>
    <row r="59" ht="16.5" customHeight="1">
      <c r="A59" s="1"/>
      <c r="B59" s="31" t="s">
        <v>1671</v>
      </c>
      <c r="C59" s="32" t="s">
        <v>1639</v>
      </c>
      <c r="D59" s="32" t="s">
        <v>1672</v>
      </c>
      <c r="E59" s="32"/>
      <c r="F59" s="32" t="s">
        <v>129</v>
      </c>
      <c r="G59" s="32" t="s">
        <v>1641</v>
      </c>
      <c r="H59" s="32"/>
      <c r="I59" s="103">
        <v>1.0</v>
      </c>
      <c r="J59" s="103">
        <v>0.0</v>
      </c>
      <c r="K59" s="104">
        <f t="shared" si="4"/>
        <v>1</v>
      </c>
      <c r="L59" s="32"/>
      <c r="M59" s="32"/>
      <c r="N59" s="32"/>
      <c r="O59" s="32"/>
      <c r="P59" s="32"/>
      <c r="Q59" s="32"/>
      <c r="R59" s="32"/>
      <c r="S59" s="32"/>
      <c r="T59" s="24"/>
      <c r="U59" s="32" t="s">
        <v>1422</v>
      </c>
      <c r="V59" s="24"/>
      <c r="W59" s="103"/>
      <c r="X59" s="103"/>
      <c r="Y59" s="104">
        <f t="shared" si="5"/>
        <v>0</v>
      </c>
      <c r="Z59" s="32"/>
      <c r="AA59" s="32"/>
      <c r="AB59" s="32"/>
      <c r="AC59" s="32"/>
      <c r="AD59" s="32"/>
      <c r="AE59" s="38">
        <v>10000.0</v>
      </c>
      <c r="AF59" s="38"/>
      <c r="AG59" s="32"/>
      <c r="AH59" s="32"/>
      <c r="AI59" s="32"/>
    </row>
    <row r="60" ht="16.5" customHeight="1">
      <c r="A60" s="1"/>
      <c r="B60" s="31" t="s">
        <v>1673</v>
      </c>
      <c r="C60" s="32" t="s">
        <v>1639</v>
      </c>
      <c r="D60" s="32" t="s">
        <v>1674</v>
      </c>
      <c r="E60" s="32"/>
      <c r="F60" s="32" t="s">
        <v>129</v>
      </c>
      <c r="G60" s="32" t="s">
        <v>1641</v>
      </c>
      <c r="H60" s="32"/>
      <c r="I60" s="103">
        <v>1.0</v>
      </c>
      <c r="J60" s="103">
        <v>0.0</v>
      </c>
      <c r="K60" s="104">
        <f t="shared" si="4"/>
        <v>1</v>
      </c>
      <c r="L60" s="32"/>
      <c r="M60" s="32"/>
      <c r="N60" s="32"/>
      <c r="O60" s="32"/>
      <c r="P60" s="32"/>
      <c r="Q60" s="32"/>
      <c r="R60" s="32"/>
      <c r="S60" s="32"/>
      <c r="T60" s="24"/>
      <c r="U60" s="32" t="s">
        <v>1422</v>
      </c>
      <c r="V60" s="24"/>
      <c r="W60" s="103"/>
      <c r="X60" s="103"/>
      <c r="Y60" s="104">
        <f t="shared" si="5"/>
        <v>0</v>
      </c>
      <c r="Z60" s="32"/>
      <c r="AA60" s="32"/>
      <c r="AB60" s="32"/>
      <c r="AC60" s="32"/>
      <c r="AD60" s="32"/>
      <c r="AE60" s="38">
        <v>5000.0</v>
      </c>
      <c r="AF60" s="38"/>
      <c r="AG60" s="32"/>
      <c r="AH60" s="32"/>
      <c r="AI60" s="32"/>
    </row>
    <row r="61" ht="16.5" customHeight="1">
      <c r="A61" s="1"/>
      <c r="B61" s="31" t="s">
        <v>1676</v>
      </c>
      <c r="C61" s="32" t="s">
        <v>1639</v>
      </c>
      <c r="D61" s="32" t="s">
        <v>1677</v>
      </c>
      <c r="E61" s="32"/>
      <c r="F61" s="32" t="s">
        <v>129</v>
      </c>
      <c r="G61" s="32" t="s">
        <v>1641</v>
      </c>
      <c r="H61" s="32"/>
      <c r="I61" s="103">
        <v>1.0</v>
      </c>
      <c r="J61" s="103">
        <v>0.0</v>
      </c>
      <c r="K61" s="104">
        <f t="shared" si="4"/>
        <v>1</v>
      </c>
      <c r="L61" s="32"/>
      <c r="M61" s="32"/>
      <c r="N61" s="32"/>
      <c r="O61" s="32"/>
      <c r="P61" s="32"/>
      <c r="Q61" s="32"/>
      <c r="R61" s="32"/>
      <c r="S61" s="32"/>
      <c r="T61" s="24"/>
      <c r="U61" s="32" t="s">
        <v>1422</v>
      </c>
      <c r="V61" s="24"/>
      <c r="W61" s="103"/>
      <c r="X61" s="103"/>
      <c r="Y61" s="104">
        <f t="shared" si="5"/>
        <v>0</v>
      </c>
      <c r="Z61" s="32"/>
      <c r="AA61" s="32"/>
      <c r="AB61" s="32"/>
      <c r="AC61" s="32"/>
      <c r="AD61" s="32"/>
      <c r="AE61" s="38">
        <v>5000.0</v>
      </c>
      <c r="AF61" s="38"/>
      <c r="AG61" s="32"/>
      <c r="AH61" s="32"/>
      <c r="AI61" s="32"/>
    </row>
    <row r="62" ht="16.5" customHeight="1">
      <c r="A62" s="1"/>
      <c r="B62" s="31" t="s">
        <v>1678</v>
      </c>
      <c r="C62" s="32" t="s">
        <v>1679</v>
      </c>
      <c r="D62" s="32" t="s">
        <v>1680</v>
      </c>
      <c r="E62" s="32"/>
      <c r="F62" s="32" t="s">
        <v>129</v>
      </c>
      <c r="G62" s="32" t="s">
        <v>1641</v>
      </c>
      <c r="H62" s="32"/>
      <c r="I62" s="103">
        <v>2.0</v>
      </c>
      <c r="J62" s="103">
        <v>0.0</v>
      </c>
      <c r="K62" s="104">
        <f t="shared" si="4"/>
        <v>2</v>
      </c>
      <c r="L62" s="32"/>
      <c r="M62" s="32"/>
      <c r="N62" s="32"/>
      <c r="O62" s="32"/>
      <c r="P62" s="32"/>
      <c r="Q62" s="32"/>
      <c r="R62" s="32"/>
      <c r="S62" s="32"/>
      <c r="T62" s="24"/>
      <c r="U62" s="32" t="s">
        <v>1422</v>
      </c>
      <c r="V62" s="24"/>
      <c r="W62" s="103"/>
      <c r="X62" s="103"/>
      <c r="Y62" s="104">
        <f t="shared" si="5"/>
        <v>0</v>
      </c>
      <c r="Z62" s="32"/>
      <c r="AA62" s="32"/>
      <c r="AB62" s="32"/>
      <c r="AC62" s="32"/>
      <c r="AD62" s="32"/>
      <c r="AE62" s="38">
        <v>5000.0</v>
      </c>
      <c r="AF62" s="38"/>
      <c r="AG62" s="32"/>
      <c r="AH62" s="32"/>
      <c r="AI62" s="32"/>
    </row>
    <row r="63" ht="16.5" customHeight="1">
      <c r="A63" s="1"/>
      <c r="B63" s="31" t="s">
        <v>1682</v>
      </c>
      <c r="C63" s="32" t="s">
        <v>1679</v>
      </c>
      <c r="D63" s="32" t="s">
        <v>1683</v>
      </c>
      <c r="E63" s="32"/>
      <c r="F63" s="32" t="s">
        <v>129</v>
      </c>
      <c r="G63" s="32" t="s">
        <v>1641</v>
      </c>
      <c r="H63" s="32"/>
      <c r="I63" s="103">
        <v>0.0</v>
      </c>
      <c r="J63" s="103">
        <v>0.0</v>
      </c>
      <c r="K63" s="104">
        <f t="shared" si="4"/>
        <v>0</v>
      </c>
      <c r="L63" s="32"/>
      <c r="M63" s="32"/>
      <c r="N63" s="32"/>
      <c r="O63" s="32"/>
      <c r="P63" s="32"/>
      <c r="Q63" s="32"/>
      <c r="R63" s="32"/>
      <c r="S63" s="32"/>
      <c r="T63" s="24"/>
      <c r="U63" s="32" t="s">
        <v>1422</v>
      </c>
      <c r="V63" s="24"/>
      <c r="W63" s="103"/>
      <c r="X63" s="103"/>
      <c r="Y63" s="104">
        <f t="shared" si="5"/>
        <v>0</v>
      </c>
      <c r="Z63" s="32"/>
      <c r="AA63" s="32"/>
      <c r="AB63" s="32"/>
      <c r="AC63" s="32"/>
      <c r="AD63" s="32"/>
      <c r="AE63" s="38">
        <v>5000.0</v>
      </c>
      <c r="AF63" s="38"/>
      <c r="AG63" s="32"/>
      <c r="AH63" s="32"/>
      <c r="AI63" s="32"/>
    </row>
    <row r="64" ht="16.5" customHeight="1">
      <c r="A64" s="1"/>
      <c r="B64" s="31" t="s">
        <v>1684</v>
      </c>
      <c r="C64" s="32" t="s">
        <v>1679</v>
      </c>
      <c r="D64" s="32" t="s">
        <v>1685</v>
      </c>
      <c r="E64" s="32"/>
      <c r="F64" s="32" t="s">
        <v>129</v>
      </c>
      <c r="G64" s="32" t="s">
        <v>1641</v>
      </c>
      <c r="H64" s="32"/>
      <c r="I64" s="103">
        <v>1.0</v>
      </c>
      <c r="J64" s="103">
        <v>0.0</v>
      </c>
      <c r="K64" s="104">
        <f t="shared" si="4"/>
        <v>1</v>
      </c>
      <c r="L64" s="32"/>
      <c r="M64" s="32"/>
      <c r="N64" s="32"/>
      <c r="O64" s="32"/>
      <c r="P64" s="32"/>
      <c r="Q64" s="32"/>
      <c r="R64" s="32"/>
      <c r="S64" s="32"/>
      <c r="T64" s="24"/>
      <c r="U64" s="32" t="s">
        <v>1422</v>
      </c>
      <c r="V64" s="24"/>
      <c r="W64" s="103"/>
      <c r="X64" s="103"/>
      <c r="Y64" s="104">
        <f t="shared" si="5"/>
        <v>0</v>
      </c>
      <c r="Z64" s="32"/>
      <c r="AA64" s="32"/>
      <c r="AB64" s="32"/>
      <c r="AC64" s="32"/>
      <c r="AD64" s="32"/>
      <c r="AE64" s="38">
        <v>5000.0</v>
      </c>
      <c r="AF64" s="38"/>
      <c r="AG64" s="32"/>
      <c r="AH64" s="32"/>
      <c r="AI64" s="32"/>
    </row>
    <row r="65" ht="16.5" customHeight="1">
      <c r="A65" s="1"/>
      <c r="B65" s="31" t="s">
        <v>1686</v>
      </c>
      <c r="C65" s="32" t="s">
        <v>1679</v>
      </c>
      <c r="D65" s="32" t="s">
        <v>1688</v>
      </c>
      <c r="E65" s="32"/>
      <c r="F65" s="32" t="s">
        <v>129</v>
      </c>
      <c r="G65" s="32" t="s">
        <v>1641</v>
      </c>
      <c r="H65" s="32"/>
      <c r="I65" s="103">
        <v>1.0</v>
      </c>
      <c r="J65" s="103">
        <v>0.0</v>
      </c>
      <c r="K65" s="104">
        <f t="shared" si="4"/>
        <v>1</v>
      </c>
      <c r="L65" s="32"/>
      <c r="M65" s="32"/>
      <c r="N65" s="32"/>
      <c r="O65" s="32"/>
      <c r="P65" s="32"/>
      <c r="Q65" s="32"/>
      <c r="R65" s="32"/>
      <c r="S65" s="32"/>
      <c r="T65" s="24"/>
      <c r="U65" s="32" t="s">
        <v>1422</v>
      </c>
      <c r="V65" s="24"/>
      <c r="W65" s="103"/>
      <c r="X65" s="103"/>
      <c r="Y65" s="104">
        <f t="shared" si="5"/>
        <v>0</v>
      </c>
      <c r="Z65" s="32"/>
      <c r="AA65" s="32"/>
      <c r="AB65" s="32"/>
      <c r="AC65" s="32"/>
      <c r="AD65" s="32"/>
      <c r="AE65" s="38">
        <v>5000.0</v>
      </c>
      <c r="AF65" s="38"/>
      <c r="AG65" s="32"/>
      <c r="AH65" s="32"/>
      <c r="AI65" s="32"/>
    </row>
    <row r="66" ht="16.5" customHeight="1">
      <c r="A66" s="1"/>
      <c r="B66" s="31" t="s">
        <v>1689</v>
      </c>
      <c r="C66" s="32" t="s">
        <v>1690</v>
      </c>
      <c r="D66" s="32" t="s">
        <v>1691</v>
      </c>
      <c r="E66" s="32"/>
      <c r="F66" s="32" t="s">
        <v>129</v>
      </c>
      <c r="G66" s="32" t="s">
        <v>1641</v>
      </c>
      <c r="H66" s="32"/>
      <c r="I66" s="103">
        <v>2.0</v>
      </c>
      <c r="J66" s="103">
        <v>0.0</v>
      </c>
      <c r="K66" s="104">
        <f t="shared" si="4"/>
        <v>2</v>
      </c>
      <c r="L66" s="32"/>
      <c r="M66" s="32"/>
      <c r="N66" s="32"/>
      <c r="O66" s="32"/>
      <c r="P66" s="32"/>
      <c r="Q66" s="32"/>
      <c r="R66" s="32"/>
      <c r="S66" s="32"/>
      <c r="T66" s="24"/>
      <c r="U66" s="32" t="s">
        <v>1422</v>
      </c>
      <c r="V66" s="24"/>
      <c r="W66" s="103"/>
      <c r="X66" s="103"/>
      <c r="Y66" s="104">
        <f t="shared" si="5"/>
        <v>0</v>
      </c>
      <c r="Z66" s="32"/>
      <c r="AA66" s="32"/>
      <c r="AB66" s="32"/>
      <c r="AC66" s="32"/>
      <c r="AD66" s="32"/>
      <c r="AE66" s="38">
        <v>5000.0</v>
      </c>
      <c r="AF66" s="38"/>
      <c r="AG66" s="32"/>
      <c r="AH66" s="32"/>
      <c r="AI66" s="32"/>
    </row>
    <row r="67" ht="16.5" customHeight="1">
      <c r="A67" s="1"/>
      <c r="B67" s="31" t="s">
        <v>1693</v>
      </c>
      <c r="C67" s="32" t="s">
        <v>1690</v>
      </c>
      <c r="D67" s="32" t="s">
        <v>1694</v>
      </c>
      <c r="E67" s="32"/>
      <c r="F67" s="32" t="s">
        <v>129</v>
      </c>
      <c r="G67" s="32" t="s">
        <v>1641</v>
      </c>
      <c r="H67" s="32"/>
      <c r="I67" s="103">
        <v>1.0</v>
      </c>
      <c r="J67" s="103">
        <v>0.0</v>
      </c>
      <c r="K67" s="104">
        <f t="shared" si="4"/>
        <v>1</v>
      </c>
      <c r="L67" s="32"/>
      <c r="M67" s="32"/>
      <c r="N67" s="32"/>
      <c r="O67" s="32"/>
      <c r="P67" s="32"/>
      <c r="Q67" s="32"/>
      <c r="R67" s="32"/>
      <c r="S67" s="32"/>
      <c r="T67" s="24"/>
      <c r="U67" s="32" t="s">
        <v>1422</v>
      </c>
      <c r="V67" s="24"/>
      <c r="W67" s="103"/>
      <c r="X67" s="103"/>
      <c r="Y67" s="104">
        <f t="shared" si="5"/>
        <v>0</v>
      </c>
      <c r="Z67" s="32"/>
      <c r="AA67" s="32"/>
      <c r="AB67" s="32"/>
      <c r="AC67" s="32"/>
      <c r="AD67" s="32"/>
      <c r="AE67" s="38">
        <v>5000.0</v>
      </c>
      <c r="AF67" s="38"/>
      <c r="AG67" s="32"/>
      <c r="AH67" s="32"/>
      <c r="AI67" s="32"/>
    </row>
    <row r="68" ht="16.5" customHeight="1">
      <c r="A68" s="1"/>
      <c r="B68" s="31" t="s">
        <v>1695</v>
      </c>
      <c r="C68" s="32" t="s">
        <v>1690</v>
      </c>
      <c r="D68" s="32" t="s">
        <v>1696</v>
      </c>
      <c r="E68" s="32"/>
      <c r="F68" s="32" t="s">
        <v>129</v>
      </c>
      <c r="G68" s="32" t="s">
        <v>1641</v>
      </c>
      <c r="H68" s="32"/>
      <c r="I68" s="103">
        <v>1.0</v>
      </c>
      <c r="J68" s="103">
        <v>0.0</v>
      </c>
      <c r="K68" s="104">
        <f t="shared" si="4"/>
        <v>1</v>
      </c>
      <c r="L68" s="32"/>
      <c r="M68" s="32"/>
      <c r="N68" s="32"/>
      <c r="O68" s="32"/>
      <c r="P68" s="32"/>
      <c r="Q68" s="32"/>
      <c r="R68" s="32"/>
      <c r="S68" s="32"/>
      <c r="T68" s="24"/>
      <c r="U68" s="32" t="s">
        <v>1422</v>
      </c>
      <c r="V68" s="24"/>
      <c r="W68" s="103"/>
      <c r="X68" s="103"/>
      <c r="Y68" s="104">
        <f t="shared" si="5"/>
        <v>0</v>
      </c>
      <c r="Z68" s="32"/>
      <c r="AA68" s="32"/>
      <c r="AB68" s="32"/>
      <c r="AC68" s="32"/>
      <c r="AD68" s="32"/>
      <c r="AE68" s="38">
        <v>5000.0</v>
      </c>
      <c r="AF68" s="38"/>
      <c r="AG68" s="32"/>
      <c r="AH68" s="32"/>
      <c r="AI68" s="32"/>
    </row>
    <row r="69" ht="16.5" customHeight="1">
      <c r="A69" s="1"/>
      <c r="B69" s="31" t="s">
        <v>1697</v>
      </c>
      <c r="C69" s="32" t="s">
        <v>1690</v>
      </c>
      <c r="D69" s="32" t="s">
        <v>1699</v>
      </c>
      <c r="E69" s="32"/>
      <c r="F69" s="32" t="s">
        <v>129</v>
      </c>
      <c r="G69" s="32" t="s">
        <v>1641</v>
      </c>
      <c r="H69" s="32"/>
      <c r="I69" s="103">
        <v>1.0</v>
      </c>
      <c r="J69" s="103">
        <v>0.0</v>
      </c>
      <c r="K69" s="104">
        <f t="shared" si="4"/>
        <v>1</v>
      </c>
      <c r="L69" s="32"/>
      <c r="M69" s="32"/>
      <c r="N69" s="32"/>
      <c r="O69" s="32"/>
      <c r="P69" s="32"/>
      <c r="Q69" s="32"/>
      <c r="R69" s="32"/>
      <c r="S69" s="32"/>
      <c r="T69" s="24"/>
      <c r="U69" s="32" t="s">
        <v>1422</v>
      </c>
      <c r="V69" s="24"/>
      <c r="W69" s="103"/>
      <c r="X69" s="103"/>
      <c r="Y69" s="104">
        <f t="shared" si="5"/>
        <v>0</v>
      </c>
      <c r="Z69" s="32"/>
      <c r="AA69" s="32"/>
      <c r="AB69" s="32"/>
      <c r="AC69" s="32"/>
      <c r="AD69" s="32"/>
      <c r="AE69" s="38">
        <v>5000.0</v>
      </c>
      <c r="AF69" s="38"/>
      <c r="AG69" s="32"/>
      <c r="AH69" s="32"/>
      <c r="AI69" s="32"/>
    </row>
    <row r="70" ht="16.5" customHeight="1">
      <c r="A70" s="1"/>
      <c r="B70" s="31" t="s">
        <v>1700</v>
      </c>
      <c r="C70" s="32" t="s">
        <v>1690</v>
      </c>
      <c r="D70" s="32" t="s">
        <v>1701</v>
      </c>
      <c r="E70" s="32"/>
      <c r="F70" s="32" t="s">
        <v>129</v>
      </c>
      <c r="G70" s="32" t="s">
        <v>1641</v>
      </c>
      <c r="H70" s="32"/>
      <c r="I70" s="103">
        <v>1.0</v>
      </c>
      <c r="J70" s="103">
        <v>0.0</v>
      </c>
      <c r="K70" s="104">
        <f t="shared" si="4"/>
        <v>1</v>
      </c>
      <c r="L70" s="32"/>
      <c r="M70" s="32"/>
      <c r="N70" s="32"/>
      <c r="O70" s="32"/>
      <c r="P70" s="32"/>
      <c r="Q70" s="32"/>
      <c r="R70" s="32"/>
      <c r="S70" s="32"/>
      <c r="T70" s="24"/>
      <c r="U70" s="32" t="s">
        <v>1422</v>
      </c>
      <c r="V70" s="24"/>
      <c r="W70" s="103"/>
      <c r="X70" s="103"/>
      <c r="Y70" s="104">
        <f t="shared" si="5"/>
        <v>0</v>
      </c>
      <c r="Z70" s="32"/>
      <c r="AA70" s="32"/>
      <c r="AB70" s="32"/>
      <c r="AC70" s="32"/>
      <c r="AD70" s="32"/>
      <c r="AE70" s="38">
        <v>5000.0</v>
      </c>
      <c r="AF70" s="38"/>
      <c r="AG70" s="32"/>
      <c r="AH70" s="32"/>
      <c r="AI70" s="32"/>
    </row>
    <row r="71" ht="16.5" customHeight="1">
      <c r="A71" s="1"/>
      <c r="B71" s="31" t="s">
        <v>1702</v>
      </c>
      <c r="C71" s="32" t="s">
        <v>1690</v>
      </c>
      <c r="D71" s="32" t="s">
        <v>1704</v>
      </c>
      <c r="E71" s="32"/>
      <c r="F71" s="32" t="s">
        <v>129</v>
      </c>
      <c r="G71" s="32" t="s">
        <v>1641</v>
      </c>
      <c r="H71" s="32"/>
      <c r="I71" s="103">
        <v>1.0</v>
      </c>
      <c r="J71" s="103">
        <v>0.0</v>
      </c>
      <c r="K71" s="104">
        <f t="shared" si="4"/>
        <v>1</v>
      </c>
      <c r="L71" s="32"/>
      <c r="M71" s="32"/>
      <c r="N71" s="32"/>
      <c r="O71" s="32"/>
      <c r="P71" s="32"/>
      <c r="Q71" s="32"/>
      <c r="R71" s="32"/>
      <c r="S71" s="32"/>
      <c r="T71" s="24"/>
      <c r="U71" s="32" t="s">
        <v>1422</v>
      </c>
      <c r="V71" s="24"/>
      <c r="W71" s="103"/>
      <c r="X71" s="103"/>
      <c r="Y71" s="104">
        <f t="shared" si="5"/>
        <v>0</v>
      </c>
      <c r="Z71" s="32"/>
      <c r="AA71" s="32"/>
      <c r="AB71" s="32"/>
      <c r="AC71" s="32"/>
      <c r="AD71" s="32"/>
      <c r="AE71" s="38">
        <v>5000.0</v>
      </c>
      <c r="AF71" s="38"/>
      <c r="AG71" s="32"/>
      <c r="AH71" s="32"/>
      <c r="AI71" s="32"/>
    </row>
    <row r="72" ht="16.5" customHeight="1">
      <c r="A72" s="1"/>
      <c r="B72" s="31" t="s">
        <v>1705</v>
      </c>
      <c r="C72" s="32" t="s">
        <v>1690</v>
      </c>
      <c r="D72" s="32" t="s">
        <v>1706</v>
      </c>
      <c r="E72" s="32"/>
      <c r="F72" s="32" t="s">
        <v>129</v>
      </c>
      <c r="G72" s="32" t="s">
        <v>1641</v>
      </c>
      <c r="H72" s="32"/>
      <c r="I72" s="103">
        <v>1.0</v>
      </c>
      <c r="J72" s="103">
        <v>0.0</v>
      </c>
      <c r="K72" s="104">
        <f t="shared" si="4"/>
        <v>1</v>
      </c>
      <c r="L72" s="32"/>
      <c r="M72" s="32"/>
      <c r="N72" s="32"/>
      <c r="O72" s="32"/>
      <c r="P72" s="32"/>
      <c r="Q72" s="32"/>
      <c r="R72" s="32"/>
      <c r="S72" s="32"/>
      <c r="T72" s="24"/>
      <c r="U72" s="32" t="s">
        <v>1422</v>
      </c>
      <c r="V72" s="24"/>
      <c r="W72" s="103"/>
      <c r="X72" s="103"/>
      <c r="Y72" s="104">
        <f t="shared" si="5"/>
        <v>0</v>
      </c>
      <c r="Z72" s="32"/>
      <c r="AA72" s="32"/>
      <c r="AB72" s="32"/>
      <c r="AC72" s="32"/>
      <c r="AD72" s="32"/>
      <c r="AE72" s="38">
        <v>5000.0</v>
      </c>
      <c r="AF72" s="38"/>
      <c r="AG72" s="32"/>
      <c r="AH72" s="32"/>
      <c r="AI72" s="32"/>
    </row>
    <row r="73" ht="16.5" customHeight="1">
      <c r="A73" s="1"/>
      <c r="B73" s="31" t="s">
        <v>1707</v>
      </c>
      <c r="C73" s="32" t="s">
        <v>1690</v>
      </c>
      <c r="D73" s="32" t="s">
        <v>1708</v>
      </c>
      <c r="E73" s="32"/>
      <c r="F73" s="32" t="s">
        <v>129</v>
      </c>
      <c r="G73" s="32" t="s">
        <v>1641</v>
      </c>
      <c r="H73" s="32"/>
      <c r="I73" s="103">
        <v>1.0</v>
      </c>
      <c r="J73" s="103">
        <v>0.0</v>
      </c>
      <c r="K73" s="104">
        <f t="shared" si="4"/>
        <v>1</v>
      </c>
      <c r="L73" s="32"/>
      <c r="M73" s="32"/>
      <c r="N73" s="32"/>
      <c r="O73" s="32"/>
      <c r="P73" s="32"/>
      <c r="Q73" s="32"/>
      <c r="R73" s="32"/>
      <c r="S73" s="32"/>
      <c r="T73" s="24"/>
      <c r="U73" s="32" t="s">
        <v>1422</v>
      </c>
      <c r="V73" s="24"/>
      <c r="W73" s="103"/>
      <c r="X73" s="103"/>
      <c r="Y73" s="104">
        <f t="shared" si="5"/>
        <v>0</v>
      </c>
      <c r="Z73" s="32"/>
      <c r="AA73" s="32"/>
      <c r="AB73" s="32"/>
      <c r="AC73" s="32"/>
      <c r="AD73" s="32"/>
      <c r="AE73" s="38">
        <v>5000.0</v>
      </c>
      <c r="AF73" s="38"/>
      <c r="AG73" s="32"/>
      <c r="AH73" s="32"/>
      <c r="AI73" s="32"/>
    </row>
    <row r="74" ht="16.5" customHeight="1">
      <c r="A74" s="1"/>
      <c r="B74" s="31" t="s">
        <v>1710</v>
      </c>
      <c r="C74" s="32" t="s">
        <v>1690</v>
      </c>
      <c r="D74" s="32" t="s">
        <v>1711</v>
      </c>
      <c r="E74" s="32"/>
      <c r="F74" s="32" t="s">
        <v>129</v>
      </c>
      <c r="G74" s="32" t="s">
        <v>1641</v>
      </c>
      <c r="H74" s="32"/>
      <c r="I74" s="103">
        <v>1.0</v>
      </c>
      <c r="J74" s="103">
        <v>0.0</v>
      </c>
      <c r="K74" s="104">
        <f t="shared" si="4"/>
        <v>1</v>
      </c>
      <c r="L74" s="32"/>
      <c r="M74" s="32"/>
      <c r="N74" s="32"/>
      <c r="O74" s="32"/>
      <c r="P74" s="32"/>
      <c r="Q74" s="32"/>
      <c r="R74" s="32"/>
      <c r="S74" s="32"/>
      <c r="T74" s="24"/>
      <c r="U74" s="32" t="s">
        <v>1422</v>
      </c>
      <c r="V74" s="24"/>
      <c r="W74" s="103"/>
      <c r="X74" s="103"/>
      <c r="Y74" s="104">
        <f t="shared" si="5"/>
        <v>0</v>
      </c>
      <c r="Z74" s="32"/>
      <c r="AA74" s="32"/>
      <c r="AB74" s="32"/>
      <c r="AC74" s="32"/>
      <c r="AD74" s="32"/>
      <c r="AE74" s="38">
        <v>5000.0</v>
      </c>
      <c r="AF74" s="38"/>
      <c r="AG74" s="32"/>
      <c r="AH74" s="32"/>
      <c r="AI74" s="32"/>
    </row>
    <row r="75" ht="16.5" customHeight="1">
      <c r="A75" s="1"/>
      <c r="B75" s="31" t="s">
        <v>1712</v>
      </c>
      <c r="C75" s="32" t="s">
        <v>1690</v>
      </c>
      <c r="D75" s="32" t="s">
        <v>1713</v>
      </c>
      <c r="E75" s="32"/>
      <c r="F75" s="32" t="s">
        <v>129</v>
      </c>
      <c r="G75" s="32" t="s">
        <v>1641</v>
      </c>
      <c r="H75" s="32"/>
      <c r="I75" s="103">
        <v>1.0</v>
      </c>
      <c r="J75" s="103">
        <v>0.0</v>
      </c>
      <c r="K75" s="104">
        <f t="shared" si="4"/>
        <v>1</v>
      </c>
      <c r="L75" s="32"/>
      <c r="M75" s="32"/>
      <c r="N75" s="32"/>
      <c r="O75" s="32"/>
      <c r="P75" s="32"/>
      <c r="Q75" s="32"/>
      <c r="R75" s="32"/>
      <c r="S75" s="32"/>
      <c r="T75" s="24"/>
      <c r="U75" s="32" t="s">
        <v>1422</v>
      </c>
      <c r="V75" s="24"/>
      <c r="W75" s="103"/>
      <c r="X75" s="103"/>
      <c r="Y75" s="104">
        <f t="shared" si="5"/>
        <v>0</v>
      </c>
      <c r="Z75" s="32"/>
      <c r="AA75" s="32"/>
      <c r="AB75" s="32"/>
      <c r="AC75" s="32"/>
      <c r="AD75" s="32"/>
      <c r="AE75" s="38">
        <v>5000.0</v>
      </c>
      <c r="AF75" s="38"/>
      <c r="AG75" s="32"/>
      <c r="AH75" s="32"/>
      <c r="AI75" s="32"/>
    </row>
    <row r="76" ht="16.5" customHeight="1">
      <c r="A76" s="1"/>
      <c r="B76" s="31" t="s">
        <v>1715</v>
      </c>
      <c r="C76" s="32" t="s">
        <v>1716</v>
      </c>
      <c r="D76" s="32" t="s">
        <v>1717</v>
      </c>
      <c r="E76" s="32"/>
      <c r="F76" s="32" t="s">
        <v>129</v>
      </c>
      <c r="G76" s="32" t="s">
        <v>1641</v>
      </c>
      <c r="H76" s="32"/>
      <c r="I76" s="103">
        <v>1.0</v>
      </c>
      <c r="J76" s="103">
        <v>0.0</v>
      </c>
      <c r="K76" s="104">
        <f t="shared" si="4"/>
        <v>1</v>
      </c>
      <c r="L76" s="32"/>
      <c r="M76" s="32"/>
      <c r="N76" s="32"/>
      <c r="O76" s="32"/>
      <c r="P76" s="32"/>
      <c r="Q76" s="32"/>
      <c r="R76" s="32"/>
      <c r="S76" s="32"/>
      <c r="T76" s="24"/>
      <c r="U76" s="32" t="s">
        <v>1422</v>
      </c>
      <c r="V76" s="24"/>
      <c r="W76" s="103"/>
      <c r="X76" s="103"/>
      <c r="Y76" s="104">
        <f t="shared" si="5"/>
        <v>0</v>
      </c>
      <c r="Z76" s="32"/>
      <c r="AA76" s="32"/>
      <c r="AB76" s="32"/>
      <c r="AC76" s="32"/>
      <c r="AD76" s="32"/>
      <c r="AE76" s="38">
        <v>5000.0</v>
      </c>
      <c r="AF76" s="38"/>
      <c r="AG76" s="32"/>
      <c r="AH76" s="32"/>
      <c r="AI76" s="32"/>
    </row>
    <row r="77" ht="16.5" customHeight="1">
      <c r="A77" s="1"/>
      <c r="B77" s="31" t="s">
        <v>1718</v>
      </c>
      <c r="C77" s="32" t="s">
        <v>1716</v>
      </c>
      <c r="D77" s="32" t="s">
        <v>1719</v>
      </c>
      <c r="E77" s="32"/>
      <c r="F77" s="32" t="s">
        <v>129</v>
      </c>
      <c r="G77" s="32" t="s">
        <v>1641</v>
      </c>
      <c r="H77" s="32"/>
      <c r="I77" s="103">
        <v>1.0</v>
      </c>
      <c r="J77" s="103">
        <v>0.0</v>
      </c>
      <c r="K77" s="104">
        <f t="shared" si="4"/>
        <v>1</v>
      </c>
      <c r="L77" s="32"/>
      <c r="M77" s="32"/>
      <c r="N77" s="32"/>
      <c r="O77" s="32"/>
      <c r="P77" s="32"/>
      <c r="Q77" s="32"/>
      <c r="R77" s="32"/>
      <c r="S77" s="32"/>
      <c r="T77" s="24"/>
      <c r="U77" s="32" t="s">
        <v>1422</v>
      </c>
      <c r="V77" s="24"/>
      <c r="W77" s="103"/>
      <c r="X77" s="103"/>
      <c r="Y77" s="104">
        <f t="shared" si="5"/>
        <v>0</v>
      </c>
      <c r="Z77" s="32"/>
      <c r="AA77" s="32"/>
      <c r="AB77" s="32"/>
      <c r="AC77" s="32"/>
      <c r="AD77" s="32"/>
      <c r="AE77" s="38">
        <v>10000.0</v>
      </c>
      <c r="AF77" s="38"/>
      <c r="AG77" s="32"/>
      <c r="AH77" s="32"/>
      <c r="AI77" s="32"/>
    </row>
    <row r="78" ht="16.5" customHeight="1">
      <c r="A78" s="1"/>
      <c r="B78" s="31" t="s">
        <v>1721</v>
      </c>
      <c r="C78" s="32" t="s">
        <v>1716</v>
      </c>
      <c r="D78" s="32" t="s">
        <v>1722</v>
      </c>
      <c r="E78" s="32"/>
      <c r="F78" s="32" t="s">
        <v>129</v>
      </c>
      <c r="G78" s="32" t="s">
        <v>1641</v>
      </c>
      <c r="H78" s="32"/>
      <c r="I78" s="103">
        <v>1.0</v>
      </c>
      <c r="J78" s="103">
        <v>0.0</v>
      </c>
      <c r="K78" s="104">
        <f t="shared" si="4"/>
        <v>1</v>
      </c>
      <c r="L78" s="32"/>
      <c r="M78" s="32"/>
      <c r="N78" s="32"/>
      <c r="O78" s="32"/>
      <c r="P78" s="32"/>
      <c r="Q78" s="32"/>
      <c r="R78" s="32"/>
      <c r="S78" s="32"/>
      <c r="T78" s="24"/>
      <c r="U78" s="32" t="s">
        <v>1422</v>
      </c>
      <c r="V78" s="24"/>
      <c r="W78" s="103"/>
      <c r="X78" s="103"/>
      <c r="Y78" s="104">
        <f t="shared" si="5"/>
        <v>0</v>
      </c>
      <c r="Z78" s="32"/>
      <c r="AA78" s="32"/>
      <c r="AB78" s="32"/>
      <c r="AC78" s="32"/>
      <c r="AD78" s="32"/>
      <c r="AE78" s="38">
        <v>5000.0</v>
      </c>
      <c r="AF78" s="38"/>
      <c r="AG78" s="32"/>
      <c r="AH78" s="32"/>
      <c r="AI78" s="32"/>
    </row>
    <row r="79" ht="16.5" customHeight="1">
      <c r="A79" s="1"/>
      <c r="B79" s="31" t="s">
        <v>1723</v>
      </c>
      <c r="C79" s="32" t="s">
        <v>1716</v>
      </c>
      <c r="D79" s="32" t="s">
        <v>1724</v>
      </c>
      <c r="E79" s="32"/>
      <c r="F79" s="32" t="s">
        <v>129</v>
      </c>
      <c r="G79" s="32" t="s">
        <v>1641</v>
      </c>
      <c r="H79" s="32"/>
      <c r="I79" s="103">
        <v>0.0</v>
      </c>
      <c r="J79" s="103">
        <v>0.0</v>
      </c>
      <c r="K79" s="104">
        <f t="shared" si="4"/>
        <v>0</v>
      </c>
      <c r="L79" s="32"/>
      <c r="M79" s="32"/>
      <c r="N79" s="32"/>
      <c r="O79" s="32"/>
      <c r="P79" s="32"/>
      <c r="Q79" s="32"/>
      <c r="R79" s="32"/>
      <c r="S79" s="32"/>
      <c r="T79" s="24"/>
      <c r="U79" s="32" t="s">
        <v>1422</v>
      </c>
      <c r="V79" s="24"/>
      <c r="W79" s="103"/>
      <c r="X79" s="103"/>
      <c r="Y79" s="104">
        <f t="shared" si="5"/>
        <v>0</v>
      </c>
      <c r="Z79" s="32"/>
      <c r="AA79" s="32"/>
      <c r="AB79" s="32"/>
      <c r="AC79" s="32"/>
      <c r="AD79" s="32"/>
      <c r="AE79" s="38">
        <v>5000.0</v>
      </c>
      <c r="AF79" s="38"/>
      <c r="AG79" s="32"/>
      <c r="AH79" s="32"/>
      <c r="AI79" s="32"/>
    </row>
    <row r="80" ht="16.5" customHeight="1">
      <c r="A80" s="1"/>
      <c r="B80" s="31" t="s">
        <v>1726</v>
      </c>
      <c r="C80" s="32" t="s">
        <v>1716</v>
      </c>
      <c r="D80" s="32" t="s">
        <v>1727</v>
      </c>
      <c r="E80" s="32"/>
      <c r="F80" s="32" t="s">
        <v>129</v>
      </c>
      <c r="G80" s="32" t="s">
        <v>1641</v>
      </c>
      <c r="H80" s="32"/>
      <c r="I80" s="103">
        <v>1.0</v>
      </c>
      <c r="J80" s="103">
        <v>0.0</v>
      </c>
      <c r="K80" s="104">
        <f t="shared" si="4"/>
        <v>1</v>
      </c>
      <c r="L80" s="32"/>
      <c r="M80" s="32"/>
      <c r="N80" s="32"/>
      <c r="O80" s="32"/>
      <c r="P80" s="32"/>
      <c r="Q80" s="32"/>
      <c r="R80" s="32"/>
      <c r="S80" s="32"/>
      <c r="T80" s="24"/>
      <c r="U80" s="32" t="s">
        <v>1422</v>
      </c>
      <c r="V80" s="24"/>
      <c r="W80" s="103"/>
      <c r="X80" s="103"/>
      <c r="Y80" s="104">
        <f t="shared" si="5"/>
        <v>0</v>
      </c>
      <c r="Z80" s="32"/>
      <c r="AA80" s="32"/>
      <c r="AB80" s="32"/>
      <c r="AC80" s="32"/>
      <c r="AD80" s="32"/>
      <c r="AE80" s="38">
        <v>5000.0</v>
      </c>
      <c r="AF80" s="38"/>
      <c r="AG80" s="32"/>
      <c r="AH80" s="32"/>
      <c r="AI80" s="32"/>
    </row>
    <row r="81" ht="16.5" customHeight="1">
      <c r="A81" s="1"/>
      <c r="B81" s="31" t="s">
        <v>1728</v>
      </c>
      <c r="C81" s="32" t="s">
        <v>1716</v>
      </c>
      <c r="D81" s="32" t="s">
        <v>1729</v>
      </c>
      <c r="E81" s="32"/>
      <c r="F81" s="32" t="s">
        <v>129</v>
      </c>
      <c r="G81" s="32" t="s">
        <v>1641</v>
      </c>
      <c r="H81" s="32"/>
      <c r="I81" s="103">
        <v>0.0</v>
      </c>
      <c r="J81" s="103">
        <v>0.0</v>
      </c>
      <c r="K81" s="104">
        <f t="shared" si="4"/>
        <v>0</v>
      </c>
      <c r="L81" s="32"/>
      <c r="M81" s="32"/>
      <c r="N81" s="32"/>
      <c r="O81" s="32"/>
      <c r="P81" s="32"/>
      <c r="Q81" s="32"/>
      <c r="R81" s="32"/>
      <c r="S81" s="32"/>
      <c r="T81" s="24"/>
      <c r="U81" s="32" t="s">
        <v>1422</v>
      </c>
      <c r="V81" s="24"/>
      <c r="W81" s="103"/>
      <c r="X81" s="103"/>
      <c r="Y81" s="104">
        <f t="shared" si="5"/>
        <v>0</v>
      </c>
      <c r="Z81" s="32"/>
      <c r="AA81" s="32"/>
      <c r="AB81" s="32"/>
      <c r="AC81" s="32"/>
      <c r="AD81" s="32"/>
      <c r="AE81" s="38">
        <v>5000.0</v>
      </c>
      <c r="AF81" s="38"/>
      <c r="AG81" s="32"/>
      <c r="AH81" s="32"/>
      <c r="AI81" s="32"/>
    </row>
    <row r="82" ht="16.5" customHeight="1">
      <c r="A82" s="1"/>
      <c r="B82" s="31" t="s">
        <v>1731</v>
      </c>
      <c r="C82" s="32" t="s">
        <v>1716</v>
      </c>
      <c r="D82" s="32" t="s">
        <v>1732</v>
      </c>
      <c r="E82" s="32"/>
      <c r="F82" s="32" t="s">
        <v>129</v>
      </c>
      <c r="G82" s="32" t="s">
        <v>1641</v>
      </c>
      <c r="H82" s="32"/>
      <c r="I82" s="103">
        <v>1.0</v>
      </c>
      <c r="J82" s="103">
        <v>0.0</v>
      </c>
      <c r="K82" s="104">
        <f t="shared" si="4"/>
        <v>1</v>
      </c>
      <c r="L82" s="32"/>
      <c r="M82" s="32"/>
      <c r="N82" s="32"/>
      <c r="O82" s="32"/>
      <c r="P82" s="32"/>
      <c r="Q82" s="32"/>
      <c r="R82" s="32"/>
      <c r="S82" s="32"/>
      <c r="T82" s="24"/>
      <c r="U82" s="32" t="s">
        <v>1422</v>
      </c>
      <c r="V82" s="24"/>
      <c r="W82" s="103"/>
      <c r="X82" s="103"/>
      <c r="Y82" s="104">
        <f t="shared" si="5"/>
        <v>0</v>
      </c>
      <c r="Z82" s="32"/>
      <c r="AA82" s="32"/>
      <c r="AB82" s="32"/>
      <c r="AC82" s="32"/>
      <c r="AD82" s="32"/>
      <c r="AE82" s="38">
        <v>5000.0</v>
      </c>
      <c r="AF82" s="38"/>
      <c r="AG82" s="32"/>
      <c r="AH82" s="32"/>
      <c r="AI82" s="32"/>
    </row>
    <row r="83" ht="16.5" customHeight="1">
      <c r="A83" s="1"/>
      <c r="B83" s="31" t="s">
        <v>1733</v>
      </c>
      <c r="C83" s="32" t="s">
        <v>1716</v>
      </c>
      <c r="D83" s="32" t="s">
        <v>1734</v>
      </c>
      <c r="E83" s="32"/>
      <c r="F83" s="32" t="s">
        <v>129</v>
      </c>
      <c r="G83" s="32" t="s">
        <v>1641</v>
      </c>
      <c r="H83" s="32"/>
      <c r="I83" s="103">
        <v>1.0</v>
      </c>
      <c r="J83" s="103">
        <v>0.0</v>
      </c>
      <c r="K83" s="104">
        <f t="shared" si="4"/>
        <v>1</v>
      </c>
      <c r="L83" s="32"/>
      <c r="M83" s="32"/>
      <c r="N83" s="32"/>
      <c r="O83" s="32"/>
      <c r="P83" s="32"/>
      <c r="Q83" s="32"/>
      <c r="R83" s="32"/>
      <c r="S83" s="32"/>
      <c r="T83" s="24"/>
      <c r="U83" s="32" t="s">
        <v>1422</v>
      </c>
      <c r="V83" s="24"/>
      <c r="W83" s="103"/>
      <c r="X83" s="103"/>
      <c r="Y83" s="104">
        <f t="shared" si="5"/>
        <v>0</v>
      </c>
      <c r="Z83" s="32"/>
      <c r="AA83" s="32"/>
      <c r="AB83" s="32"/>
      <c r="AC83" s="32"/>
      <c r="AD83" s="32"/>
      <c r="AE83" s="38">
        <v>5000.0</v>
      </c>
      <c r="AF83" s="38"/>
      <c r="AG83" s="32"/>
      <c r="AH83" s="32"/>
      <c r="AI83" s="32"/>
    </row>
    <row r="84" ht="16.5" customHeight="1">
      <c r="A84" s="1"/>
      <c r="B84" s="31" t="s">
        <v>1736</v>
      </c>
      <c r="C84" s="32" t="s">
        <v>1716</v>
      </c>
      <c r="D84" s="32" t="s">
        <v>1737</v>
      </c>
      <c r="E84" s="32"/>
      <c r="F84" s="32" t="s">
        <v>129</v>
      </c>
      <c r="G84" s="32" t="s">
        <v>1641</v>
      </c>
      <c r="H84" s="32"/>
      <c r="I84" s="103">
        <v>0.0</v>
      </c>
      <c r="J84" s="103">
        <v>0.0</v>
      </c>
      <c r="K84" s="104">
        <f t="shared" si="4"/>
        <v>0</v>
      </c>
      <c r="L84" s="32"/>
      <c r="M84" s="32"/>
      <c r="N84" s="32"/>
      <c r="O84" s="32"/>
      <c r="P84" s="32"/>
      <c r="Q84" s="32"/>
      <c r="R84" s="32"/>
      <c r="S84" s="32"/>
      <c r="T84" s="24"/>
      <c r="U84" s="32" t="s">
        <v>1422</v>
      </c>
      <c r="V84" s="24"/>
      <c r="W84" s="103"/>
      <c r="X84" s="103"/>
      <c r="Y84" s="104">
        <f t="shared" si="5"/>
        <v>0</v>
      </c>
      <c r="Z84" s="32"/>
      <c r="AA84" s="32"/>
      <c r="AB84" s="32"/>
      <c r="AC84" s="32"/>
      <c r="AD84" s="32"/>
      <c r="AE84" s="38">
        <v>5000.0</v>
      </c>
      <c r="AF84" s="38"/>
      <c r="AG84" s="32"/>
      <c r="AH84" s="32"/>
      <c r="AI84" s="32"/>
    </row>
    <row r="85" ht="16.5" customHeight="1">
      <c r="A85" s="1"/>
      <c r="B85" s="31" t="s">
        <v>1738</v>
      </c>
      <c r="C85" s="32" t="s">
        <v>1716</v>
      </c>
      <c r="D85" s="32" t="s">
        <v>1739</v>
      </c>
      <c r="E85" s="32"/>
      <c r="F85" s="32" t="s">
        <v>129</v>
      </c>
      <c r="G85" s="32" t="s">
        <v>1641</v>
      </c>
      <c r="H85" s="32"/>
      <c r="I85" s="103">
        <v>1.0</v>
      </c>
      <c r="J85" s="103">
        <v>0.0</v>
      </c>
      <c r="K85" s="104">
        <f t="shared" si="4"/>
        <v>1</v>
      </c>
      <c r="L85" s="32"/>
      <c r="M85" s="32"/>
      <c r="N85" s="32"/>
      <c r="O85" s="32"/>
      <c r="P85" s="32"/>
      <c r="Q85" s="32"/>
      <c r="R85" s="32"/>
      <c r="S85" s="32"/>
      <c r="T85" s="24"/>
      <c r="U85" s="32" t="s">
        <v>1422</v>
      </c>
      <c r="V85" s="24"/>
      <c r="W85" s="103"/>
      <c r="X85" s="103"/>
      <c r="Y85" s="104">
        <f t="shared" si="5"/>
        <v>0</v>
      </c>
      <c r="Z85" s="32"/>
      <c r="AA85" s="32"/>
      <c r="AB85" s="32"/>
      <c r="AC85" s="32"/>
      <c r="AD85" s="32"/>
      <c r="AE85" s="38">
        <v>5000.0</v>
      </c>
      <c r="AF85" s="38"/>
      <c r="AG85" s="32"/>
      <c r="AH85" s="32"/>
      <c r="AI85" s="32"/>
    </row>
    <row r="86" ht="16.5" customHeight="1">
      <c r="A86" s="1"/>
      <c r="B86" s="31" t="s">
        <v>1741</v>
      </c>
      <c r="C86" s="32" t="s">
        <v>1716</v>
      </c>
      <c r="D86" s="32" t="s">
        <v>1742</v>
      </c>
      <c r="E86" s="32"/>
      <c r="F86" s="32" t="s">
        <v>129</v>
      </c>
      <c r="G86" s="32" t="s">
        <v>1641</v>
      </c>
      <c r="H86" s="32"/>
      <c r="I86" s="103">
        <v>1.0</v>
      </c>
      <c r="J86" s="103">
        <v>0.0</v>
      </c>
      <c r="K86" s="104">
        <f t="shared" si="4"/>
        <v>1</v>
      </c>
      <c r="L86" s="32"/>
      <c r="M86" s="32"/>
      <c r="N86" s="32"/>
      <c r="O86" s="32"/>
      <c r="P86" s="32"/>
      <c r="Q86" s="32"/>
      <c r="R86" s="32"/>
      <c r="S86" s="32"/>
      <c r="T86" s="24"/>
      <c r="U86" s="32" t="s">
        <v>1422</v>
      </c>
      <c r="V86" s="24"/>
      <c r="W86" s="103"/>
      <c r="X86" s="103"/>
      <c r="Y86" s="104">
        <f t="shared" si="5"/>
        <v>0</v>
      </c>
      <c r="Z86" s="32"/>
      <c r="AA86" s="32"/>
      <c r="AB86" s="32"/>
      <c r="AC86" s="32"/>
      <c r="AD86" s="32"/>
      <c r="AE86" s="38">
        <v>5000.0</v>
      </c>
      <c r="AF86" s="38"/>
      <c r="AG86" s="32"/>
      <c r="AH86" s="32"/>
      <c r="AI86" s="32"/>
    </row>
    <row r="87" ht="16.5" customHeight="1">
      <c r="A87" s="1"/>
      <c r="B87" s="32"/>
      <c r="C87" s="32"/>
      <c r="D87" s="32"/>
      <c r="E87" s="32"/>
      <c r="F87" s="32"/>
      <c r="G87" s="32"/>
      <c r="H87" s="32"/>
      <c r="I87" s="103"/>
      <c r="J87" s="103"/>
      <c r="K87" s="104" t="str">
        <f t="shared" si="4"/>
        <v/>
      </c>
      <c r="L87" s="32"/>
      <c r="M87" s="32"/>
      <c r="N87" s="32"/>
      <c r="O87" s="32"/>
      <c r="P87" s="32"/>
      <c r="Q87" s="32"/>
      <c r="R87" s="32"/>
      <c r="S87" s="32"/>
      <c r="T87" s="24"/>
      <c r="U87" s="32"/>
      <c r="V87" s="24"/>
      <c r="W87" s="103"/>
      <c r="X87" s="103"/>
      <c r="Y87" s="104" t="str">
        <f t="shared" si="5"/>
        <v/>
      </c>
      <c r="Z87" s="32"/>
      <c r="AA87" s="32"/>
      <c r="AB87" s="32"/>
      <c r="AC87" s="32"/>
      <c r="AD87" s="32"/>
      <c r="AE87" s="38"/>
      <c r="AF87" s="38"/>
      <c r="AG87" s="32"/>
      <c r="AH87" s="32"/>
      <c r="AI87" s="32"/>
    </row>
    <row r="88" ht="16.5" customHeight="1">
      <c r="A88" s="1"/>
      <c r="B88" s="32"/>
      <c r="C88" s="32"/>
      <c r="D88" s="32"/>
      <c r="E88" s="32"/>
      <c r="F88" s="32"/>
      <c r="G88" s="32"/>
      <c r="H88" s="32"/>
      <c r="I88" s="103"/>
      <c r="J88" s="103"/>
      <c r="K88" s="104" t="str">
        <f t="shared" si="4"/>
        <v/>
      </c>
      <c r="L88" s="32"/>
      <c r="M88" s="32"/>
      <c r="N88" s="32"/>
      <c r="O88" s="32"/>
      <c r="P88" s="32"/>
      <c r="Q88" s="32"/>
      <c r="R88" s="32"/>
      <c r="S88" s="32"/>
      <c r="T88" s="24"/>
      <c r="U88" s="32"/>
      <c r="V88" s="24"/>
      <c r="W88" s="103"/>
      <c r="X88" s="103"/>
      <c r="Y88" s="104" t="str">
        <f t="shared" si="5"/>
        <v/>
      </c>
      <c r="Z88" s="32"/>
      <c r="AA88" s="32"/>
      <c r="AB88" s="32"/>
      <c r="AC88" s="32"/>
      <c r="AD88" s="32"/>
      <c r="AE88" s="38"/>
      <c r="AF88" s="38"/>
      <c r="AG88" s="32"/>
      <c r="AH88" s="32"/>
      <c r="AI88" s="32"/>
    </row>
    <row r="89" ht="16.5" customHeight="1">
      <c r="A89" s="1"/>
      <c r="B89" s="32"/>
      <c r="C89" s="32"/>
      <c r="D89" s="32"/>
      <c r="E89" s="32"/>
      <c r="F89" s="32"/>
      <c r="G89" s="32"/>
      <c r="H89" s="32"/>
      <c r="I89" s="103"/>
      <c r="J89" s="103"/>
      <c r="K89" s="104" t="str">
        <f t="shared" si="4"/>
        <v/>
      </c>
      <c r="L89" s="32"/>
      <c r="M89" s="32"/>
      <c r="N89" s="32"/>
      <c r="O89" s="32"/>
      <c r="P89" s="32"/>
      <c r="Q89" s="32"/>
      <c r="R89" s="32"/>
      <c r="S89" s="32"/>
      <c r="T89" s="24"/>
      <c r="U89" s="32"/>
      <c r="V89" s="24"/>
      <c r="W89" s="103"/>
      <c r="X89" s="103"/>
      <c r="Y89" s="104" t="str">
        <f t="shared" si="5"/>
        <v/>
      </c>
      <c r="Z89" s="32"/>
      <c r="AA89" s="32"/>
      <c r="AB89" s="32"/>
      <c r="AC89" s="32"/>
      <c r="AD89" s="32"/>
      <c r="AE89" s="38"/>
      <c r="AF89" s="38"/>
      <c r="AG89" s="32"/>
      <c r="AH89" s="32"/>
      <c r="AI89" s="32"/>
    </row>
    <row r="90" ht="16.5" customHeight="1">
      <c r="A90" s="1"/>
      <c r="B90" s="32"/>
      <c r="C90" s="32"/>
      <c r="D90" s="32"/>
      <c r="E90" s="32"/>
      <c r="F90" s="32"/>
      <c r="G90" s="32"/>
      <c r="H90" s="32"/>
      <c r="I90" s="103"/>
      <c r="J90" s="103"/>
      <c r="K90" s="104" t="str">
        <f t="shared" si="4"/>
        <v/>
      </c>
      <c r="L90" s="32"/>
      <c r="M90" s="32"/>
      <c r="N90" s="32"/>
      <c r="O90" s="32"/>
      <c r="P90" s="32"/>
      <c r="Q90" s="32"/>
      <c r="R90" s="32"/>
      <c r="S90" s="32"/>
      <c r="T90" s="24"/>
      <c r="U90" s="32"/>
      <c r="V90" s="24"/>
      <c r="W90" s="103"/>
      <c r="X90" s="103"/>
      <c r="Y90" s="104" t="str">
        <f t="shared" si="5"/>
        <v/>
      </c>
      <c r="Z90" s="32"/>
      <c r="AA90" s="32"/>
      <c r="AB90" s="32"/>
      <c r="AC90" s="32"/>
      <c r="AD90" s="32"/>
      <c r="AE90" s="38"/>
      <c r="AF90" s="38"/>
      <c r="AG90" s="32"/>
      <c r="AH90" s="32"/>
      <c r="AI90" s="32"/>
    </row>
    <row r="91" ht="16.5" customHeight="1">
      <c r="A91" s="1"/>
      <c r="B91" s="32"/>
      <c r="C91" s="32"/>
      <c r="D91" s="32"/>
      <c r="E91" s="32"/>
      <c r="F91" s="32"/>
      <c r="G91" s="32"/>
      <c r="H91" s="32"/>
      <c r="I91" s="103"/>
      <c r="J91" s="103"/>
      <c r="K91" s="104" t="str">
        <f t="shared" si="4"/>
        <v/>
      </c>
      <c r="L91" s="32"/>
      <c r="M91" s="32"/>
      <c r="N91" s="32"/>
      <c r="O91" s="32"/>
      <c r="P91" s="32"/>
      <c r="Q91" s="32"/>
      <c r="R91" s="32"/>
      <c r="S91" s="32"/>
      <c r="T91" s="24"/>
      <c r="U91" s="32"/>
      <c r="V91" s="24"/>
      <c r="W91" s="103"/>
      <c r="X91" s="103"/>
      <c r="Y91" s="104" t="str">
        <f t="shared" si="5"/>
        <v/>
      </c>
      <c r="Z91" s="32"/>
      <c r="AA91" s="32"/>
      <c r="AB91" s="32"/>
      <c r="AC91" s="32"/>
      <c r="AD91" s="32"/>
      <c r="AE91" s="38"/>
      <c r="AF91" s="38"/>
      <c r="AG91" s="32"/>
      <c r="AH91" s="32"/>
      <c r="AI91" s="32"/>
    </row>
    <row r="92" ht="16.5" customHeight="1">
      <c r="A92" s="1"/>
      <c r="B92" s="32"/>
      <c r="C92" s="32"/>
      <c r="D92" s="32"/>
      <c r="E92" s="32"/>
      <c r="F92" s="32"/>
      <c r="G92" s="32"/>
      <c r="H92" s="32"/>
      <c r="I92" s="103"/>
      <c r="J92" s="103"/>
      <c r="K92" s="104" t="str">
        <f t="shared" si="4"/>
        <v/>
      </c>
      <c r="L92" s="32"/>
      <c r="M92" s="32"/>
      <c r="N92" s="32"/>
      <c r="O92" s="32"/>
      <c r="P92" s="32"/>
      <c r="Q92" s="32"/>
      <c r="R92" s="32"/>
      <c r="S92" s="32"/>
      <c r="T92" s="24"/>
      <c r="U92" s="32"/>
      <c r="V92" s="24"/>
      <c r="W92" s="103"/>
      <c r="X92" s="103"/>
      <c r="Y92" s="104" t="str">
        <f t="shared" si="5"/>
        <v/>
      </c>
      <c r="Z92" s="32"/>
      <c r="AA92" s="32"/>
      <c r="AB92" s="32"/>
      <c r="AC92" s="32"/>
      <c r="AD92" s="32"/>
      <c r="AE92" s="38"/>
      <c r="AF92" s="38"/>
      <c r="AG92" s="32"/>
      <c r="AH92" s="32"/>
      <c r="AI92" s="32"/>
    </row>
    <row r="93" ht="16.5" customHeight="1">
      <c r="A93" s="1"/>
      <c r="B93" s="32"/>
      <c r="C93" s="32"/>
      <c r="D93" s="32"/>
      <c r="E93" s="32"/>
      <c r="F93" s="32"/>
      <c r="G93" s="32"/>
      <c r="H93" s="32"/>
      <c r="I93" s="103"/>
      <c r="J93" s="103"/>
      <c r="K93" s="104" t="str">
        <f t="shared" si="4"/>
        <v/>
      </c>
      <c r="L93" s="32"/>
      <c r="M93" s="32"/>
      <c r="N93" s="32"/>
      <c r="O93" s="32"/>
      <c r="P93" s="32"/>
      <c r="Q93" s="32"/>
      <c r="R93" s="32"/>
      <c r="S93" s="32"/>
      <c r="T93" s="24"/>
      <c r="U93" s="32"/>
      <c r="V93" s="24"/>
      <c r="W93" s="103"/>
      <c r="X93" s="103"/>
      <c r="Y93" s="104" t="str">
        <f t="shared" si="5"/>
        <v/>
      </c>
      <c r="Z93" s="32"/>
      <c r="AA93" s="32"/>
      <c r="AB93" s="32"/>
      <c r="AC93" s="32"/>
      <c r="AD93" s="32"/>
      <c r="AE93" s="38"/>
      <c r="AF93" s="38"/>
      <c r="AG93" s="32"/>
      <c r="AH93" s="32"/>
      <c r="AI93" s="32"/>
    </row>
    <row r="94" ht="16.5" customHeight="1">
      <c r="A94" s="1"/>
      <c r="B94" s="32"/>
      <c r="C94" s="32"/>
      <c r="D94" s="32"/>
      <c r="E94" s="32"/>
      <c r="F94" s="32"/>
      <c r="G94" s="32"/>
      <c r="H94" s="32"/>
      <c r="I94" s="103"/>
      <c r="J94" s="103"/>
      <c r="K94" s="104" t="str">
        <f t="shared" si="4"/>
        <v/>
      </c>
      <c r="L94" s="32"/>
      <c r="M94" s="32"/>
      <c r="N94" s="32"/>
      <c r="O94" s="32"/>
      <c r="P94" s="32"/>
      <c r="Q94" s="32"/>
      <c r="R94" s="32"/>
      <c r="S94" s="32"/>
      <c r="T94" s="24"/>
      <c r="U94" s="32"/>
      <c r="V94" s="24"/>
      <c r="W94" s="103"/>
      <c r="X94" s="103"/>
      <c r="Y94" s="104" t="str">
        <f t="shared" si="5"/>
        <v/>
      </c>
      <c r="Z94" s="32"/>
      <c r="AA94" s="32"/>
      <c r="AB94" s="32"/>
      <c r="AC94" s="32"/>
      <c r="AD94" s="32"/>
      <c r="AE94" s="38"/>
      <c r="AF94" s="38"/>
      <c r="AG94" s="32"/>
      <c r="AH94" s="32"/>
      <c r="AI94" s="32"/>
    </row>
    <row r="95" ht="16.5" customHeight="1">
      <c r="A95" s="1"/>
      <c r="B95" s="32"/>
      <c r="C95" s="32"/>
      <c r="D95" s="32"/>
      <c r="E95" s="32"/>
      <c r="F95" s="32"/>
      <c r="G95" s="32"/>
      <c r="H95" s="32"/>
      <c r="I95" s="103"/>
      <c r="J95" s="103"/>
      <c r="K95" s="104" t="str">
        <f t="shared" si="4"/>
        <v/>
      </c>
      <c r="L95" s="32"/>
      <c r="M95" s="32"/>
      <c r="N95" s="32"/>
      <c r="O95" s="32"/>
      <c r="P95" s="32"/>
      <c r="Q95" s="32"/>
      <c r="R95" s="32"/>
      <c r="S95" s="32"/>
      <c r="T95" s="24"/>
      <c r="U95" s="32"/>
      <c r="V95" s="24"/>
      <c r="W95" s="103"/>
      <c r="X95" s="103"/>
      <c r="Y95" s="104" t="str">
        <f t="shared" si="5"/>
        <v/>
      </c>
      <c r="Z95" s="32"/>
      <c r="AA95" s="32"/>
      <c r="AB95" s="32"/>
      <c r="AC95" s="32"/>
      <c r="AD95" s="32"/>
      <c r="AE95" s="38"/>
      <c r="AF95" s="38"/>
      <c r="AG95" s="32"/>
      <c r="AH95" s="32"/>
      <c r="AI95" s="32"/>
    </row>
    <row r="96" ht="16.5" customHeight="1">
      <c r="A96" s="1"/>
      <c r="B96" s="32"/>
      <c r="C96" s="32"/>
      <c r="D96" s="32"/>
      <c r="E96" s="32"/>
      <c r="F96" s="32"/>
      <c r="G96" s="32"/>
      <c r="H96" s="32"/>
      <c r="I96" s="103"/>
      <c r="J96" s="103"/>
      <c r="K96" s="104" t="str">
        <f t="shared" si="4"/>
        <v/>
      </c>
      <c r="L96" s="32"/>
      <c r="M96" s="32"/>
      <c r="N96" s="32"/>
      <c r="O96" s="32"/>
      <c r="P96" s="32"/>
      <c r="Q96" s="32"/>
      <c r="R96" s="32"/>
      <c r="S96" s="32"/>
      <c r="T96" s="24"/>
      <c r="U96" s="32"/>
      <c r="V96" s="24"/>
      <c r="W96" s="103"/>
      <c r="X96" s="103"/>
      <c r="Y96" s="104" t="str">
        <f t="shared" si="5"/>
        <v/>
      </c>
      <c r="Z96" s="32"/>
      <c r="AA96" s="32"/>
      <c r="AB96" s="32"/>
      <c r="AC96" s="32"/>
      <c r="AD96" s="32"/>
      <c r="AE96" s="38"/>
      <c r="AF96" s="38"/>
      <c r="AG96" s="32"/>
      <c r="AH96" s="32"/>
      <c r="AI96" s="32"/>
    </row>
    <row r="97" ht="16.5" customHeight="1">
      <c r="A97" s="1"/>
      <c r="B97" s="32"/>
      <c r="C97" s="32"/>
      <c r="D97" s="32"/>
      <c r="E97" s="32"/>
      <c r="F97" s="32"/>
      <c r="G97" s="32"/>
      <c r="H97" s="32"/>
      <c r="I97" s="103"/>
      <c r="J97" s="103"/>
      <c r="K97" s="104" t="str">
        <f t="shared" si="4"/>
        <v/>
      </c>
      <c r="L97" s="32"/>
      <c r="M97" s="32"/>
      <c r="N97" s="32"/>
      <c r="O97" s="32"/>
      <c r="P97" s="32"/>
      <c r="Q97" s="32"/>
      <c r="R97" s="32"/>
      <c r="S97" s="32"/>
      <c r="T97" s="24"/>
      <c r="U97" s="32"/>
      <c r="V97" s="24"/>
      <c r="W97" s="103"/>
      <c r="X97" s="103"/>
      <c r="Y97" s="104" t="str">
        <f t="shared" si="5"/>
        <v/>
      </c>
      <c r="Z97" s="32"/>
      <c r="AA97" s="32"/>
      <c r="AB97" s="32"/>
      <c r="AC97" s="32"/>
      <c r="AD97" s="32"/>
      <c r="AE97" s="38"/>
      <c r="AF97" s="38"/>
      <c r="AG97" s="32"/>
      <c r="AH97" s="32"/>
      <c r="AI97" s="32"/>
    </row>
    <row r="98" ht="16.5" customHeight="1">
      <c r="A98" s="1"/>
      <c r="B98" s="32"/>
      <c r="C98" s="32"/>
      <c r="D98" s="32"/>
      <c r="E98" s="32"/>
      <c r="F98" s="32"/>
      <c r="G98" s="32"/>
      <c r="H98" s="32"/>
      <c r="I98" s="103"/>
      <c r="J98" s="103"/>
      <c r="K98" s="104" t="str">
        <f t="shared" si="4"/>
        <v/>
      </c>
      <c r="L98" s="32"/>
      <c r="M98" s="32"/>
      <c r="N98" s="32"/>
      <c r="O98" s="32"/>
      <c r="P98" s="32"/>
      <c r="Q98" s="32"/>
      <c r="R98" s="32"/>
      <c r="S98" s="32"/>
      <c r="T98" s="24"/>
      <c r="U98" s="32"/>
      <c r="V98" s="24"/>
      <c r="W98" s="103"/>
      <c r="X98" s="103"/>
      <c r="Y98" s="104" t="str">
        <f t="shared" si="5"/>
        <v/>
      </c>
      <c r="Z98" s="32"/>
      <c r="AA98" s="32"/>
      <c r="AB98" s="32"/>
      <c r="AC98" s="32"/>
      <c r="AD98" s="32"/>
      <c r="AE98" s="38"/>
      <c r="AF98" s="38"/>
      <c r="AG98" s="32"/>
      <c r="AH98" s="32"/>
      <c r="AI98" s="32"/>
    </row>
    <row r="99" ht="16.5" customHeight="1">
      <c r="A99" s="1"/>
      <c r="B99" s="32"/>
      <c r="C99" s="32"/>
      <c r="D99" s="32"/>
      <c r="E99" s="32"/>
      <c r="F99" s="32"/>
      <c r="G99" s="32"/>
      <c r="H99" s="32"/>
      <c r="I99" s="103"/>
      <c r="J99" s="103"/>
      <c r="K99" s="104" t="str">
        <f t="shared" si="4"/>
        <v/>
      </c>
      <c r="L99" s="32"/>
      <c r="M99" s="32"/>
      <c r="N99" s="32"/>
      <c r="O99" s="32"/>
      <c r="P99" s="32"/>
      <c r="Q99" s="32"/>
      <c r="R99" s="32"/>
      <c r="S99" s="32"/>
      <c r="T99" s="24"/>
      <c r="U99" s="32"/>
      <c r="V99" s="24"/>
      <c r="W99" s="103"/>
      <c r="X99" s="103"/>
      <c r="Y99" s="104" t="str">
        <f t="shared" si="5"/>
        <v/>
      </c>
      <c r="Z99" s="32"/>
      <c r="AA99" s="32"/>
      <c r="AB99" s="32"/>
      <c r="AC99" s="32"/>
      <c r="AD99" s="32"/>
      <c r="AE99" s="38"/>
      <c r="AF99" s="38"/>
      <c r="AG99" s="32"/>
      <c r="AH99" s="32"/>
      <c r="AI99" s="32"/>
    </row>
    <row r="100" ht="16.5" customHeight="1">
      <c r="A100" s="1"/>
      <c r="B100" s="32"/>
      <c r="C100" s="32"/>
      <c r="D100" s="32"/>
      <c r="E100" s="32"/>
      <c r="F100" s="32"/>
      <c r="G100" s="32"/>
      <c r="H100" s="32"/>
      <c r="I100" s="103"/>
      <c r="J100" s="103"/>
      <c r="K100" s="104" t="str">
        <f t="shared" si="4"/>
        <v/>
      </c>
      <c r="L100" s="32"/>
      <c r="M100" s="32"/>
      <c r="N100" s="32"/>
      <c r="O100" s="32"/>
      <c r="P100" s="32"/>
      <c r="Q100" s="32"/>
      <c r="R100" s="32"/>
      <c r="S100" s="32"/>
      <c r="T100" s="24"/>
      <c r="U100" s="32"/>
      <c r="V100" s="24"/>
      <c r="W100" s="103"/>
      <c r="X100" s="103"/>
      <c r="Y100" s="104" t="str">
        <f t="shared" si="5"/>
        <v/>
      </c>
      <c r="Z100" s="32"/>
      <c r="AA100" s="32"/>
      <c r="AB100" s="32"/>
      <c r="AC100" s="32"/>
      <c r="AD100" s="32"/>
      <c r="AE100" s="38"/>
      <c r="AF100" s="38"/>
      <c r="AG100" s="32"/>
      <c r="AH100" s="32"/>
      <c r="AI100" s="32"/>
    </row>
    <row r="101" ht="16.5" customHeight="1">
      <c r="A101" s="1"/>
      <c r="B101" s="32"/>
      <c r="C101" s="32"/>
      <c r="D101" s="32"/>
      <c r="E101" s="32"/>
      <c r="F101" s="32"/>
      <c r="G101" s="32"/>
      <c r="H101" s="32"/>
      <c r="I101" s="103"/>
      <c r="J101" s="103"/>
      <c r="K101" s="104" t="str">
        <f t="shared" si="4"/>
        <v/>
      </c>
      <c r="L101" s="32"/>
      <c r="M101" s="32"/>
      <c r="N101" s="32"/>
      <c r="O101" s="32"/>
      <c r="P101" s="32"/>
      <c r="Q101" s="32"/>
      <c r="R101" s="32"/>
      <c r="S101" s="32"/>
      <c r="T101" s="24"/>
      <c r="U101" s="32"/>
      <c r="V101" s="24"/>
      <c r="W101" s="103"/>
      <c r="X101" s="103"/>
      <c r="Y101" s="104" t="str">
        <f t="shared" si="5"/>
        <v/>
      </c>
      <c r="Z101" s="32"/>
      <c r="AA101" s="32"/>
      <c r="AB101" s="32"/>
      <c r="AC101" s="32"/>
      <c r="AD101" s="32"/>
      <c r="AE101" s="38"/>
      <c r="AF101" s="38"/>
      <c r="AG101" s="32"/>
      <c r="AH101" s="32"/>
      <c r="AI101" s="32"/>
    </row>
    <row r="102" ht="16.5" customHeight="1">
      <c r="A102" s="1"/>
      <c r="B102" s="32"/>
      <c r="C102" s="32"/>
      <c r="D102" s="32"/>
      <c r="E102" s="32"/>
      <c r="F102" s="32"/>
      <c r="G102" s="32"/>
      <c r="H102" s="32"/>
      <c r="I102" s="103"/>
      <c r="J102" s="103"/>
      <c r="K102" s="104" t="str">
        <f t="shared" si="4"/>
        <v/>
      </c>
      <c r="L102" s="32"/>
      <c r="M102" s="32"/>
      <c r="N102" s="32"/>
      <c r="O102" s="32"/>
      <c r="P102" s="32"/>
      <c r="Q102" s="32"/>
      <c r="R102" s="32"/>
      <c r="S102" s="32"/>
      <c r="T102" s="24"/>
      <c r="U102" s="32"/>
      <c r="V102" s="24"/>
      <c r="W102" s="103"/>
      <c r="X102" s="103"/>
      <c r="Y102" s="104" t="str">
        <f t="shared" si="5"/>
        <v/>
      </c>
      <c r="Z102" s="32"/>
      <c r="AA102" s="32"/>
      <c r="AB102" s="32"/>
      <c r="AC102" s="32"/>
      <c r="AD102" s="32"/>
      <c r="AE102" s="38"/>
      <c r="AF102" s="38"/>
      <c r="AG102" s="32"/>
      <c r="AH102" s="32"/>
      <c r="AI102" s="32"/>
    </row>
    <row r="103" ht="16.5" customHeight="1">
      <c r="A103" s="1"/>
      <c r="B103" s="32"/>
      <c r="C103" s="32"/>
      <c r="D103" s="32"/>
      <c r="E103" s="32"/>
      <c r="F103" s="32"/>
      <c r="G103" s="32"/>
      <c r="H103" s="32"/>
      <c r="I103" s="103"/>
      <c r="J103" s="103"/>
      <c r="K103" s="104" t="str">
        <f t="shared" si="4"/>
        <v/>
      </c>
      <c r="L103" s="32"/>
      <c r="M103" s="32"/>
      <c r="N103" s="32"/>
      <c r="O103" s="32"/>
      <c r="P103" s="32"/>
      <c r="Q103" s="32"/>
      <c r="R103" s="32"/>
      <c r="S103" s="32"/>
      <c r="T103" s="24"/>
      <c r="U103" s="32"/>
      <c r="V103" s="24"/>
      <c r="W103" s="103"/>
      <c r="X103" s="103"/>
      <c r="Y103" s="104" t="str">
        <f t="shared" si="5"/>
        <v/>
      </c>
      <c r="Z103" s="32"/>
      <c r="AA103" s="32"/>
      <c r="AB103" s="32"/>
      <c r="AC103" s="32"/>
      <c r="AD103" s="32"/>
      <c r="AE103" s="38"/>
      <c r="AF103" s="38"/>
      <c r="AG103" s="32"/>
      <c r="AH103" s="32"/>
      <c r="AI103" s="32"/>
    </row>
    <row r="104" ht="16.5" customHeight="1">
      <c r="A104" s="1"/>
      <c r="B104" s="32"/>
      <c r="C104" s="32"/>
      <c r="D104" s="32"/>
      <c r="E104" s="32"/>
      <c r="F104" s="32"/>
      <c r="G104" s="32"/>
      <c r="H104" s="32"/>
      <c r="I104" s="103"/>
      <c r="J104" s="103"/>
      <c r="K104" s="104" t="str">
        <f t="shared" si="4"/>
        <v/>
      </c>
      <c r="L104" s="32"/>
      <c r="M104" s="32"/>
      <c r="N104" s="32"/>
      <c r="O104" s="32"/>
      <c r="P104" s="32"/>
      <c r="Q104" s="32"/>
      <c r="R104" s="32"/>
      <c r="S104" s="32"/>
      <c r="T104" s="24"/>
      <c r="U104" s="32"/>
      <c r="V104" s="24"/>
      <c r="W104" s="103"/>
      <c r="X104" s="103"/>
      <c r="Y104" s="104" t="str">
        <f t="shared" si="5"/>
        <v/>
      </c>
      <c r="Z104" s="32"/>
      <c r="AA104" s="32"/>
      <c r="AB104" s="32"/>
      <c r="AC104" s="32"/>
      <c r="AD104" s="32"/>
      <c r="AE104" s="38"/>
      <c r="AF104" s="38"/>
      <c r="AG104" s="32"/>
      <c r="AH104" s="32"/>
      <c r="AI104" s="32"/>
    </row>
    <row r="105" ht="16.5" customHeight="1">
      <c r="A105" s="1"/>
      <c r="B105" s="32"/>
      <c r="C105" s="32"/>
      <c r="D105" s="32"/>
      <c r="E105" s="32"/>
      <c r="F105" s="32"/>
      <c r="G105" s="32"/>
      <c r="H105" s="32"/>
      <c r="I105" s="103"/>
      <c r="J105" s="103"/>
      <c r="K105" s="104" t="str">
        <f t="shared" si="4"/>
        <v/>
      </c>
      <c r="L105" s="32"/>
      <c r="M105" s="32"/>
      <c r="N105" s="32"/>
      <c r="O105" s="32"/>
      <c r="P105" s="32"/>
      <c r="Q105" s="32"/>
      <c r="R105" s="32"/>
      <c r="S105" s="32"/>
      <c r="T105" s="24"/>
      <c r="U105" s="32"/>
      <c r="V105" s="24"/>
      <c r="W105" s="103"/>
      <c r="X105" s="103"/>
      <c r="Y105" s="104" t="str">
        <f t="shared" si="5"/>
        <v/>
      </c>
      <c r="Z105" s="32"/>
      <c r="AA105" s="32"/>
      <c r="AB105" s="32"/>
      <c r="AC105" s="32"/>
      <c r="AD105" s="32"/>
      <c r="AE105" s="38"/>
      <c r="AF105" s="38"/>
      <c r="AG105" s="32"/>
      <c r="AH105" s="32"/>
      <c r="AI105" s="32"/>
    </row>
    <row r="106" ht="16.5" customHeight="1">
      <c r="A106" s="1"/>
      <c r="B106" s="32"/>
      <c r="C106" s="32"/>
      <c r="D106" s="32"/>
      <c r="E106" s="32"/>
      <c r="F106" s="32"/>
      <c r="G106" s="32"/>
      <c r="H106" s="32"/>
      <c r="I106" s="103"/>
      <c r="J106" s="103"/>
      <c r="K106" s="104" t="str">
        <f t="shared" si="4"/>
        <v/>
      </c>
      <c r="L106" s="32"/>
      <c r="M106" s="32"/>
      <c r="N106" s="32"/>
      <c r="O106" s="32"/>
      <c r="P106" s="32"/>
      <c r="Q106" s="32"/>
      <c r="R106" s="32"/>
      <c r="S106" s="32"/>
      <c r="T106" s="24"/>
      <c r="U106" s="32"/>
      <c r="V106" s="24"/>
      <c r="W106" s="103"/>
      <c r="X106" s="103"/>
      <c r="Y106" s="104" t="str">
        <f t="shared" si="5"/>
        <v/>
      </c>
      <c r="Z106" s="32"/>
      <c r="AA106" s="32"/>
      <c r="AB106" s="32"/>
      <c r="AC106" s="32"/>
      <c r="AD106" s="32"/>
      <c r="AE106" s="38"/>
      <c r="AF106" s="38"/>
      <c r="AG106" s="32"/>
      <c r="AH106" s="32"/>
      <c r="AI106" s="32"/>
    </row>
    <row r="107" ht="16.5" customHeight="1">
      <c r="A107" s="1"/>
      <c r="B107" s="32"/>
      <c r="C107" s="32"/>
      <c r="D107" s="32"/>
      <c r="E107" s="32"/>
      <c r="F107" s="32"/>
      <c r="G107" s="32"/>
      <c r="H107" s="32"/>
      <c r="I107" s="103"/>
      <c r="J107" s="103"/>
      <c r="K107" s="104" t="str">
        <f t="shared" si="4"/>
        <v/>
      </c>
      <c r="L107" s="32"/>
      <c r="M107" s="32"/>
      <c r="N107" s="32"/>
      <c r="O107" s="32"/>
      <c r="P107" s="32"/>
      <c r="Q107" s="32"/>
      <c r="R107" s="32"/>
      <c r="S107" s="32"/>
      <c r="T107" s="24"/>
      <c r="U107" s="32"/>
      <c r="V107" s="24"/>
      <c r="W107" s="103"/>
      <c r="X107" s="103"/>
      <c r="Y107" s="104" t="str">
        <f t="shared" si="5"/>
        <v/>
      </c>
      <c r="Z107" s="32"/>
      <c r="AA107" s="32"/>
      <c r="AB107" s="32"/>
      <c r="AC107" s="32"/>
      <c r="AD107" s="32"/>
      <c r="AE107" s="38"/>
      <c r="AF107" s="38"/>
      <c r="AG107" s="32"/>
      <c r="AH107" s="32"/>
      <c r="AI107" s="32"/>
    </row>
    <row r="108" ht="16.5" customHeight="1">
      <c r="A108" s="1"/>
      <c r="B108" s="32"/>
      <c r="C108" s="32"/>
      <c r="D108" s="32"/>
      <c r="E108" s="32"/>
      <c r="F108" s="32"/>
      <c r="G108" s="32"/>
      <c r="H108" s="32"/>
      <c r="I108" s="103"/>
      <c r="J108" s="103"/>
      <c r="K108" s="104" t="str">
        <f t="shared" si="4"/>
        <v/>
      </c>
      <c r="L108" s="32"/>
      <c r="M108" s="32"/>
      <c r="N108" s="32"/>
      <c r="O108" s="32"/>
      <c r="P108" s="32"/>
      <c r="Q108" s="32"/>
      <c r="R108" s="32"/>
      <c r="S108" s="32"/>
      <c r="T108" s="24"/>
      <c r="U108" s="32"/>
      <c r="V108" s="24"/>
      <c r="W108" s="103"/>
      <c r="X108" s="103"/>
      <c r="Y108" s="104" t="str">
        <f t="shared" si="5"/>
        <v/>
      </c>
      <c r="Z108" s="32"/>
      <c r="AA108" s="32"/>
      <c r="AB108" s="32"/>
      <c r="AC108" s="32"/>
      <c r="AD108" s="32"/>
      <c r="AE108" s="38"/>
      <c r="AF108" s="38"/>
      <c r="AG108" s="32"/>
      <c r="AH108" s="32"/>
      <c r="AI108" s="32"/>
    </row>
    <row r="109" ht="16.5" customHeight="1">
      <c r="A109" s="1"/>
      <c r="B109" s="32"/>
      <c r="C109" s="32"/>
      <c r="D109" s="32"/>
      <c r="E109" s="32"/>
      <c r="F109" s="32"/>
      <c r="G109" s="32"/>
      <c r="H109" s="32"/>
      <c r="I109" s="103"/>
      <c r="J109" s="103"/>
      <c r="K109" s="104" t="str">
        <f t="shared" si="4"/>
        <v/>
      </c>
      <c r="L109" s="32"/>
      <c r="M109" s="32"/>
      <c r="N109" s="32"/>
      <c r="O109" s="32"/>
      <c r="P109" s="32"/>
      <c r="Q109" s="32"/>
      <c r="R109" s="32"/>
      <c r="S109" s="32"/>
      <c r="T109" s="24"/>
      <c r="U109" s="32"/>
      <c r="V109" s="24"/>
      <c r="W109" s="103"/>
      <c r="X109" s="103"/>
      <c r="Y109" s="104" t="str">
        <f t="shared" si="5"/>
        <v/>
      </c>
      <c r="Z109" s="32"/>
      <c r="AA109" s="32"/>
      <c r="AB109" s="32"/>
      <c r="AC109" s="32"/>
      <c r="AD109" s="32"/>
      <c r="AE109" s="38"/>
      <c r="AF109" s="38"/>
      <c r="AG109" s="32"/>
      <c r="AH109" s="32"/>
      <c r="AI109" s="32"/>
    </row>
    <row r="110" ht="16.5" customHeight="1">
      <c r="A110" s="1"/>
      <c r="B110" s="32"/>
      <c r="C110" s="32"/>
      <c r="D110" s="32"/>
      <c r="E110" s="32"/>
      <c r="F110" s="32"/>
      <c r="G110" s="32"/>
      <c r="H110" s="32"/>
      <c r="I110" s="103"/>
      <c r="J110" s="103"/>
      <c r="K110" s="104" t="str">
        <f t="shared" si="4"/>
        <v/>
      </c>
      <c r="L110" s="32"/>
      <c r="M110" s="32"/>
      <c r="N110" s="32"/>
      <c r="O110" s="32"/>
      <c r="P110" s="32"/>
      <c r="Q110" s="32"/>
      <c r="R110" s="32"/>
      <c r="S110" s="32"/>
      <c r="T110" s="24"/>
      <c r="U110" s="32"/>
      <c r="V110" s="24"/>
      <c r="W110" s="103"/>
      <c r="X110" s="103"/>
      <c r="Y110" s="104" t="str">
        <f t="shared" si="5"/>
        <v/>
      </c>
      <c r="Z110" s="32"/>
      <c r="AA110" s="32"/>
      <c r="AB110" s="32"/>
      <c r="AC110" s="32"/>
      <c r="AD110" s="32"/>
      <c r="AE110" s="38"/>
      <c r="AF110" s="38"/>
      <c r="AG110" s="32"/>
      <c r="AH110" s="32"/>
      <c r="AI110" s="32"/>
    </row>
    <row r="111" ht="16.5" customHeight="1">
      <c r="A111" s="1"/>
      <c r="B111" s="32"/>
      <c r="C111" s="32"/>
      <c r="D111" s="32"/>
      <c r="E111" s="32"/>
      <c r="F111" s="32"/>
      <c r="G111" s="32"/>
      <c r="H111" s="32"/>
      <c r="I111" s="103"/>
      <c r="J111" s="103"/>
      <c r="K111" s="104" t="str">
        <f t="shared" si="4"/>
        <v/>
      </c>
      <c r="L111" s="32"/>
      <c r="M111" s="32"/>
      <c r="N111" s="32"/>
      <c r="O111" s="32"/>
      <c r="P111" s="32"/>
      <c r="Q111" s="32"/>
      <c r="R111" s="32"/>
      <c r="S111" s="32"/>
      <c r="T111" s="24"/>
      <c r="U111" s="32"/>
      <c r="V111" s="24"/>
      <c r="W111" s="103"/>
      <c r="X111" s="103"/>
      <c r="Y111" s="104" t="str">
        <f t="shared" si="5"/>
        <v/>
      </c>
      <c r="Z111" s="32"/>
      <c r="AA111" s="32"/>
      <c r="AB111" s="32"/>
      <c r="AC111" s="32"/>
      <c r="AD111" s="32"/>
      <c r="AE111" s="38"/>
      <c r="AF111" s="38"/>
      <c r="AG111" s="32"/>
      <c r="AH111" s="32"/>
      <c r="AI111" s="32"/>
    </row>
    <row r="112" ht="16.5" customHeight="1">
      <c r="A112" s="1"/>
      <c r="B112" s="32"/>
      <c r="C112" s="32"/>
      <c r="D112" s="32"/>
      <c r="E112" s="32"/>
      <c r="F112" s="32"/>
      <c r="G112" s="32"/>
      <c r="H112" s="32"/>
      <c r="I112" s="103"/>
      <c r="J112" s="103"/>
      <c r="K112" s="104" t="str">
        <f t="shared" si="4"/>
        <v/>
      </c>
      <c r="L112" s="32"/>
      <c r="M112" s="32"/>
      <c r="N112" s="32"/>
      <c r="O112" s="32"/>
      <c r="P112" s="32"/>
      <c r="Q112" s="32"/>
      <c r="R112" s="32"/>
      <c r="S112" s="32"/>
      <c r="T112" s="24"/>
      <c r="U112" s="32"/>
      <c r="V112" s="24"/>
      <c r="W112" s="103"/>
      <c r="X112" s="103"/>
      <c r="Y112" s="104" t="str">
        <f t="shared" si="5"/>
        <v/>
      </c>
      <c r="Z112" s="32"/>
      <c r="AA112" s="32"/>
      <c r="AB112" s="32"/>
      <c r="AC112" s="32"/>
      <c r="AD112" s="32"/>
      <c r="AE112" s="38"/>
      <c r="AF112" s="38"/>
      <c r="AG112" s="32"/>
      <c r="AH112" s="32"/>
      <c r="AI112" s="32"/>
    </row>
    <row r="113" ht="16.5" customHeight="1">
      <c r="A113" s="1"/>
      <c r="B113" s="32"/>
      <c r="C113" s="32"/>
      <c r="D113" s="32"/>
      <c r="E113" s="32"/>
      <c r="F113" s="32"/>
      <c r="G113" s="32"/>
      <c r="H113" s="32"/>
      <c r="I113" s="103"/>
      <c r="J113" s="103"/>
      <c r="K113" s="104" t="str">
        <f t="shared" si="4"/>
        <v/>
      </c>
      <c r="L113" s="32"/>
      <c r="M113" s="32"/>
      <c r="N113" s="32"/>
      <c r="O113" s="32"/>
      <c r="P113" s="32"/>
      <c r="Q113" s="32"/>
      <c r="R113" s="32"/>
      <c r="S113" s="32"/>
      <c r="T113" s="24"/>
      <c r="U113" s="32"/>
      <c r="V113" s="24"/>
      <c r="W113" s="103"/>
      <c r="X113" s="103"/>
      <c r="Y113" s="104" t="str">
        <f t="shared" si="5"/>
        <v/>
      </c>
      <c r="Z113" s="32"/>
      <c r="AA113" s="32"/>
      <c r="AB113" s="32"/>
      <c r="AC113" s="32"/>
      <c r="AD113" s="32"/>
      <c r="AE113" s="38"/>
      <c r="AF113" s="38"/>
      <c r="AG113" s="32"/>
      <c r="AH113" s="32"/>
      <c r="AI113" s="32"/>
    </row>
    <row r="114" ht="16.5" customHeight="1">
      <c r="A114" s="1"/>
      <c r="B114" s="32"/>
      <c r="C114" s="32"/>
      <c r="D114" s="32"/>
      <c r="E114" s="32"/>
      <c r="F114" s="32"/>
      <c r="G114" s="32"/>
      <c r="H114" s="32"/>
      <c r="I114" s="103"/>
      <c r="J114" s="103"/>
      <c r="K114" s="104" t="str">
        <f t="shared" si="4"/>
        <v/>
      </c>
      <c r="L114" s="32"/>
      <c r="M114" s="32"/>
      <c r="N114" s="32"/>
      <c r="O114" s="32"/>
      <c r="P114" s="32"/>
      <c r="Q114" s="32"/>
      <c r="R114" s="32"/>
      <c r="S114" s="32"/>
      <c r="T114" s="24"/>
      <c r="U114" s="32"/>
      <c r="V114" s="24"/>
      <c r="W114" s="103"/>
      <c r="X114" s="103"/>
      <c r="Y114" s="104" t="str">
        <f t="shared" si="5"/>
        <v/>
      </c>
      <c r="Z114" s="32"/>
      <c r="AA114" s="32"/>
      <c r="AB114" s="32"/>
      <c r="AC114" s="32"/>
      <c r="AD114" s="32"/>
      <c r="AE114" s="38"/>
      <c r="AF114" s="38"/>
      <c r="AG114" s="32"/>
      <c r="AH114" s="32"/>
      <c r="AI114" s="32"/>
    </row>
    <row r="115" ht="16.5" customHeight="1">
      <c r="A115" s="1"/>
      <c r="B115" s="32"/>
      <c r="C115" s="32"/>
      <c r="D115" s="32"/>
      <c r="E115" s="32"/>
      <c r="F115" s="32"/>
      <c r="G115" s="32"/>
      <c r="H115" s="32"/>
      <c r="I115" s="103"/>
      <c r="J115" s="103"/>
      <c r="K115" s="104" t="str">
        <f t="shared" si="4"/>
        <v/>
      </c>
      <c r="L115" s="32"/>
      <c r="M115" s="32"/>
      <c r="N115" s="32"/>
      <c r="O115" s="32"/>
      <c r="P115" s="32"/>
      <c r="Q115" s="32"/>
      <c r="R115" s="32"/>
      <c r="S115" s="32"/>
      <c r="T115" s="24"/>
      <c r="U115" s="32"/>
      <c r="V115" s="24"/>
      <c r="W115" s="103"/>
      <c r="X115" s="103"/>
      <c r="Y115" s="104" t="str">
        <f t="shared" si="5"/>
        <v/>
      </c>
      <c r="Z115" s="32"/>
      <c r="AA115" s="32"/>
      <c r="AB115" s="32"/>
      <c r="AC115" s="32"/>
      <c r="AD115" s="32"/>
      <c r="AE115" s="38"/>
      <c r="AF115" s="38"/>
      <c r="AG115" s="32"/>
      <c r="AH115" s="32"/>
      <c r="AI115" s="32"/>
    </row>
    <row r="116" ht="16.5" customHeight="1">
      <c r="A116" s="1"/>
      <c r="B116" s="32"/>
      <c r="C116" s="32"/>
      <c r="D116" s="32"/>
      <c r="E116" s="32"/>
      <c r="F116" s="32"/>
      <c r="G116" s="32"/>
      <c r="H116" s="32"/>
      <c r="I116" s="103"/>
      <c r="J116" s="103"/>
      <c r="K116" s="104" t="str">
        <f t="shared" si="4"/>
        <v/>
      </c>
      <c r="L116" s="32"/>
      <c r="M116" s="32"/>
      <c r="N116" s="32"/>
      <c r="O116" s="32"/>
      <c r="P116" s="32"/>
      <c r="Q116" s="32"/>
      <c r="R116" s="32"/>
      <c r="S116" s="32"/>
      <c r="T116" s="24"/>
      <c r="U116" s="32"/>
      <c r="V116" s="24"/>
      <c r="W116" s="103"/>
      <c r="X116" s="103"/>
      <c r="Y116" s="104" t="str">
        <f t="shared" si="5"/>
        <v/>
      </c>
      <c r="Z116" s="32"/>
      <c r="AA116" s="32"/>
      <c r="AB116" s="32"/>
      <c r="AC116" s="32"/>
      <c r="AD116" s="32"/>
      <c r="AE116" s="38"/>
      <c r="AF116" s="38"/>
      <c r="AG116" s="32"/>
      <c r="AH116" s="32"/>
      <c r="AI116" s="32"/>
    </row>
    <row r="117" ht="16.5" customHeight="1">
      <c r="A117" s="1"/>
      <c r="B117" s="32"/>
      <c r="C117" s="32"/>
      <c r="D117" s="32"/>
      <c r="E117" s="32"/>
      <c r="F117" s="32"/>
      <c r="G117" s="32"/>
      <c r="H117" s="32"/>
      <c r="I117" s="103"/>
      <c r="J117" s="103"/>
      <c r="K117" s="104" t="str">
        <f t="shared" si="4"/>
        <v/>
      </c>
      <c r="L117" s="32"/>
      <c r="M117" s="32"/>
      <c r="N117" s="32"/>
      <c r="O117" s="32"/>
      <c r="P117" s="32"/>
      <c r="Q117" s="32"/>
      <c r="R117" s="32"/>
      <c r="S117" s="32"/>
      <c r="T117" s="24"/>
      <c r="U117" s="32"/>
      <c r="V117" s="24"/>
      <c r="W117" s="103"/>
      <c r="X117" s="103"/>
      <c r="Y117" s="104" t="str">
        <f t="shared" si="5"/>
        <v/>
      </c>
      <c r="Z117" s="32"/>
      <c r="AA117" s="32"/>
      <c r="AB117" s="32"/>
      <c r="AC117" s="32"/>
      <c r="AD117" s="32"/>
      <c r="AE117" s="38"/>
      <c r="AF117" s="38"/>
      <c r="AG117" s="32"/>
      <c r="AH117" s="32"/>
      <c r="AI117" s="32"/>
    </row>
    <row r="118" ht="16.5" customHeight="1">
      <c r="A118" s="1"/>
      <c r="B118" s="32"/>
      <c r="C118" s="32"/>
      <c r="D118" s="32"/>
      <c r="E118" s="32"/>
      <c r="F118" s="32"/>
      <c r="G118" s="32"/>
      <c r="H118" s="32"/>
      <c r="I118" s="103"/>
      <c r="J118" s="103"/>
      <c r="K118" s="104" t="str">
        <f t="shared" si="4"/>
        <v/>
      </c>
      <c r="L118" s="32"/>
      <c r="M118" s="32"/>
      <c r="N118" s="32"/>
      <c r="O118" s="32"/>
      <c r="P118" s="32"/>
      <c r="Q118" s="32"/>
      <c r="R118" s="32"/>
      <c r="S118" s="32"/>
      <c r="T118" s="24"/>
      <c r="U118" s="32"/>
      <c r="V118" s="24"/>
      <c r="W118" s="103"/>
      <c r="X118" s="103"/>
      <c r="Y118" s="104" t="str">
        <f t="shared" si="5"/>
        <v/>
      </c>
      <c r="Z118" s="32"/>
      <c r="AA118" s="32"/>
      <c r="AB118" s="32"/>
      <c r="AC118" s="32"/>
      <c r="AD118" s="32"/>
      <c r="AE118" s="38"/>
      <c r="AF118" s="38"/>
      <c r="AG118" s="32"/>
      <c r="AH118" s="32"/>
      <c r="AI118" s="32"/>
    </row>
    <row r="119" ht="16.5" customHeight="1">
      <c r="A119" s="1"/>
      <c r="B119" s="32"/>
      <c r="C119" s="32"/>
      <c r="D119" s="32"/>
      <c r="E119" s="32"/>
      <c r="F119" s="32"/>
      <c r="G119" s="32"/>
      <c r="H119" s="32"/>
      <c r="I119" s="103"/>
      <c r="J119" s="103"/>
      <c r="K119" s="104" t="str">
        <f t="shared" si="4"/>
        <v/>
      </c>
      <c r="L119" s="32"/>
      <c r="M119" s="32"/>
      <c r="N119" s="32"/>
      <c r="O119" s="32"/>
      <c r="P119" s="32"/>
      <c r="Q119" s="32"/>
      <c r="R119" s="32"/>
      <c r="S119" s="32"/>
      <c r="T119" s="24"/>
      <c r="U119" s="32"/>
      <c r="V119" s="24"/>
      <c r="W119" s="103"/>
      <c r="X119" s="103"/>
      <c r="Y119" s="104" t="str">
        <f t="shared" si="5"/>
        <v/>
      </c>
      <c r="Z119" s="32"/>
      <c r="AA119" s="32"/>
      <c r="AB119" s="32"/>
      <c r="AC119" s="32"/>
      <c r="AD119" s="32"/>
      <c r="AE119" s="38"/>
      <c r="AF119" s="38"/>
      <c r="AG119" s="32"/>
      <c r="AH119" s="32"/>
      <c r="AI119" s="32"/>
    </row>
    <row r="120" ht="16.5" customHeight="1">
      <c r="A120" s="1"/>
      <c r="B120" s="32"/>
      <c r="C120" s="32"/>
      <c r="D120" s="32"/>
      <c r="E120" s="32"/>
      <c r="F120" s="32"/>
      <c r="G120" s="32"/>
      <c r="H120" s="32"/>
      <c r="I120" s="103"/>
      <c r="J120" s="103"/>
      <c r="K120" s="104" t="str">
        <f t="shared" si="4"/>
        <v/>
      </c>
      <c r="L120" s="32"/>
      <c r="M120" s="32"/>
      <c r="N120" s="32"/>
      <c r="O120" s="32"/>
      <c r="P120" s="32"/>
      <c r="Q120" s="32"/>
      <c r="R120" s="32"/>
      <c r="S120" s="32"/>
      <c r="T120" s="24"/>
      <c r="U120" s="32"/>
      <c r="V120" s="24"/>
      <c r="W120" s="103"/>
      <c r="X120" s="103"/>
      <c r="Y120" s="104" t="str">
        <f t="shared" si="5"/>
        <v/>
      </c>
      <c r="Z120" s="32"/>
      <c r="AA120" s="32"/>
      <c r="AB120" s="32"/>
      <c r="AC120" s="32"/>
      <c r="AD120" s="32"/>
      <c r="AE120" s="38"/>
      <c r="AF120" s="38"/>
      <c r="AG120" s="32"/>
      <c r="AH120" s="32"/>
      <c r="AI120" s="32"/>
    </row>
    <row r="121" ht="16.5" customHeight="1">
      <c r="A121" s="1"/>
      <c r="B121" s="32"/>
      <c r="C121" s="32"/>
      <c r="D121" s="32"/>
      <c r="E121" s="32"/>
      <c r="F121" s="32"/>
      <c r="G121" s="32"/>
      <c r="H121" s="32"/>
      <c r="I121" s="103"/>
      <c r="J121" s="103"/>
      <c r="K121" s="104" t="str">
        <f t="shared" si="4"/>
        <v/>
      </c>
      <c r="L121" s="32"/>
      <c r="M121" s="32"/>
      <c r="N121" s="32"/>
      <c r="O121" s="32"/>
      <c r="P121" s="32"/>
      <c r="Q121" s="32"/>
      <c r="R121" s="32"/>
      <c r="S121" s="32"/>
      <c r="T121" s="24"/>
      <c r="U121" s="32"/>
      <c r="V121" s="24"/>
      <c r="W121" s="103"/>
      <c r="X121" s="103"/>
      <c r="Y121" s="104" t="str">
        <f t="shared" si="5"/>
        <v/>
      </c>
      <c r="Z121" s="32"/>
      <c r="AA121" s="32"/>
      <c r="AB121" s="32"/>
      <c r="AC121" s="32"/>
      <c r="AD121" s="32"/>
      <c r="AE121" s="38"/>
      <c r="AF121" s="38"/>
      <c r="AG121" s="32"/>
      <c r="AH121" s="32"/>
      <c r="AI121" s="32"/>
    </row>
    <row r="122" ht="16.5" customHeight="1">
      <c r="A122" s="1"/>
      <c r="B122" s="32"/>
      <c r="C122" s="32"/>
      <c r="D122" s="32"/>
      <c r="E122" s="32"/>
      <c r="F122" s="32"/>
      <c r="G122" s="32"/>
      <c r="H122" s="32"/>
      <c r="I122" s="103"/>
      <c r="J122" s="103"/>
      <c r="K122" s="104" t="str">
        <f t="shared" si="4"/>
        <v/>
      </c>
      <c r="L122" s="32"/>
      <c r="M122" s="32"/>
      <c r="N122" s="32"/>
      <c r="O122" s="32"/>
      <c r="P122" s="32"/>
      <c r="Q122" s="32"/>
      <c r="R122" s="32"/>
      <c r="S122" s="32"/>
      <c r="T122" s="24"/>
      <c r="U122" s="32"/>
      <c r="V122" s="24"/>
      <c r="W122" s="103"/>
      <c r="X122" s="103"/>
      <c r="Y122" s="104" t="str">
        <f t="shared" si="5"/>
        <v/>
      </c>
      <c r="Z122" s="32"/>
      <c r="AA122" s="32"/>
      <c r="AB122" s="32"/>
      <c r="AC122" s="32"/>
      <c r="AD122" s="32"/>
      <c r="AE122" s="38"/>
      <c r="AF122" s="38"/>
      <c r="AG122" s="32"/>
      <c r="AH122" s="32"/>
      <c r="AI122" s="32"/>
    </row>
    <row r="123" ht="16.5" customHeight="1">
      <c r="A123" s="1"/>
      <c r="B123" s="32"/>
      <c r="C123" s="32"/>
      <c r="D123" s="32"/>
      <c r="E123" s="32"/>
      <c r="F123" s="32"/>
      <c r="G123" s="32"/>
      <c r="H123" s="32"/>
      <c r="I123" s="103"/>
      <c r="J123" s="103"/>
      <c r="K123" s="104" t="str">
        <f t="shared" si="4"/>
        <v/>
      </c>
      <c r="L123" s="32"/>
      <c r="M123" s="32"/>
      <c r="N123" s="32"/>
      <c r="O123" s="32"/>
      <c r="P123" s="32"/>
      <c r="Q123" s="32"/>
      <c r="R123" s="32"/>
      <c r="S123" s="32"/>
      <c r="T123" s="24"/>
      <c r="U123" s="32"/>
      <c r="V123" s="24"/>
      <c r="W123" s="103"/>
      <c r="X123" s="103"/>
      <c r="Y123" s="104" t="str">
        <f t="shared" si="5"/>
        <v/>
      </c>
      <c r="Z123" s="32"/>
      <c r="AA123" s="32"/>
      <c r="AB123" s="32"/>
      <c r="AC123" s="32"/>
      <c r="AD123" s="32"/>
      <c r="AE123" s="38"/>
      <c r="AF123" s="38"/>
      <c r="AG123" s="32"/>
      <c r="AH123" s="32"/>
      <c r="AI123" s="32"/>
    </row>
    <row r="124" ht="16.5" customHeight="1">
      <c r="A124" s="1"/>
      <c r="B124" s="32"/>
      <c r="C124" s="32"/>
      <c r="D124" s="32"/>
      <c r="E124" s="32"/>
      <c r="F124" s="32"/>
      <c r="G124" s="32"/>
      <c r="H124" s="32"/>
      <c r="I124" s="103"/>
      <c r="J124" s="103"/>
      <c r="K124" s="104" t="str">
        <f t="shared" si="4"/>
        <v/>
      </c>
      <c r="L124" s="32"/>
      <c r="M124" s="32"/>
      <c r="N124" s="32"/>
      <c r="O124" s="32"/>
      <c r="P124" s="32"/>
      <c r="Q124" s="32"/>
      <c r="R124" s="32"/>
      <c r="S124" s="32"/>
      <c r="T124" s="24"/>
      <c r="U124" s="32"/>
      <c r="V124" s="24"/>
      <c r="W124" s="103"/>
      <c r="X124" s="103"/>
      <c r="Y124" s="104" t="str">
        <f t="shared" si="5"/>
        <v/>
      </c>
      <c r="Z124" s="32"/>
      <c r="AA124" s="32"/>
      <c r="AB124" s="32"/>
      <c r="AC124" s="32"/>
      <c r="AD124" s="32"/>
      <c r="AE124" s="38"/>
      <c r="AF124" s="38"/>
      <c r="AG124" s="32"/>
      <c r="AH124" s="32"/>
      <c r="AI124" s="32"/>
    </row>
    <row r="125" ht="16.5" customHeight="1">
      <c r="A125" s="1"/>
      <c r="B125" s="32"/>
      <c r="C125" s="32"/>
      <c r="D125" s="32"/>
      <c r="E125" s="32"/>
      <c r="F125" s="32"/>
      <c r="G125" s="32"/>
      <c r="H125" s="32"/>
      <c r="I125" s="103"/>
      <c r="J125" s="103"/>
      <c r="K125" s="104" t="str">
        <f t="shared" si="4"/>
        <v/>
      </c>
      <c r="L125" s="32"/>
      <c r="M125" s="32"/>
      <c r="N125" s="32"/>
      <c r="O125" s="32"/>
      <c r="P125" s="32"/>
      <c r="Q125" s="32"/>
      <c r="R125" s="32"/>
      <c r="S125" s="32"/>
      <c r="T125" s="24"/>
      <c r="U125" s="32"/>
      <c r="V125" s="24"/>
      <c r="W125" s="103"/>
      <c r="X125" s="103"/>
      <c r="Y125" s="104" t="str">
        <f t="shared" si="5"/>
        <v/>
      </c>
      <c r="Z125" s="32"/>
      <c r="AA125" s="32"/>
      <c r="AB125" s="32"/>
      <c r="AC125" s="32"/>
      <c r="AD125" s="32"/>
      <c r="AE125" s="38"/>
      <c r="AF125" s="38"/>
      <c r="AG125" s="32"/>
      <c r="AH125" s="32"/>
      <c r="AI125" s="32"/>
    </row>
    <row r="126" ht="16.5" customHeight="1">
      <c r="A126" s="1"/>
      <c r="B126" s="32"/>
      <c r="C126" s="32"/>
      <c r="D126" s="32"/>
      <c r="E126" s="32"/>
      <c r="F126" s="32"/>
      <c r="G126" s="32"/>
      <c r="H126" s="32"/>
      <c r="I126" s="103"/>
      <c r="J126" s="103"/>
      <c r="K126" s="104" t="str">
        <f t="shared" si="4"/>
        <v/>
      </c>
      <c r="L126" s="32"/>
      <c r="M126" s="32"/>
      <c r="N126" s="32"/>
      <c r="O126" s="32"/>
      <c r="P126" s="32"/>
      <c r="Q126" s="32"/>
      <c r="R126" s="32"/>
      <c r="S126" s="32"/>
      <c r="T126" s="24"/>
      <c r="U126" s="32"/>
      <c r="V126" s="24"/>
      <c r="W126" s="103"/>
      <c r="X126" s="103"/>
      <c r="Y126" s="104" t="str">
        <f t="shared" si="5"/>
        <v/>
      </c>
      <c r="Z126" s="32"/>
      <c r="AA126" s="32"/>
      <c r="AB126" s="32"/>
      <c r="AC126" s="32"/>
      <c r="AD126" s="32"/>
      <c r="AE126" s="38"/>
      <c r="AF126" s="38"/>
      <c r="AG126" s="32"/>
      <c r="AH126" s="32"/>
      <c r="AI126" s="32"/>
    </row>
    <row r="127" ht="16.5" customHeight="1">
      <c r="A127" s="1"/>
      <c r="B127" s="32"/>
      <c r="C127" s="32"/>
      <c r="D127" s="32"/>
      <c r="E127" s="32"/>
      <c r="F127" s="32"/>
      <c r="G127" s="32"/>
      <c r="H127" s="32"/>
      <c r="I127" s="103"/>
      <c r="J127" s="103"/>
      <c r="K127" s="104" t="str">
        <f t="shared" si="4"/>
        <v/>
      </c>
      <c r="L127" s="32"/>
      <c r="M127" s="32"/>
      <c r="N127" s="32"/>
      <c r="O127" s="32"/>
      <c r="P127" s="32"/>
      <c r="Q127" s="32"/>
      <c r="R127" s="32"/>
      <c r="S127" s="32"/>
      <c r="T127" s="24"/>
      <c r="U127" s="32"/>
      <c r="V127" s="24"/>
      <c r="W127" s="103"/>
      <c r="X127" s="103"/>
      <c r="Y127" s="104" t="str">
        <f t="shared" si="5"/>
        <v/>
      </c>
      <c r="Z127" s="32"/>
      <c r="AA127" s="32"/>
      <c r="AB127" s="32"/>
      <c r="AC127" s="32"/>
      <c r="AD127" s="32"/>
      <c r="AE127" s="38"/>
      <c r="AF127" s="38"/>
      <c r="AG127" s="32"/>
      <c r="AH127" s="32"/>
      <c r="AI127" s="32"/>
    </row>
    <row r="128" ht="16.5" customHeight="1">
      <c r="A128" s="1"/>
      <c r="B128" s="32"/>
      <c r="C128" s="32"/>
      <c r="D128" s="32"/>
      <c r="E128" s="32"/>
      <c r="F128" s="32"/>
      <c r="G128" s="32"/>
      <c r="H128" s="32"/>
      <c r="I128" s="103"/>
      <c r="J128" s="103"/>
      <c r="K128" s="104" t="str">
        <f t="shared" si="4"/>
        <v/>
      </c>
      <c r="L128" s="32"/>
      <c r="M128" s="32"/>
      <c r="N128" s="32"/>
      <c r="O128" s="32"/>
      <c r="P128" s="32"/>
      <c r="Q128" s="32"/>
      <c r="R128" s="32"/>
      <c r="S128" s="32"/>
      <c r="T128" s="24"/>
      <c r="U128" s="32"/>
      <c r="V128" s="24"/>
      <c r="W128" s="103"/>
      <c r="X128" s="103"/>
      <c r="Y128" s="104" t="str">
        <f t="shared" si="5"/>
        <v/>
      </c>
      <c r="Z128" s="32"/>
      <c r="AA128" s="32"/>
      <c r="AB128" s="32"/>
      <c r="AC128" s="32"/>
      <c r="AD128" s="32"/>
      <c r="AE128" s="38"/>
      <c r="AF128" s="38"/>
      <c r="AG128" s="32"/>
      <c r="AH128" s="32"/>
      <c r="AI128" s="32"/>
    </row>
    <row r="129" ht="16.5" customHeight="1">
      <c r="A129" s="1"/>
      <c r="B129" s="32"/>
      <c r="C129" s="32"/>
      <c r="D129" s="32"/>
      <c r="E129" s="32"/>
      <c r="F129" s="32"/>
      <c r="G129" s="32"/>
      <c r="H129" s="32"/>
      <c r="I129" s="103"/>
      <c r="J129" s="103"/>
      <c r="K129" s="104" t="str">
        <f t="shared" si="4"/>
        <v/>
      </c>
      <c r="L129" s="32"/>
      <c r="M129" s="32"/>
      <c r="N129" s="32"/>
      <c r="O129" s="32"/>
      <c r="P129" s="32"/>
      <c r="Q129" s="32"/>
      <c r="R129" s="32"/>
      <c r="S129" s="32"/>
      <c r="T129" s="24"/>
      <c r="U129" s="32"/>
      <c r="V129" s="24"/>
      <c r="W129" s="103"/>
      <c r="X129" s="103"/>
      <c r="Y129" s="104" t="str">
        <f t="shared" si="5"/>
        <v/>
      </c>
      <c r="Z129" s="32"/>
      <c r="AA129" s="32"/>
      <c r="AB129" s="32"/>
      <c r="AC129" s="32"/>
      <c r="AD129" s="32"/>
      <c r="AE129" s="38"/>
      <c r="AF129" s="38"/>
      <c r="AG129" s="32"/>
      <c r="AH129" s="32"/>
      <c r="AI129" s="32"/>
    </row>
    <row r="130" ht="16.5" customHeight="1">
      <c r="A130" s="1"/>
      <c r="B130" s="32"/>
      <c r="C130" s="32"/>
      <c r="D130" s="32"/>
      <c r="E130" s="32"/>
      <c r="F130" s="32"/>
      <c r="G130" s="32"/>
      <c r="H130" s="32"/>
      <c r="I130" s="103"/>
      <c r="J130" s="103"/>
      <c r="K130" s="104" t="str">
        <f t="shared" si="4"/>
        <v/>
      </c>
      <c r="L130" s="32"/>
      <c r="M130" s="32"/>
      <c r="N130" s="32"/>
      <c r="O130" s="32"/>
      <c r="P130" s="32"/>
      <c r="Q130" s="32"/>
      <c r="R130" s="32"/>
      <c r="S130" s="32"/>
      <c r="T130" s="24"/>
      <c r="U130" s="32"/>
      <c r="V130" s="24"/>
      <c r="W130" s="103"/>
      <c r="X130" s="103"/>
      <c r="Y130" s="104" t="str">
        <f t="shared" si="5"/>
        <v/>
      </c>
      <c r="Z130" s="32"/>
      <c r="AA130" s="32"/>
      <c r="AB130" s="32"/>
      <c r="AC130" s="32"/>
      <c r="AD130" s="32"/>
      <c r="AE130" s="38"/>
      <c r="AF130" s="38"/>
      <c r="AG130" s="32"/>
      <c r="AH130" s="32"/>
      <c r="AI130" s="32"/>
    </row>
    <row r="131" ht="16.5" customHeight="1">
      <c r="A131" s="1"/>
      <c r="B131" s="32"/>
      <c r="C131" s="32"/>
      <c r="D131" s="32"/>
      <c r="E131" s="32"/>
      <c r="F131" s="32"/>
      <c r="G131" s="32"/>
      <c r="H131" s="32"/>
      <c r="I131" s="103"/>
      <c r="J131" s="103"/>
      <c r="K131" s="104" t="str">
        <f t="shared" si="4"/>
        <v/>
      </c>
      <c r="L131" s="32"/>
      <c r="M131" s="32"/>
      <c r="N131" s="32"/>
      <c r="O131" s="32"/>
      <c r="P131" s="32"/>
      <c r="Q131" s="32"/>
      <c r="R131" s="32"/>
      <c r="S131" s="32"/>
      <c r="T131" s="24"/>
      <c r="U131" s="32"/>
      <c r="V131" s="24"/>
      <c r="W131" s="103"/>
      <c r="X131" s="103"/>
      <c r="Y131" s="104" t="str">
        <f t="shared" si="5"/>
        <v/>
      </c>
      <c r="Z131" s="32"/>
      <c r="AA131" s="32"/>
      <c r="AB131" s="32"/>
      <c r="AC131" s="32"/>
      <c r="AD131" s="32"/>
      <c r="AE131" s="38"/>
      <c r="AF131" s="38"/>
      <c r="AG131" s="32"/>
      <c r="AH131" s="32"/>
      <c r="AI131" s="32"/>
    </row>
    <row r="132" ht="16.5" customHeight="1">
      <c r="A132" s="1"/>
      <c r="B132" s="32"/>
      <c r="C132" s="32"/>
      <c r="D132" s="32"/>
      <c r="E132" s="32"/>
      <c r="F132" s="32"/>
      <c r="G132" s="32"/>
      <c r="H132" s="32"/>
      <c r="I132" s="103"/>
      <c r="J132" s="103"/>
      <c r="K132" s="104" t="str">
        <f t="shared" si="4"/>
        <v/>
      </c>
      <c r="L132" s="32"/>
      <c r="M132" s="32"/>
      <c r="N132" s="32"/>
      <c r="O132" s="32"/>
      <c r="P132" s="32"/>
      <c r="Q132" s="32"/>
      <c r="R132" s="32"/>
      <c r="S132" s="32"/>
      <c r="T132" s="24"/>
      <c r="U132" s="32"/>
      <c r="V132" s="24"/>
      <c r="W132" s="103"/>
      <c r="X132" s="103"/>
      <c r="Y132" s="104" t="str">
        <f t="shared" si="5"/>
        <v/>
      </c>
      <c r="Z132" s="32"/>
      <c r="AA132" s="32"/>
      <c r="AB132" s="32"/>
      <c r="AC132" s="32"/>
      <c r="AD132" s="32"/>
      <c r="AE132" s="38"/>
      <c r="AF132" s="38"/>
      <c r="AG132" s="32"/>
      <c r="AH132" s="32"/>
      <c r="AI132" s="32"/>
    </row>
    <row r="133" ht="16.5" customHeight="1">
      <c r="A133" s="1"/>
      <c r="B133" s="32"/>
      <c r="C133" s="32"/>
      <c r="D133" s="32"/>
      <c r="E133" s="32"/>
      <c r="F133" s="32"/>
      <c r="G133" s="32"/>
      <c r="H133" s="32"/>
      <c r="I133" s="103"/>
      <c r="J133" s="103"/>
      <c r="K133" s="104" t="str">
        <f t="shared" si="4"/>
        <v/>
      </c>
      <c r="L133" s="32"/>
      <c r="M133" s="32"/>
      <c r="N133" s="32"/>
      <c r="O133" s="32"/>
      <c r="P133" s="32"/>
      <c r="Q133" s="32"/>
      <c r="R133" s="32"/>
      <c r="S133" s="32"/>
      <c r="T133" s="24"/>
      <c r="U133" s="32"/>
      <c r="V133" s="24"/>
      <c r="W133" s="103"/>
      <c r="X133" s="103"/>
      <c r="Y133" s="104" t="str">
        <f t="shared" si="5"/>
        <v/>
      </c>
      <c r="Z133" s="32"/>
      <c r="AA133" s="32"/>
      <c r="AB133" s="32"/>
      <c r="AC133" s="32"/>
      <c r="AD133" s="32"/>
      <c r="AE133" s="38"/>
      <c r="AF133" s="38"/>
      <c r="AG133" s="32"/>
      <c r="AH133" s="32"/>
      <c r="AI133" s="32"/>
    </row>
    <row r="134" ht="16.5" customHeight="1">
      <c r="A134" s="1"/>
      <c r="B134" s="32"/>
      <c r="C134" s="32"/>
      <c r="D134" s="32"/>
      <c r="E134" s="32"/>
      <c r="F134" s="32"/>
      <c r="G134" s="32"/>
      <c r="H134" s="32"/>
      <c r="I134" s="103"/>
      <c r="J134" s="103"/>
      <c r="K134" s="104" t="str">
        <f t="shared" si="4"/>
        <v/>
      </c>
      <c r="L134" s="32"/>
      <c r="M134" s="32"/>
      <c r="N134" s="32"/>
      <c r="O134" s="32"/>
      <c r="P134" s="32"/>
      <c r="Q134" s="32"/>
      <c r="R134" s="32"/>
      <c r="S134" s="32"/>
      <c r="T134" s="24"/>
      <c r="U134" s="32"/>
      <c r="V134" s="24"/>
      <c r="W134" s="103"/>
      <c r="X134" s="103"/>
      <c r="Y134" s="104" t="str">
        <f t="shared" si="5"/>
        <v/>
      </c>
      <c r="Z134" s="32"/>
      <c r="AA134" s="32"/>
      <c r="AB134" s="32"/>
      <c r="AC134" s="32"/>
      <c r="AD134" s="32"/>
      <c r="AE134" s="38"/>
      <c r="AF134" s="38"/>
      <c r="AG134" s="32"/>
      <c r="AH134" s="32"/>
      <c r="AI134" s="32"/>
    </row>
    <row r="135" ht="16.5" customHeight="1">
      <c r="A135" s="1"/>
      <c r="B135" s="32"/>
      <c r="C135" s="32"/>
      <c r="D135" s="32"/>
      <c r="E135" s="32"/>
      <c r="F135" s="32"/>
      <c r="G135" s="32"/>
      <c r="H135" s="32"/>
      <c r="I135" s="103"/>
      <c r="J135" s="103"/>
      <c r="K135" s="104" t="str">
        <f t="shared" si="4"/>
        <v/>
      </c>
      <c r="L135" s="32"/>
      <c r="M135" s="32"/>
      <c r="N135" s="32"/>
      <c r="O135" s="32"/>
      <c r="P135" s="32"/>
      <c r="Q135" s="32"/>
      <c r="R135" s="32"/>
      <c r="S135" s="32"/>
      <c r="T135" s="24"/>
      <c r="U135" s="32"/>
      <c r="V135" s="24"/>
      <c r="W135" s="103"/>
      <c r="X135" s="103"/>
      <c r="Y135" s="104" t="str">
        <f t="shared" si="5"/>
        <v/>
      </c>
      <c r="Z135" s="32"/>
      <c r="AA135" s="32"/>
      <c r="AB135" s="32"/>
      <c r="AC135" s="32"/>
      <c r="AD135" s="32"/>
      <c r="AE135" s="38"/>
      <c r="AF135" s="38"/>
      <c r="AG135" s="32"/>
      <c r="AH135" s="32"/>
      <c r="AI135" s="32"/>
    </row>
    <row r="136" ht="16.5" customHeight="1">
      <c r="A136" s="1"/>
      <c r="B136" s="32"/>
      <c r="C136" s="32"/>
      <c r="D136" s="32"/>
      <c r="E136" s="32"/>
      <c r="F136" s="32"/>
      <c r="G136" s="32"/>
      <c r="H136" s="32"/>
      <c r="I136" s="103"/>
      <c r="J136" s="103"/>
      <c r="K136" s="104" t="str">
        <f t="shared" si="4"/>
        <v/>
      </c>
      <c r="L136" s="32"/>
      <c r="M136" s="32"/>
      <c r="N136" s="32"/>
      <c r="O136" s="32"/>
      <c r="P136" s="32"/>
      <c r="Q136" s="32"/>
      <c r="R136" s="32"/>
      <c r="S136" s="32"/>
      <c r="T136" s="24"/>
      <c r="U136" s="32"/>
      <c r="V136" s="24"/>
      <c r="W136" s="103"/>
      <c r="X136" s="103"/>
      <c r="Y136" s="104" t="str">
        <f t="shared" si="5"/>
        <v/>
      </c>
      <c r="Z136" s="32"/>
      <c r="AA136" s="32"/>
      <c r="AB136" s="32"/>
      <c r="AC136" s="32"/>
      <c r="AD136" s="32"/>
      <c r="AE136" s="38"/>
      <c r="AF136" s="38"/>
      <c r="AG136" s="32"/>
      <c r="AH136" s="32"/>
      <c r="AI136" s="32"/>
    </row>
    <row r="137" ht="16.5" customHeight="1">
      <c r="A137" s="1"/>
      <c r="B137" s="32"/>
      <c r="C137" s="32"/>
      <c r="D137" s="32"/>
      <c r="E137" s="32"/>
      <c r="F137" s="32"/>
      <c r="G137" s="32"/>
      <c r="H137" s="32"/>
      <c r="I137" s="103"/>
      <c r="J137" s="103"/>
      <c r="K137" s="104" t="str">
        <f t="shared" si="4"/>
        <v/>
      </c>
      <c r="L137" s="32"/>
      <c r="M137" s="32"/>
      <c r="N137" s="32"/>
      <c r="O137" s="32"/>
      <c r="P137" s="32"/>
      <c r="Q137" s="32"/>
      <c r="R137" s="32"/>
      <c r="S137" s="32"/>
      <c r="T137" s="24"/>
      <c r="U137" s="32"/>
      <c r="V137" s="24"/>
      <c r="W137" s="103"/>
      <c r="X137" s="103"/>
      <c r="Y137" s="104" t="str">
        <f t="shared" si="5"/>
        <v/>
      </c>
      <c r="Z137" s="32"/>
      <c r="AA137" s="32"/>
      <c r="AB137" s="32"/>
      <c r="AC137" s="32"/>
      <c r="AD137" s="32"/>
      <c r="AE137" s="38"/>
      <c r="AF137" s="38"/>
      <c r="AG137" s="32"/>
      <c r="AH137" s="32"/>
      <c r="AI137" s="32"/>
    </row>
    <row r="138" ht="16.5" customHeight="1">
      <c r="A138" s="1"/>
      <c r="B138" s="32"/>
      <c r="C138" s="32"/>
      <c r="D138" s="32"/>
      <c r="E138" s="32"/>
      <c r="F138" s="32"/>
      <c r="G138" s="32"/>
      <c r="H138" s="32"/>
      <c r="I138" s="103"/>
      <c r="J138" s="103"/>
      <c r="K138" s="104" t="str">
        <f t="shared" si="4"/>
        <v/>
      </c>
      <c r="L138" s="32"/>
      <c r="M138" s="32"/>
      <c r="N138" s="32"/>
      <c r="O138" s="32"/>
      <c r="P138" s="32"/>
      <c r="Q138" s="32"/>
      <c r="R138" s="32"/>
      <c r="S138" s="32"/>
      <c r="T138" s="24"/>
      <c r="U138" s="32"/>
      <c r="V138" s="24"/>
      <c r="W138" s="103"/>
      <c r="X138" s="103"/>
      <c r="Y138" s="104" t="str">
        <f t="shared" si="5"/>
        <v/>
      </c>
      <c r="Z138" s="32"/>
      <c r="AA138" s="32"/>
      <c r="AB138" s="32"/>
      <c r="AC138" s="32"/>
      <c r="AD138" s="32"/>
      <c r="AE138" s="38"/>
      <c r="AF138" s="38"/>
      <c r="AG138" s="32"/>
      <c r="AH138" s="32"/>
      <c r="AI138" s="32"/>
    </row>
    <row r="139" ht="16.5" customHeight="1">
      <c r="A139" s="1"/>
      <c r="B139" s="32"/>
      <c r="C139" s="32"/>
      <c r="D139" s="32"/>
      <c r="E139" s="32"/>
      <c r="F139" s="32"/>
      <c r="G139" s="32"/>
      <c r="H139" s="32"/>
      <c r="I139" s="103"/>
      <c r="J139" s="103"/>
      <c r="K139" s="104" t="str">
        <f t="shared" si="4"/>
        <v/>
      </c>
      <c r="L139" s="32"/>
      <c r="M139" s="32"/>
      <c r="N139" s="32"/>
      <c r="O139" s="32"/>
      <c r="P139" s="32"/>
      <c r="Q139" s="32"/>
      <c r="R139" s="32"/>
      <c r="S139" s="32"/>
      <c r="T139" s="24"/>
      <c r="U139" s="32"/>
      <c r="V139" s="24"/>
      <c r="W139" s="103"/>
      <c r="X139" s="103"/>
      <c r="Y139" s="104" t="str">
        <f t="shared" si="5"/>
        <v/>
      </c>
      <c r="Z139" s="32"/>
      <c r="AA139" s="32"/>
      <c r="AB139" s="32"/>
      <c r="AC139" s="32"/>
      <c r="AD139" s="32"/>
      <c r="AE139" s="38"/>
      <c r="AF139" s="38"/>
      <c r="AG139" s="32"/>
      <c r="AH139" s="32"/>
      <c r="AI139" s="32"/>
    </row>
    <row r="140" ht="16.5" customHeight="1">
      <c r="A140" s="1"/>
      <c r="B140" s="32"/>
      <c r="C140" s="32"/>
      <c r="D140" s="32"/>
      <c r="E140" s="32"/>
      <c r="F140" s="32"/>
      <c r="G140" s="32"/>
      <c r="H140" s="32"/>
      <c r="I140" s="103"/>
      <c r="J140" s="103"/>
      <c r="K140" s="104" t="str">
        <f t="shared" si="4"/>
        <v/>
      </c>
      <c r="L140" s="32"/>
      <c r="M140" s="32"/>
      <c r="N140" s="32"/>
      <c r="O140" s="32"/>
      <c r="P140" s="32"/>
      <c r="Q140" s="32"/>
      <c r="R140" s="32"/>
      <c r="S140" s="32"/>
      <c r="T140" s="24"/>
      <c r="U140" s="32"/>
      <c r="V140" s="24"/>
      <c r="W140" s="103"/>
      <c r="X140" s="103"/>
      <c r="Y140" s="104" t="str">
        <f t="shared" si="5"/>
        <v/>
      </c>
      <c r="Z140" s="32"/>
      <c r="AA140" s="32"/>
      <c r="AB140" s="32"/>
      <c r="AC140" s="32"/>
      <c r="AD140" s="32"/>
      <c r="AE140" s="38"/>
      <c r="AF140" s="38"/>
      <c r="AG140" s="32"/>
      <c r="AH140" s="32"/>
      <c r="AI140" s="32"/>
    </row>
    <row r="141" ht="16.5" customHeight="1">
      <c r="A141" s="1"/>
      <c r="B141" s="32"/>
      <c r="C141" s="32"/>
      <c r="D141" s="32"/>
      <c r="E141" s="32"/>
      <c r="F141" s="32"/>
      <c r="G141" s="32"/>
      <c r="H141" s="32"/>
      <c r="I141" s="103"/>
      <c r="J141" s="103"/>
      <c r="K141" s="104" t="str">
        <f t="shared" si="4"/>
        <v/>
      </c>
      <c r="L141" s="32"/>
      <c r="M141" s="32"/>
      <c r="N141" s="32"/>
      <c r="O141" s="32"/>
      <c r="P141" s="32"/>
      <c r="Q141" s="32"/>
      <c r="R141" s="32"/>
      <c r="S141" s="32"/>
      <c r="T141" s="24"/>
      <c r="U141" s="32"/>
      <c r="V141" s="24"/>
      <c r="W141" s="103"/>
      <c r="X141" s="103"/>
      <c r="Y141" s="104" t="str">
        <f t="shared" si="5"/>
        <v/>
      </c>
      <c r="Z141" s="32"/>
      <c r="AA141" s="32"/>
      <c r="AB141" s="32"/>
      <c r="AC141" s="32"/>
      <c r="AD141" s="32"/>
      <c r="AE141" s="38"/>
      <c r="AF141" s="38"/>
      <c r="AG141" s="32"/>
      <c r="AH141" s="32"/>
      <c r="AI141" s="32"/>
    </row>
    <row r="142" ht="16.5" customHeight="1">
      <c r="A142" s="1"/>
      <c r="B142" s="32"/>
      <c r="C142" s="32"/>
      <c r="D142" s="32"/>
      <c r="E142" s="32"/>
      <c r="F142" s="32"/>
      <c r="G142" s="32"/>
      <c r="H142" s="32"/>
      <c r="I142" s="103"/>
      <c r="J142" s="103"/>
      <c r="K142" s="104" t="str">
        <f t="shared" si="4"/>
        <v/>
      </c>
      <c r="L142" s="32"/>
      <c r="M142" s="32"/>
      <c r="N142" s="32"/>
      <c r="O142" s="32"/>
      <c r="P142" s="32"/>
      <c r="Q142" s="32"/>
      <c r="R142" s="32"/>
      <c r="S142" s="32"/>
      <c r="T142" s="24"/>
      <c r="U142" s="32"/>
      <c r="V142" s="24"/>
      <c r="W142" s="103"/>
      <c r="X142" s="103"/>
      <c r="Y142" s="104" t="str">
        <f t="shared" si="5"/>
        <v/>
      </c>
      <c r="Z142" s="32"/>
      <c r="AA142" s="32"/>
      <c r="AB142" s="32"/>
      <c r="AC142" s="32"/>
      <c r="AD142" s="32"/>
      <c r="AE142" s="38"/>
      <c r="AF142" s="38"/>
      <c r="AG142" s="32"/>
      <c r="AH142" s="32"/>
      <c r="AI142" s="32"/>
    </row>
    <row r="143" ht="16.5" customHeight="1">
      <c r="A143" s="1"/>
      <c r="B143" s="32"/>
      <c r="C143" s="32"/>
      <c r="D143" s="32"/>
      <c r="E143" s="32"/>
      <c r="F143" s="32"/>
      <c r="G143" s="32"/>
      <c r="H143" s="32"/>
      <c r="I143" s="103"/>
      <c r="J143" s="103"/>
      <c r="K143" s="104" t="str">
        <f t="shared" si="4"/>
        <v/>
      </c>
      <c r="L143" s="32"/>
      <c r="M143" s="32"/>
      <c r="N143" s="32"/>
      <c r="O143" s="32"/>
      <c r="P143" s="32"/>
      <c r="Q143" s="32"/>
      <c r="R143" s="32"/>
      <c r="S143" s="32"/>
      <c r="T143" s="24"/>
      <c r="U143" s="32"/>
      <c r="V143" s="24"/>
      <c r="W143" s="103"/>
      <c r="X143" s="103"/>
      <c r="Y143" s="104" t="str">
        <f t="shared" si="5"/>
        <v/>
      </c>
      <c r="Z143" s="32"/>
      <c r="AA143" s="32"/>
      <c r="AB143" s="32"/>
      <c r="AC143" s="32"/>
      <c r="AD143" s="32"/>
      <c r="AE143" s="38"/>
      <c r="AF143" s="38"/>
      <c r="AG143" s="32"/>
      <c r="AH143" s="32"/>
      <c r="AI143" s="32"/>
    </row>
    <row r="144" ht="16.5" customHeight="1">
      <c r="A144" s="1"/>
      <c r="B144" s="32"/>
      <c r="C144" s="32"/>
      <c r="D144" s="32"/>
      <c r="E144" s="32"/>
      <c r="F144" s="32"/>
      <c r="G144" s="32"/>
      <c r="H144" s="32"/>
      <c r="I144" s="103"/>
      <c r="J144" s="103"/>
      <c r="K144" s="104" t="str">
        <f t="shared" si="4"/>
        <v/>
      </c>
      <c r="L144" s="32"/>
      <c r="M144" s="32"/>
      <c r="N144" s="32"/>
      <c r="O144" s="32"/>
      <c r="P144" s="32"/>
      <c r="Q144" s="32"/>
      <c r="R144" s="32"/>
      <c r="S144" s="32"/>
      <c r="T144" s="24"/>
      <c r="U144" s="32"/>
      <c r="V144" s="24"/>
      <c r="W144" s="103"/>
      <c r="X144" s="103"/>
      <c r="Y144" s="104" t="str">
        <f t="shared" si="5"/>
        <v/>
      </c>
      <c r="Z144" s="32"/>
      <c r="AA144" s="32"/>
      <c r="AB144" s="32"/>
      <c r="AC144" s="32"/>
      <c r="AD144" s="32"/>
      <c r="AE144" s="38"/>
      <c r="AF144" s="38"/>
      <c r="AG144" s="32"/>
      <c r="AH144" s="32"/>
      <c r="AI144" s="32"/>
    </row>
    <row r="145" ht="16.5" customHeight="1">
      <c r="A145" s="1"/>
      <c r="B145" s="32"/>
      <c r="C145" s="32"/>
      <c r="D145" s="32"/>
      <c r="E145" s="32"/>
      <c r="F145" s="32"/>
      <c r="G145" s="32"/>
      <c r="H145" s="32"/>
      <c r="I145" s="103"/>
      <c r="J145" s="103"/>
      <c r="K145" s="104" t="str">
        <f t="shared" si="4"/>
        <v/>
      </c>
      <c r="L145" s="32"/>
      <c r="M145" s="32"/>
      <c r="N145" s="32"/>
      <c r="O145" s="32"/>
      <c r="P145" s="32"/>
      <c r="Q145" s="32"/>
      <c r="R145" s="32"/>
      <c r="S145" s="32"/>
      <c r="T145" s="24"/>
      <c r="U145" s="32"/>
      <c r="V145" s="24"/>
      <c r="W145" s="103"/>
      <c r="X145" s="103"/>
      <c r="Y145" s="104" t="str">
        <f t="shared" si="5"/>
        <v/>
      </c>
      <c r="Z145" s="32"/>
      <c r="AA145" s="32"/>
      <c r="AB145" s="32"/>
      <c r="AC145" s="32"/>
      <c r="AD145" s="32"/>
      <c r="AE145" s="38"/>
      <c r="AF145" s="38"/>
      <c r="AG145" s="32"/>
      <c r="AH145" s="32"/>
      <c r="AI145" s="32"/>
    </row>
    <row r="146" ht="16.5" customHeight="1">
      <c r="A146" s="1"/>
      <c r="B146" s="32"/>
      <c r="C146" s="32"/>
      <c r="D146" s="32"/>
      <c r="E146" s="32"/>
      <c r="F146" s="32"/>
      <c r="G146" s="32"/>
      <c r="H146" s="32"/>
      <c r="I146" s="103"/>
      <c r="J146" s="103"/>
      <c r="K146" s="104" t="str">
        <f t="shared" si="4"/>
        <v/>
      </c>
      <c r="L146" s="32"/>
      <c r="M146" s="32"/>
      <c r="N146" s="32"/>
      <c r="O146" s="32"/>
      <c r="P146" s="32"/>
      <c r="Q146" s="32"/>
      <c r="R146" s="32"/>
      <c r="S146" s="32"/>
      <c r="T146" s="24"/>
      <c r="U146" s="32"/>
      <c r="V146" s="24"/>
      <c r="W146" s="103"/>
      <c r="X146" s="103"/>
      <c r="Y146" s="104" t="str">
        <f t="shared" si="5"/>
        <v/>
      </c>
      <c r="Z146" s="32"/>
      <c r="AA146" s="32"/>
      <c r="AB146" s="32"/>
      <c r="AC146" s="32"/>
      <c r="AD146" s="32"/>
      <c r="AE146" s="38"/>
      <c r="AF146" s="38"/>
      <c r="AG146" s="32"/>
      <c r="AH146" s="32"/>
      <c r="AI146" s="32"/>
    </row>
    <row r="147" ht="16.5" customHeight="1">
      <c r="A147" s="1"/>
      <c r="B147" s="32"/>
      <c r="C147" s="32"/>
      <c r="D147" s="32"/>
      <c r="E147" s="32"/>
      <c r="F147" s="32"/>
      <c r="G147" s="32"/>
      <c r="H147" s="32"/>
      <c r="I147" s="103"/>
      <c r="J147" s="103"/>
      <c r="K147" s="104" t="str">
        <f t="shared" si="4"/>
        <v/>
      </c>
      <c r="L147" s="32"/>
      <c r="M147" s="32"/>
      <c r="N147" s="32"/>
      <c r="O147" s="32"/>
      <c r="P147" s="32"/>
      <c r="Q147" s="32"/>
      <c r="R147" s="32"/>
      <c r="S147" s="32"/>
      <c r="T147" s="24"/>
      <c r="U147" s="32"/>
      <c r="V147" s="24"/>
      <c r="W147" s="103"/>
      <c r="X147" s="103"/>
      <c r="Y147" s="104" t="str">
        <f t="shared" si="5"/>
        <v/>
      </c>
      <c r="Z147" s="32"/>
      <c r="AA147" s="32"/>
      <c r="AB147" s="32"/>
      <c r="AC147" s="32"/>
      <c r="AD147" s="32"/>
      <c r="AE147" s="38"/>
      <c r="AF147" s="38"/>
      <c r="AG147" s="32"/>
      <c r="AH147" s="32"/>
      <c r="AI147" s="32"/>
    </row>
    <row r="148" ht="16.5" customHeight="1">
      <c r="A148" s="1"/>
      <c r="B148" s="32"/>
      <c r="C148" s="32"/>
      <c r="D148" s="32"/>
      <c r="E148" s="32"/>
      <c r="F148" s="32"/>
      <c r="G148" s="32"/>
      <c r="H148" s="32"/>
      <c r="I148" s="103"/>
      <c r="J148" s="103"/>
      <c r="K148" s="104" t="str">
        <f t="shared" si="4"/>
        <v/>
      </c>
      <c r="L148" s="32"/>
      <c r="M148" s="32"/>
      <c r="N148" s="32"/>
      <c r="O148" s="32"/>
      <c r="P148" s="32"/>
      <c r="Q148" s="32"/>
      <c r="R148" s="32"/>
      <c r="S148" s="32"/>
      <c r="T148" s="24"/>
      <c r="U148" s="32"/>
      <c r="V148" s="24"/>
      <c r="W148" s="103"/>
      <c r="X148" s="103"/>
      <c r="Y148" s="104" t="str">
        <f t="shared" si="5"/>
        <v/>
      </c>
      <c r="Z148" s="32"/>
      <c r="AA148" s="32"/>
      <c r="AB148" s="32"/>
      <c r="AC148" s="32"/>
      <c r="AD148" s="32"/>
      <c r="AE148" s="38"/>
      <c r="AF148" s="38"/>
      <c r="AG148" s="32"/>
      <c r="AH148" s="32"/>
      <c r="AI148" s="32"/>
    </row>
    <row r="149" ht="16.5" customHeight="1">
      <c r="A149" s="1"/>
      <c r="B149" s="32"/>
      <c r="C149" s="32"/>
      <c r="D149" s="32"/>
      <c r="E149" s="32"/>
      <c r="F149" s="32"/>
      <c r="G149" s="32"/>
      <c r="H149" s="32"/>
      <c r="I149" s="103"/>
      <c r="J149" s="103"/>
      <c r="K149" s="104" t="str">
        <f t="shared" si="4"/>
        <v/>
      </c>
      <c r="L149" s="32"/>
      <c r="M149" s="32"/>
      <c r="N149" s="32"/>
      <c r="O149" s="32"/>
      <c r="P149" s="32"/>
      <c r="Q149" s="32"/>
      <c r="R149" s="32"/>
      <c r="S149" s="32"/>
      <c r="T149" s="24"/>
      <c r="U149" s="32"/>
      <c r="V149" s="24"/>
      <c r="W149" s="103"/>
      <c r="X149" s="103"/>
      <c r="Y149" s="104" t="str">
        <f t="shared" si="5"/>
        <v/>
      </c>
      <c r="Z149" s="32"/>
      <c r="AA149" s="32"/>
      <c r="AB149" s="32"/>
      <c r="AC149" s="32"/>
      <c r="AD149" s="32"/>
      <c r="AE149" s="38"/>
      <c r="AF149" s="38"/>
      <c r="AG149" s="32"/>
      <c r="AH149" s="32"/>
      <c r="AI149" s="32"/>
    </row>
    <row r="150" ht="16.5" customHeight="1">
      <c r="A150" s="1"/>
      <c r="B150" s="32"/>
      <c r="C150" s="32"/>
      <c r="D150" s="32"/>
      <c r="E150" s="32"/>
      <c r="F150" s="32"/>
      <c r="G150" s="32"/>
      <c r="H150" s="32"/>
      <c r="I150" s="103"/>
      <c r="J150" s="103"/>
      <c r="K150" s="104" t="str">
        <f t="shared" si="4"/>
        <v/>
      </c>
      <c r="L150" s="32"/>
      <c r="M150" s="32"/>
      <c r="N150" s="32"/>
      <c r="O150" s="32"/>
      <c r="P150" s="32"/>
      <c r="Q150" s="32"/>
      <c r="R150" s="32"/>
      <c r="S150" s="32"/>
      <c r="T150" s="24"/>
      <c r="U150" s="32"/>
      <c r="V150" s="24"/>
      <c r="W150" s="103"/>
      <c r="X150" s="103"/>
      <c r="Y150" s="104" t="str">
        <f t="shared" si="5"/>
        <v/>
      </c>
      <c r="Z150" s="32"/>
      <c r="AA150" s="32"/>
      <c r="AB150" s="32"/>
      <c r="AC150" s="32"/>
      <c r="AD150" s="32"/>
      <c r="AE150" s="38"/>
      <c r="AF150" s="38"/>
      <c r="AG150" s="32"/>
      <c r="AH150" s="32"/>
      <c r="AI150" s="32"/>
    </row>
    <row r="151" ht="16.5" customHeight="1">
      <c r="A151" s="1"/>
      <c r="B151" s="32"/>
      <c r="C151" s="32"/>
      <c r="D151" s="32"/>
      <c r="E151" s="32"/>
      <c r="F151" s="32"/>
      <c r="G151" s="32"/>
      <c r="H151" s="32"/>
      <c r="I151" s="103"/>
      <c r="J151" s="103"/>
      <c r="K151" s="104" t="str">
        <f t="shared" si="4"/>
        <v/>
      </c>
      <c r="L151" s="32"/>
      <c r="M151" s="32"/>
      <c r="N151" s="32"/>
      <c r="O151" s="32"/>
      <c r="P151" s="32"/>
      <c r="Q151" s="32"/>
      <c r="R151" s="32"/>
      <c r="S151" s="32"/>
      <c r="T151" s="24"/>
      <c r="U151" s="32"/>
      <c r="V151" s="24"/>
      <c r="W151" s="103"/>
      <c r="X151" s="103"/>
      <c r="Y151" s="104" t="str">
        <f t="shared" si="5"/>
        <v/>
      </c>
      <c r="Z151" s="32"/>
      <c r="AA151" s="32"/>
      <c r="AB151" s="32"/>
      <c r="AC151" s="32"/>
      <c r="AD151" s="32"/>
      <c r="AE151" s="38"/>
      <c r="AF151" s="38"/>
      <c r="AG151" s="32"/>
      <c r="AH151" s="32"/>
      <c r="AI151" s="32"/>
    </row>
    <row r="152" ht="16.5" customHeight="1">
      <c r="A152" s="1"/>
      <c r="B152" s="32"/>
      <c r="C152" s="32"/>
      <c r="D152" s="32"/>
      <c r="E152" s="32"/>
      <c r="F152" s="32"/>
      <c r="G152" s="32"/>
      <c r="H152" s="32"/>
      <c r="I152" s="103"/>
      <c r="J152" s="103"/>
      <c r="K152" s="104" t="str">
        <f t="shared" si="4"/>
        <v/>
      </c>
      <c r="L152" s="32"/>
      <c r="M152" s="32"/>
      <c r="N152" s="32"/>
      <c r="O152" s="32"/>
      <c r="P152" s="32"/>
      <c r="Q152" s="32"/>
      <c r="R152" s="32"/>
      <c r="S152" s="32"/>
      <c r="T152" s="24"/>
      <c r="U152" s="32"/>
      <c r="V152" s="24"/>
      <c r="W152" s="103"/>
      <c r="X152" s="103"/>
      <c r="Y152" s="104" t="str">
        <f t="shared" si="5"/>
        <v/>
      </c>
      <c r="Z152" s="32"/>
      <c r="AA152" s="32"/>
      <c r="AB152" s="32"/>
      <c r="AC152" s="32"/>
      <c r="AD152" s="32"/>
      <c r="AE152" s="38"/>
      <c r="AF152" s="38"/>
      <c r="AG152" s="32"/>
      <c r="AH152" s="32"/>
      <c r="AI152" s="32"/>
    </row>
    <row r="153" ht="16.5" customHeight="1">
      <c r="A153" s="1"/>
      <c r="B153" s="32"/>
      <c r="C153" s="32"/>
      <c r="D153" s="32"/>
      <c r="E153" s="32"/>
      <c r="F153" s="32"/>
      <c r="G153" s="32"/>
      <c r="H153" s="32"/>
      <c r="I153" s="103"/>
      <c r="J153" s="103"/>
      <c r="K153" s="104" t="str">
        <f t="shared" si="4"/>
        <v/>
      </c>
      <c r="L153" s="32"/>
      <c r="M153" s="32"/>
      <c r="N153" s="32"/>
      <c r="O153" s="32"/>
      <c r="P153" s="32"/>
      <c r="Q153" s="32"/>
      <c r="R153" s="32"/>
      <c r="S153" s="32"/>
      <c r="T153" s="24"/>
      <c r="U153" s="32"/>
      <c r="V153" s="24"/>
      <c r="W153" s="103"/>
      <c r="X153" s="103"/>
      <c r="Y153" s="104" t="str">
        <f t="shared" si="5"/>
        <v/>
      </c>
      <c r="Z153" s="32"/>
      <c r="AA153" s="32"/>
      <c r="AB153" s="32"/>
      <c r="AC153" s="32"/>
      <c r="AD153" s="32"/>
      <c r="AE153" s="38"/>
      <c r="AF153" s="38"/>
      <c r="AG153" s="32"/>
      <c r="AH153" s="32"/>
      <c r="AI153" s="32"/>
    </row>
    <row r="154" ht="16.5" customHeight="1">
      <c r="A154" s="1"/>
      <c r="B154" s="32"/>
      <c r="C154" s="32"/>
      <c r="D154" s="32"/>
      <c r="E154" s="32"/>
      <c r="F154" s="32"/>
      <c r="G154" s="32"/>
      <c r="H154" s="32"/>
      <c r="I154" s="103"/>
      <c r="J154" s="103"/>
      <c r="K154" s="104" t="str">
        <f t="shared" si="4"/>
        <v/>
      </c>
      <c r="L154" s="32"/>
      <c r="M154" s="32"/>
      <c r="N154" s="32"/>
      <c r="O154" s="32"/>
      <c r="P154" s="32"/>
      <c r="Q154" s="32"/>
      <c r="R154" s="32"/>
      <c r="S154" s="32"/>
      <c r="T154" s="24"/>
      <c r="U154" s="32"/>
      <c r="V154" s="24"/>
      <c r="W154" s="103"/>
      <c r="X154" s="103"/>
      <c r="Y154" s="104" t="str">
        <f t="shared" si="5"/>
        <v/>
      </c>
      <c r="Z154" s="32"/>
      <c r="AA154" s="32"/>
      <c r="AB154" s="32"/>
      <c r="AC154" s="32"/>
      <c r="AD154" s="32"/>
      <c r="AE154" s="38"/>
      <c r="AF154" s="38"/>
      <c r="AG154" s="32"/>
      <c r="AH154" s="32"/>
      <c r="AI154" s="32"/>
    </row>
    <row r="155" ht="16.5" customHeight="1">
      <c r="A155" s="1"/>
      <c r="B155" s="32"/>
      <c r="C155" s="32"/>
      <c r="D155" s="32"/>
      <c r="E155" s="32"/>
      <c r="F155" s="32"/>
      <c r="G155" s="32"/>
      <c r="H155" s="32"/>
      <c r="I155" s="103"/>
      <c r="J155" s="103"/>
      <c r="K155" s="104" t="str">
        <f t="shared" si="4"/>
        <v/>
      </c>
      <c r="L155" s="32"/>
      <c r="M155" s="32"/>
      <c r="N155" s="32"/>
      <c r="O155" s="32"/>
      <c r="P155" s="32"/>
      <c r="Q155" s="32"/>
      <c r="R155" s="32"/>
      <c r="S155" s="32"/>
      <c r="T155" s="24"/>
      <c r="U155" s="32"/>
      <c r="V155" s="24"/>
      <c r="W155" s="103"/>
      <c r="X155" s="103"/>
      <c r="Y155" s="104" t="str">
        <f t="shared" si="5"/>
        <v/>
      </c>
      <c r="Z155" s="32"/>
      <c r="AA155" s="32"/>
      <c r="AB155" s="32"/>
      <c r="AC155" s="32"/>
      <c r="AD155" s="32"/>
      <c r="AE155" s="38"/>
      <c r="AF155" s="38"/>
      <c r="AG155" s="32"/>
      <c r="AH155" s="32"/>
      <c r="AI155" s="32"/>
    </row>
    <row r="156" ht="16.5" customHeight="1">
      <c r="A156" s="1"/>
      <c r="B156" s="32"/>
      <c r="C156" s="32"/>
      <c r="D156" s="32"/>
      <c r="E156" s="32"/>
      <c r="F156" s="32"/>
      <c r="G156" s="32"/>
      <c r="H156" s="32"/>
      <c r="I156" s="103"/>
      <c r="J156" s="103"/>
      <c r="K156" s="104" t="str">
        <f t="shared" si="4"/>
        <v/>
      </c>
      <c r="L156" s="32"/>
      <c r="M156" s="32"/>
      <c r="N156" s="32"/>
      <c r="O156" s="32"/>
      <c r="P156" s="32"/>
      <c r="Q156" s="32"/>
      <c r="R156" s="32"/>
      <c r="S156" s="32"/>
      <c r="T156" s="24"/>
      <c r="U156" s="32"/>
      <c r="V156" s="24"/>
      <c r="W156" s="103"/>
      <c r="X156" s="103"/>
      <c r="Y156" s="104" t="str">
        <f t="shared" si="5"/>
        <v/>
      </c>
      <c r="Z156" s="32"/>
      <c r="AA156" s="32"/>
      <c r="AB156" s="32"/>
      <c r="AC156" s="32"/>
      <c r="AD156" s="32"/>
      <c r="AE156" s="38"/>
      <c r="AF156" s="38"/>
      <c r="AG156" s="32"/>
      <c r="AH156" s="32"/>
      <c r="AI156" s="32"/>
    </row>
    <row r="157" ht="16.5" customHeight="1">
      <c r="A157" s="1"/>
      <c r="B157" s="32"/>
      <c r="C157" s="32"/>
      <c r="D157" s="32"/>
      <c r="E157" s="32"/>
      <c r="F157" s="32"/>
      <c r="G157" s="32"/>
      <c r="H157" s="32"/>
      <c r="I157" s="103"/>
      <c r="J157" s="103"/>
      <c r="K157" s="104" t="str">
        <f t="shared" si="4"/>
        <v/>
      </c>
      <c r="L157" s="32"/>
      <c r="M157" s="32"/>
      <c r="N157" s="32"/>
      <c r="O157" s="32"/>
      <c r="P157" s="32"/>
      <c r="Q157" s="32"/>
      <c r="R157" s="32"/>
      <c r="S157" s="32"/>
      <c r="T157" s="24"/>
      <c r="U157" s="32"/>
      <c r="V157" s="24"/>
      <c r="W157" s="103"/>
      <c r="X157" s="103"/>
      <c r="Y157" s="104" t="str">
        <f t="shared" si="5"/>
        <v/>
      </c>
      <c r="Z157" s="32"/>
      <c r="AA157" s="32"/>
      <c r="AB157" s="32"/>
      <c r="AC157" s="32"/>
      <c r="AD157" s="32"/>
      <c r="AE157" s="38"/>
      <c r="AF157" s="38"/>
      <c r="AG157" s="32"/>
      <c r="AH157" s="32"/>
      <c r="AI157" s="32"/>
    </row>
    <row r="158" ht="16.5" customHeight="1">
      <c r="A158" s="1"/>
      <c r="B158" s="32"/>
      <c r="C158" s="32"/>
      <c r="D158" s="32"/>
      <c r="E158" s="32"/>
      <c r="F158" s="32"/>
      <c r="G158" s="32"/>
      <c r="H158" s="32"/>
      <c r="I158" s="103"/>
      <c r="J158" s="103"/>
      <c r="K158" s="104" t="str">
        <f t="shared" si="4"/>
        <v/>
      </c>
      <c r="L158" s="32"/>
      <c r="M158" s="32"/>
      <c r="N158" s="32"/>
      <c r="O158" s="32"/>
      <c r="P158" s="32"/>
      <c r="Q158" s="32"/>
      <c r="R158" s="32"/>
      <c r="S158" s="32"/>
      <c r="T158" s="24"/>
      <c r="U158" s="32"/>
      <c r="V158" s="24"/>
      <c r="W158" s="103"/>
      <c r="X158" s="103"/>
      <c r="Y158" s="104" t="str">
        <f t="shared" si="5"/>
        <v/>
      </c>
      <c r="Z158" s="32"/>
      <c r="AA158" s="32"/>
      <c r="AB158" s="32"/>
      <c r="AC158" s="32"/>
      <c r="AD158" s="32"/>
      <c r="AE158" s="38"/>
      <c r="AF158" s="38"/>
      <c r="AG158" s="32"/>
      <c r="AH158" s="32"/>
      <c r="AI158" s="32"/>
    </row>
    <row r="159" ht="16.5" customHeight="1">
      <c r="A159" s="1"/>
      <c r="B159" s="32"/>
      <c r="C159" s="32"/>
      <c r="D159" s="32"/>
      <c r="E159" s="32"/>
      <c r="F159" s="32"/>
      <c r="G159" s="32"/>
      <c r="H159" s="32"/>
      <c r="I159" s="103"/>
      <c r="J159" s="103"/>
      <c r="K159" s="104" t="str">
        <f t="shared" si="4"/>
        <v/>
      </c>
      <c r="L159" s="32"/>
      <c r="M159" s="32"/>
      <c r="N159" s="32"/>
      <c r="O159" s="32"/>
      <c r="P159" s="32"/>
      <c r="Q159" s="32"/>
      <c r="R159" s="32"/>
      <c r="S159" s="32"/>
      <c r="T159" s="24"/>
      <c r="U159" s="32"/>
      <c r="V159" s="24"/>
      <c r="W159" s="103"/>
      <c r="X159" s="103"/>
      <c r="Y159" s="104" t="str">
        <f t="shared" si="5"/>
        <v/>
      </c>
      <c r="Z159" s="32"/>
      <c r="AA159" s="32"/>
      <c r="AB159" s="32"/>
      <c r="AC159" s="32"/>
      <c r="AD159" s="32"/>
      <c r="AE159" s="38"/>
      <c r="AF159" s="38"/>
      <c r="AG159" s="32"/>
      <c r="AH159" s="32"/>
      <c r="AI159" s="32"/>
    </row>
    <row r="160" ht="16.5" customHeight="1">
      <c r="A160" s="1"/>
      <c r="B160" s="32"/>
      <c r="C160" s="32"/>
      <c r="D160" s="32"/>
      <c r="E160" s="32"/>
      <c r="F160" s="32"/>
      <c r="G160" s="32"/>
      <c r="H160" s="32"/>
      <c r="I160" s="103"/>
      <c r="J160" s="103"/>
      <c r="K160" s="104" t="str">
        <f t="shared" si="4"/>
        <v/>
      </c>
      <c r="L160" s="32"/>
      <c r="M160" s="32"/>
      <c r="N160" s="32"/>
      <c r="O160" s="32"/>
      <c r="P160" s="32"/>
      <c r="Q160" s="32"/>
      <c r="R160" s="32"/>
      <c r="S160" s="32"/>
      <c r="T160" s="24"/>
      <c r="U160" s="32"/>
      <c r="V160" s="24"/>
      <c r="W160" s="103"/>
      <c r="X160" s="103"/>
      <c r="Y160" s="104" t="str">
        <f t="shared" si="5"/>
        <v/>
      </c>
      <c r="Z160" s="32"/>
      <c r="AA160" s="32"/>
      <c r="AB160" s="32"/>
      <c r="AC160" s="32"/>
      <c r="AD160" s="32"/>
      <c r="AE160" s="38"/>
      <c r="AF160" s="38"/>
      <c r="AG160" s="32"/>
      <c r="AH160" s="32"/>
      <c r="AI160" s="32"/>
    </row>
    <row r="161" ht="16.5" customHeight="1">
      <c r="A161" s="1"/>
      <c r="B161" s="32"/>
      <c r="C161" s="32"/>
      <c r="D161" s="32"/>
      <c r="E161" s="32"/>
      <c r="F161" s="32"/>
      <c r="G161" s="32"/>
      <c r="H161" s="32"/>
      <c r="I161" s="103"/>
      <c r="J161" s="103"/>
      <c r="K161" s="104" t="str">
        <f t="shared" si="4"/>
        <v/>
      </c>
      <c r="L161" s="32"/>
      <c r="M161" s="32"/>
      <c r="N161" s="32"/>
      <c r="O161" s="32"/>
      <c r="P161" s="32"/>
      <c r="Q161" s="32"/>
      <c r="R161" s="32"/>
      <c r="S161" s="32"/>
      <c r="T161" s="24"/>
      <c r="U161" s="32"/>
      <c r="V161" s="24"/>
      <c r="W161" s="103"/>
      <c r="X161" s="103"/>
      <c r="Y161" s="104" t="str">
        <f t="shared" si="5"/>
        <v/>
      </c>
      <c r="Z161" s="32"/>
      <c r="AA161" s="32"/>
      <c r="AB161" s="32"/>
      <c r="AC161" s="32"/>
      <c r="AD161" s="32"/>
      <c r="AE161" s="38"/>
      <c r="AF161" s="38"/>
      <c r="AG161" s="32"/>
      <c r="AH161" s="32"/>
      <c r="AI161" s="32"/>
    </row>
    <row r="162" ht="16.5" customHeight="1">
      <c r="A162" s="1"/>
      <c r="B162" s="32"/>
      <c r="C162" s="32"/>
      <c r="D162" s="32"/>
      <c r="E162" s="32"/>
      <c r="F162" s="32"/>
      <c r="G162" s="32"/>
      <c r="H162" s="32"/>
      <c r="I162" s="103"/>
      <c r="J162" s="103"/>
      <c r="K162" s="104" t="str">
        <f t="shared" si="4"/>
        <v/>
      </c>
      <c r="L162" s="32"/>
      <c r="M162" s="32"/>
      <c r="N162" s="32"/>
      <c r="O162" s="32"/>
      <c r="P162" s="32"/>
      <c r="Q162" s="32"/>
      <c r="R162" s="32"/>
      <c r="S162" s="32"/>
      <c r="T162" s="24"/>
      <c r="U162" s="32"/>
      <c r="V162" s="24"/>
      <c r="W162" s="103"/>
      <c r="X162" s="103"/>
      <c r="Y162" s="104" t="str">
        <f t="shared" si="5"/>
        <v/>
      </c>
      <c r="Z162" s="32"/>
      <c r="AA162" s="32"/>
      <c r="AB162" s="32"/>
      <c r="AC162" s="32"/>
      <c r="AD162" s="32"/>
      <c r="AE162" s="38"/>
      <c r="AF162" s="38"/>
      <c r="AG162" s="32"/>
      <c r="AH162" s="32"/>
      <c r="AI162" s="32"/>
    </row>
    <row r="163" ht="16.5" customHeight="1">
      <c r="A163" s="1"/>
      <c r="B163" s="32"/>
      <c r="C163" s="32"/>
      <c r="D163" s="32"/>
      <c r="E163" s="32"/>
      <c r="F163" s="32"/>
      <c r="G163" s="32"/>
      <c r="H163" s="32"/>
      <c r="I163" s="103"/>
      <c r="J163" s="103"/>
      <c r="K163" s="104" t="str">
        <f t="shared" si="4"/>
        <v/>
      </c>
      <c r="L163" s="32"/>
      <c r="M163" s="32"/>
      <c r="N163" s="32"/>
      <c r="O163" s="32"/>
      <c r="P163" s="32"/>
      <c r="Q163" s="32"/>
      <c r="R163" s="32"/>
      <c r="S163" s="32"/>
      <c r="T163" s="24"/>
      <c r="U163" s="32"/>
      <c r="V163" s="24"/>
      <c r="W163" s="103"/>
      <c r="X163" s="103"/>
      <c r="Y163" s="104" t="str">
        <f t="shared" si="5"/>
        <v/>
      </c>
      <c r="Z163" s="32"/>
      <c r="AA163" s="32"/>
      <c r="AB163" s="32"/>
      <c r="AC163" s="32"/>
      <c r="AD163" s="32"/>
      <c r="AE163" s="38"/>
      <c r="AF163" s="38"/>
      <c r="AG163" s="32"/>
      <c r="AH163" s="32"/>
      <c r="AI163" s="32"/>
    </row>
    <row r="164" ht="16.5" customHeight="1">
      <c r="A164" s="1"/>
      <c r="B164" s="32"/>
      <c r="C164" s="32"/>
      <c r="D164" s="32"/>
      <c r="E164" s="32"/>
      <c r="F164" s="32"/>
      <c r="G164" s="32"/>
      <c r="H164" s="32"/>
      <c r="I164" s="103"/>
      <c r="J164" s="103"/>
      <c r="K164" s="104" t="str">
        <f t="shared" si="4"/>
        <v/>
      </c>
      <c r="L164" s="32"/>
      <c r="M164" s="32"/>
      <c r="N164" s="32"/>
      <c r="O164" s="32"/>
      <c r="P164" s="32"/>
      <c r="Q164" s="32"/>
      <c r="R164" s="32"/>
      <c r="S164" s="32"/>
      <c r="T164" s="24"/>
      <c r="U164" s="32"/>
      <c r="V164" s="24"/>
      <c r="W164" s="103"/>
      <c r="X164" s="103"/>
      <c r="Y164" s="104" t="str">
        <f t="shared" si="5"/>
        <v/>
      </c>
      <c r="Z164" s="32"/>
      <c r="AA164" s="32"/>
      <c r="AB164" s="32"/>
      <c r="AC164" s="32"/>
      <c r="AD164" s="32"/>
      <c r="AE164" s="38"/>
      <c r="AF164" s="38"/>
      <c r="AG164" s="32"/>
      <c r="AH164" s="32"/>
      <c r="AI164" s="32"/>
    </row>
    <row r="165" ht="16.5" customHeight="1">
      <c r="A165" s="1"/>
      <c r="B165" s="32"/>
      <c r="C165" s="32"/>
      <c r="D165" s="32"/>
      <c r="E165" s="32"/>
      <c r="F165" s="32"/>
      <c r="G165" s="32"/>
      <c r="H165" s="32"/>
      <c r="I165" s="103"/>
      <c r="J165" s="103"/>
      <c r="K165" s="104" t="str">
        <f t="shared" si="4"/>
        <v/>
      </c>
      <c r="L165" s="32"/>
      <c r="M165" s="32"/>
      <c r="N165" s="32"/>
      <c r="O165" s="32"/>
      <c r="P165" s="32"/>
      <c r="Q165" s="32"/>
      <c r="R165" s="32"/>
      <c r="S165" s="32"/>
      <c r="T165" s="24"/>
      <c r="U165" s="32"/>
      <c r="V165" s="24"/>
      <c r="W165" s="103"/>
      <c r="X165" s="103"/>
      <c r="Y165" s="104" t="str">
        <f t="shared" si="5"/>
        <v/>
      </c>
      <c r="Z165" s="32"/>
      <c r="AA165" s="32"/>
      <c r="AB165" s="32"/>
      <c r="AC165" s="32"/>
      <c r="AD165" s="32"/>
      <c r="AE165" s="38"/>
      <c r="AF165" s="38"/>
      <c r="AG165" s="32"/>
      <c r="AH165" s="32"/>
      <c r="AI165" s="32"/>
    </row>
    <row r="166" ht="16.5" customHeight="1">
      <c r="A166" s="1"/>
      <c r="B166" s="32"/>
      <c r="C166" s="32"/>
      <c r="D166" s="32"/>
      <c r="E166" s="32"/>
      <c r="F166" s="32"/>
      <c r="G166" s="32"/>
      <c r="H166" s="32"/>
      <c r="I166" s="103"/>
      <c r="J166" s="103"/>
      <c r="K166" s="104" t="str">
        <f t="shared" si="4"/>
        <v/>
      </c>
      <c r="L166" s="32"/>
      <c r="M166" s="32"/>
      <c r="N166" s="32"/>
      <c r="O166" s="32"/>
      <c r="P166" s="32"/>
      <c r="Q166" s="32"/>
      <c r="R166" s="32"/>
      <c r="S166" s="32"/>
      <c r="T166" s="24"/>
      <c r="U166" s="32"/>
      <c r="V166" s="24"/>
      <c r="W166" s="103"/>
      <c r="X166" s="103"/>
      <c r="Y166" s="104" t="str">
        <f t="shared" si="5"/>
        <v/>
      </c>
      <c r="Z166" s="32"/>
      <c r="AA166" s="32"/>
      <c r="AB166" s="32"/>
      <c r="AC166" s="32"/>
      <c r="AD166" s="32"/>
      <c r="AE166" s="38"/>
      <c r="AF166" s="38"/>
      <c r="AG166" s="32"/>
      <c r="AH166" s="32"/>
      <c r="AI166" s="32"/>
    </row>
    <row r="167" ht="16.5" customHeight="1">
      <c r="A167" s="1"/>
      <c r="B167" s="32"/>
      <c r="C167" s="32"/>
      <c r="D167" s="32"/>
      <c r="E167" s="32"/>
      <c r="F167" s="32"/>
      <c r="G167" s="32"/>
      <c r="H167" s="32"/>
      <c r="I167" s="103"/>
      <c r="J167" s="103"/>
      <c r="K167" s="104" t="str">
        <f t="shared" si="4"/>
        <v/>
      </c>
      <c r="L167" s="32"/>
      <c r="M167" s="32"/>
      <c r="N167" s="32"/>
      <c r="O167" s="32"/>
      <c r="P167" s="32"/>
      <c r="Q167" s="32"/>
      <c r="R167" s="32"/>
      <c r="S167" s="32"/>
      <c r="T167" s="24"/>
      <c r="U167" s="32"/>
      <c r="V167" s="24"/>
      <c r="W167" s="103"/>
      <c r="X167" s="103"/>
      <c r="Y167" s="104" t="str">
        <f t="shared" si="5"/>
        <v/>
      </c>
      <c r="Z167" s="32"/>
      <c r="AA167" s="32"/>
      <c r="AB167" s="32"/>
      <c r="AC167" s="32"/>
      <c r="AD167" s="32"/>
      <c r="AE167" s="38"/>
      <c r="AF167" s="38"/>
      <c r="AG167" s="32"/>
      <c r="AH167" s="32"/>
      <c r="AI167" s="32"/>
    </row>
    <row r="168" ht="16.5" customHeight="1">
      <c r="A168" s="1"/>
      <c r="B168" s="32"/>
      <c r="C168" s="32"/>
      <c r="D168" s="32"/>
      <c r="E168" s="32"/>
      <c r="F168" s="32"/>
      <c r="G168" s="32"/>
      <c r="H168" s="32"/>
      <c r="I168" s="103"/>
      <c r="J168" s="103"/>
      <c r="K168" s="104" t="str">
        <f t="shared" si="4"/>
        <v/>
      </c>
      <c r="L168" s="32"/>
      <c r="M168" s="32"/>
      <c r="N168" s="32"/>
      <c r="O168" s="32"/>
      <c r="P168" s="32"/>
      <c r="Q168" s="32"/>
      <c r="R168" s="32"/>
      <c r="S168" s="32"/>
      <c r="T168" s="24"/>
      <c r="U168" s="32"/>
      <c r="V168" s="24"/>
      <c r="W168" s="103"/>
      <c r="X168" s="103"/>
      <c r="Y168" s="104" t="str">
        <f t="shared" si="5"/>
        <v/>
      </c>
      <c r="Z168" s="32"/>
      <c r="AA168" s="32"/>
      <c r="AB168" s="32"/>
      <c r="AC168" s="32"/>
      <c r="AD168" s="32"/>
      <c r="AE168" s="38"/>
      <c r="AF168" s="38"/>
      <c r="AG168" s="32"/>
      <c r="AH168" s="32"/>
      <c r="AI168" s="32"/>
    </row>
    <row r="169" ht="16.5" customHeight="1">
      <c r="A169" s="1"/>
      <c r="B169" s="32"/>
      <c r="C169" s="32"/>
      <c r="D169" s="32"/>
      <c r="E169" s="32"/>
      <c r="F169" s="32"/>
      <c r="G169" s="32"/>
      <c r="H169" s="32"/>
      <c r="I169" s="103"/>
      <c r="J169" s="103"/>
      <c r="K169" s="104" t="str">
        <f t="shared" si="4"/>
        <v/>
      </c>
      <c r="L169" s="32"/>
      <c r="M169" s="32"/>
      <c r="N169" s="32"/>
      <c r="O169" s="32"/>
      <c r="P169" s="32"/>
      <c r="Q169" s="32"/>
      <c r="R169" s="32"/>
      <c r="S169" s="32"/>
      <c r="T169" s="24"/>
      <c r="U169" s="32"/>
      <c r="V169" s="24"/>
      <c r="W169" s="103"/>
      <c r="X169" s="103"/>
      <c r="Y169" s="104" t="str">
        <f t="shared" si="5"/>
        <v/>
      </c>
      <c r="Z169" s="32"/>
      <c r="AA169" s="32"/>
      <c r="AB169" s="32"/>
      <c r="AC169" s="32"/>
      <c r="AD169" s="32"/>
      <c r="AE169" s="38"/>
      <c r="AF169" s="38"/>
      <c r="AG169" s="32"/>
      <c r="AH169" s="32"/>
      <c r="AI169" s="32"/>
    </row>
    <row r="170" ht="16.5" customHeight="1">
      <c r="A170" s="1"/>
      <c r="B170" s="32"/>
      <c r="C170" s="32"/>
      <c r="D170" s="32"/>
      <c r="E170" s="32"/>
      <c r="F170" s="32"/>
      <c r="G170" s="32"/>
      <c r="H170" s="32"/>
      <c r="I170" s="103"/>
      <c r="J170" s="103"/>
      <c r="K170" s="104" t="str">
        <f t="shared" si="4"/>
        <v/>
      </c>
      <c r="L170" s="32"/>
      <c r="M170" s="32"/>
      <c r="N170" s="32"/>
      <c r="O170" s="32"/>
      <c r="P170" s="32"/>
      <c r="Q170" s="32"/>
      <c r="R170" s="32"/>
      <c r="S170" s="32"/>
      <c r="T170" s="24"/>
      <c r="U170" s="32"/>
      <c r="V170" s="24"/>
      <c r="W170" s="103"/>
      <c r="X170" s="103"/>
      <c r="Y170" s="104" t="str">
        <f t="shared" si="5"/>
        <v/>
      </c>
      <c r="Z170" s="32"/>
      <c r="AA170" s="32"/>
      <c r="AB170" s="32"/>
      <c r="AC170" s="32"/>
      <c r="AD170" s="32"/>
      <c r="AE170" s="38"/>
      <c r="AF170" s="38"/>
      <c r="AG170" s="32"/>
      <c r="AH170" s="32"/>
      <c r="AI170" s="32"/>
    </row>
    <row r="171" ht="16.5" customHeight="1">
      <c r="A171" s="1"/>
      <c r="B171" s="32"/>
      <c r="C171" s="32"/>
      <c r="D171" s="32"/>
      <c r="E171" s="32"/>
      <c r="F171" s="32"/>
      <c r="G171" s="32"/>
      <c r="H171" s="32"/>
      <c r="I171" s="103"/>
      <c r="J171" s="103"/>
      <c r="K171" s="104" t="str">
        <f t="shared" si="4"/>
        <v/>
      </c>
      <c r="L171" s="32"/>
      <c r="M171" s="32"/>
      <c r="N171" s="32"/>
      <c r="O171" s="32"/>
      <c r="P171" s="32"/>
      <c r="Q171" s="32"/>
      <c r="R171" s="32"/>
      <c r="S171" s="32"/>
      <c r="T171" s="24"/>
      <c r="U171" s="32"/>
      <c r="V171" s="24"/>
      <c r="W171" s="103"/>
      <c r="X171" s="103"/>
      <c r="Y171" s="104" t="str">
        <f t="shared" si="5"/>
        <v/>
      </c>
      <c r="Z171" s="32"/>
      <c r="AA171" s="32"/>
      <c r="AB171" s="32"/>
      <c r="AC171" s="32"/>
      <c r="AD171" s="32"/>
      <c r="AE171" s="38"/>
      <c r="AF171" s="38"/>
      <c r="AG171" s="32"/>
      <c r="AH171" s="32"/>
      <c r="AI171" s="32"/>
    </row>
    <row r="172" ht="16.5" customHeight="1">
      <c r="A172" s="1"/>
      <c r="B172" s="32"/>
      <c r="C172" s="32"/>
      <c r="D172" s="32"/>
      <c r="E172" s="32"/>
      <c r="F172" s="32"/>
      <c r="G172" s="32"/>
      <c r="H172" s="32"/>
      <c r="I172" s="103"/>
      <c r="J172" s="103"/>
      <c r="K172" s="104" t="str">
        <f t="shared" si="4"/>
        <v/>
      </c>
      <c r="L172" s="32"/>
      <c r="M172" s="32"/>
      <c r="N172" s="32"/>
      <c r="O172" s="32"/>
      <c r="P172" s="32"/>
      <c r="Q172" s="32"/>
      <c r="R172" s="32"/>
      <c r="S172" s="32"/>
      <c r="T172" s="24"/>
      <c r="U172" s="32"/>
      <c r="V172" s="24"/>
      <c r="W172" s="103"/>
      <c r="X172" s="103"/>
      <c r="Y172" s="104" t="str">
        <f t="shared" si="5"/>
        <v/>
      </c>
      <c r="Z172" s="32"/>
      <c r="AA172" s="32"/>
      <c r="AB172" s="32"/>
      <c r="AC172" s="32"/>
      <c r="AD172" s="32"/>
      <c r="AE172" s="38"/>
      <c r="AF172" s="38"/>
      <c r="AG172" s="32"/>
      <c r="AH172" s="32"/>
      <c r="AI172" s="32"/>
    </row>
    <row r="173" ht="16.5" customHeight="1">
      <c r="A173" s="1"/>
      <c r="B173" s="32"/>
      <c r="C173" s="32"/>
      <c r="D173" s="32"/>
      <c r="E173" s="32"/>
      <c r="F173" s="32"/>
      <c r="G173" s="32"/>
      <c r="H173" s="32"/>
      <c r="I173" s="103"/>
      <c r="J173" s="103"/>
      <c r="K173" s="104" t="str">
        <f t="shared" si="4"/>
        <v/>
      </c>
      <c r="L173" s="32"/>
      <c r="M173" s="32"/>
      <c r="N173" s="32"/>
      <c r="O173" s="32"/>
      <c r="P173" s="32"/>
      <c r="Q173" s="32"/>
      <c r="R173" s="32"/>
      <c r="S173" s="32"/>
      <c r="T173" s="24"/>
      <c r="U173" s="32"/>
      <c r="V173" s="24"/>
      <c r="W173" s="103"/>
      <c r="X173" s="103"/>
      <c r="Y173" s="104" t="str">
        <f t="shared" si="5"/>
        <v/>
      </c>
      <c r="Z173" s="32"/>
      <c r="AA173" s="32"/>
      <c r="AB173" s="32"/>
      <c r="AC173" s="32"/>
      <c r="AD173" s="32"/>
      <c r="AE173" s="38"/>
      <c r="AF173" s="38"/>
      <c r="AG173" s="32"/>
      <c r="AH173" s="32"/>
      <c r="AI173" s="32"/>
    </row>
    <row r="174" ht="16.5" customHeight="1">
      <c r="A174" s="1"/>
      <c r="B174" s="32"/>
      <c r="C174" s="32"/>
      <c r="D174" s="32"/>
      <c r="E174" s="32"/>
      <c r="F174" s="32"/>
      <c r="G174" s="32"/>
      <c r="H174" s="32"/>
      <c r="I174" s="103"/>
      <c r="J174" s="103"/>
      <c r="K174" s="104" t="str">
        <f t="shared" si="4"/>
        <v/>
      </c>
      <c r="L174" s="32"/>
      <c r="M174" s="32"/>
      <c r="N174" s="32"/>
      <c r="O174" s="32"/>
      <c r="P174" s="32"/>
      <c r="Q174" s="32"/>
      <c r="R174" s="32"/>
      <c r="S174" s="32"/>
      <c r="T174" s="24"/>
      <c r="U174" s="32"/>
      <c r="V174" s="24"/>
      <c r="W174" s="103"/>
      <c r="X174" s="103"/>
      <c r="Y174" s="104" t="str">
        <f t="shared" si="5"/>
        <v/>
      </c>
      <c r="Z174" s="32"/>
      <c r="AA174" s="32"/>
      <c r="AB174" s="32"/>
      <c r="AC174" s="32"/>
      <c r="AD174" s="32"/>
      <c r="AE174" s="38"/>
      <c r="AF174" s="38"/>
      <c r="AG174" s="32"/>
      <c r="AH174" s="32"/>
      <c r="AI174" s="32"/>
    </row>
    <row r="175" ht="16.5" customHeight="1">
      <c r="A175" s="1"/>
      <c r="B175" s="32"/>
      <c r="C175" s="32"/>
      <c r="D175" s="32"/>
      <c r="E175" s="32"/>
      <c r="F175" s="32"/>
      <c r="G175" s="32"/>
      <c r="H175" s="32"/>
      <c r="I175" s="103"/>
      <c r="J175" s="103"/>
      <c r="K175" s="104" t="str">
        <f t="shared" si="4"/>
        <v/>
      </c>
      <c r="L175" s="32"/>
      <c r="M175" s="32"/>
      <c r="N175" s="32"/>
      <c r="O175" s="32"/>
      <c r="P175" s="32"/>
      <c r="Q175" s="32"/>
      <c r="R175" s="32"/>
      <c r="S175" s="32"/>
      <c r="T175" s="24"/>
      <c r="U175" s="32"/>
      <c r="V175" s="24"/>
      <c r="W175" s="103"/>
      <c r="X175" s="103"/>
      <c r="Y175" s="104" t="str">
        <f t="shared" si="5"/>
        <v/>
      </c>
      <c r="Z175" s="32"/>
      <c r="AA175" s="32"/>
      <c r="AB175" s="32"/>
      <c r="AC175" s="32"/>
      <c r="AD175" s="32"/>
      <c r="AE175" s="38"/>
      <c r="AF175" s="38"/>
      <c r="AG175" s="32"/>
      <c r="AH175" s="32"/>
      <c r="AI175" s="32"/>
    </row>
    <row r="176" ht="16.5" customHeight="1">
      <c r="A176" s="1"/>
      <c r="B176" s="32"/>
      <c r="C176" s="32"/>
      <c r="D176" s="32"/>
      <c r="E176" s="32"/>
      <c r="F176" s="32"/>
      <c r="G176" s="32"/>
      <c r="H176" s="32"/>
      <c r="I176" s="103"/>
      <c r="J176" s="103"/>
      <c r="K176" s="104" t="str">
        <f t="shared" si="4"/>
        <v/>
      </c>
      <c r="L176" s="32"/>
      <c r="M176" s="32"/>
      <c r="N176" s="32"/>
      <c r="O176" s="32"/>
      <c r="P176" s="32"/>
      <c r="Q176" s="32"/>
      <c r="R176" s="32"/>
      <c r="S176" s="32"/>
      <c r="T176" s="24"/>
      <c r="U176" s="32"/>
      <c r="V176" s="24"/>
      <c r="W176" s="103"/>
      <c r="X176" s="103"/>
      <c r="Y176" s="104" t="str">
        <f t="shared" si="5"/>
        <v/>
      </c>
      <c r="Z176" s="32"/>
      <c r="AA176" s="32"/>
      <c r="AB176" s="32"/>
      <c r="AC176" s="32"/>
      <c r="AD176" s="32"/>
      <c r="AE176" s="38"/>
      <c r="AF176" s="38"/>
      <c r="AG176" s="32"/>
      <c r="AH176" s="32"/>
      <c r="AI176" s="32"/>
    </row>
    <row r="177" ht="16.5" customHeight="1">
      <c r="A177" s="1"/>
      <c r="B177" s="32"/>
      <c r="C177" s="32"/>
      <c r="D177" s="32"/>
      <c r="E177" s="32"/>
      <c r="F177" s="32"/>
      <c r="G177" s="32"/>
      <c r="H177" s="32"/>
      <c r="I177" s="103"/>
      <c r="J177" s="103"/>
      <c r="K177" s="104" t="str">
        <f t="shared" si="4"/>
        <v/>
      </c>
      <c r="L177" s="32"/>
      <c r="M177" s="32"/>
      <c r="N177" s="32"/>
      <c r="O177" s="32"/>
      <c r="P177" s="32"/>
      <c r="Q177" s="32"/>
      <c r="R177" s="32"/>
      <c r="S177" s="32"/>
      <c r="T177" s="24"/>
      <c r="U177" s="32"/>
      <c r="V177" s="24"/>
      <c r="W177" s="103"/>
      <c r="X177" s="103"/>
      <c r="Y177" s="104" t="str">
        <f t="shared" si="5"/>
        <v/>
      </c>
      <c r="Z177" s="32"/>
      <c r="AA177" s="32"/>
      <c r="AB177" s="32"/>
      <c r="AC177" s="32"/>
      <c r="AD177" s="32"/>
      <c r="AE177" s="38"/>
      <c r="AF177" s="38"/>
      <c r="AG177" s="32"/>
      <c r="AH177" s="32"/>
      <c r="AI177" s="32"/>
    </row>
    <row r="178" ht="16.5" customHeight="1">
      <c r="A178" s="1"/>
      <c r="B178" s="32"/>
      <c r="C178" s="32"/>
      <c r="D178" s="32"/>
      <c r="E178" s="32"/>
      <c r="F178" s="32"/>
      <c r="G178" s="32"/>
      <c r="H178" s="32"/>
      <c r="I178" s="103"/>
      <c r="J178" s="103"/>
      <c r="K178" s="104" t="str">
        <f t="shared" si="4"/>
        <v/>
      </c>
      <c r="L178" s="32"/>
      <c r="M178" s="32"/>
      <c r="N178" s="32"/>
      <c r="O178" s="32"/>
      <c r="P178" s="32"/>
      <c r="Q178" s="32"/>
      <c r="R178" s="32"/>
      <c r="S178" s="32"/>
      <c r="T178" s="24"/>
      <c r="U178" s="32"/>
      <c r="V178" s="24"/>
      <c r="W178" s="103"/>
      <c r="X178" s="103"/>
      <c r="Y178" s="104" t="str">
        <f t="shared" si="5"/>
        <v/>
      </c>
      <c r="Z178" s="32"/>
      <c r="AA178" s="32"/>
      <c r="AB178" s="32"/>
      <c r="AC178" s="32"/>
      <c r="AD178" s="32"/>
      <c r="AE178" s="38"/>
      <c r="AF178" s="38"/>
      <c r="AG178" s="32"/>
      <c r="AH178" s="32"/>
      <c r="AI178" s="32"/>
    </row>
    <row r="179" ht="16.5" customHeight="1">
      <c r="A179" s="1"/>
      <c r="B179" s="32"/>
      <c r="C179" s="32"/>
      <c r="D179" s="32"/>
      <c r="E179" s="32"/>
      <c r="F179" s="32"/>
      <c r="G179" s="32"/>
      <c r="H179" s="32"/>
      <c r="I179" s="103"/>
      <c r="J179" s="103"/>
      <c r="K179" s="104" t="str">
        <f t="shared" si="4"/>
        <v/>
      </c>
      <c r="L179" s="32"/>
      <c r="M179" s="32"/>
      <c r="N179" s="32"/>
      <c r="O179" s="32"/>
      <c r="P179" s="32"/>
      <c r="Q179" s="32"/>
      <c r="R179" s="32"/>
      <c r="S179" s="32"/>
      <c r="T179" s="24"/>
      <c r="U179" s="32"/>
      <c r="V179" s="24"/>
      <c r="W179" s="103"/>
      <c r="X179" s="103"/>
      <c r="Y179" s="104" t="str">
        <f t="shared" si="5"/>
        <v/>
      </c>
      <c r="Z179" s="32"/>
      <c r="AA179" s="32"/>
      <c r="AB179" s="32"/>
      <c r="AC179" s="32"/>
      <c r="AD179" s="32"/>
      <c r="AE179" s="38"/>
      <c r="AF179" s="38"/>
      <c r="AG179" s="32"/>
      <c r="AH179" s="32"/>
      <c r="AI179" s="32"/>
    </row>
    <row r="180" ht="16.5" customHeight="1">
      <c r="A180" s="1"/>
      <c r="B180" s="32"/>
      <c r="C180" s="32"/>
      <c r="D180" s="32"/>
      <c r="E180" s="32"/>
      <c r="F180" s="32"/>
      <c r="G180" s="32"/>
      <c r="H180" s="32"/>
      <c r="I180" s="103"/>
      <c r="J180" s="103"/>
      <c r="K180" s="104" t="str">
        <f t="shared" si="4"/>
        <v/>
      </c>
      <c r="L180" s="32"/>
      <c r="M180" s="32"/>
      <c r="N180" s="32"/>
      <c r="O180" s="32"/>
      <c r="P180" s="32"/>
      <c r="Q180" s="32"/>
      <c r="R180" s="32"/>
      <c r="S180" s="32"/>
      <c r="T180" s="24"/>
      <c r="U180" s="32"/>
      <c r="V180" s="24"/>
      <c r="W180" s="103"/>
      <c r="X180" s="103"/>
      <c r="Y180" s="104" t="str">
        <f t="shared" si="5"/>
        <v/>
      </c>
      <c r="Z180" s="32"/>
      <c r="AA180" s="32"/>
      <c r="AB180" s="32"/>
      <c r="AC180" s="32"/>
      <c r="AD180" s="32"/>
      <c r="AE180" s="38"/>
      <c r="AF180" s="38"/>
      <c r="AG180" s="32"/>
      <c r="AH180" s="32"/>
      <c r="AI180" s="32"/>
    </row>
    <row r="181" ht="16.5" customHeight="1">
      <c r="A181" s="1"/>
      <c r="B181" s="32"/>
      <c r="C181" s="32"/>
      <c r="D181" s="32"/>
      <c r="E181" s="32"/>
      <c r="F181" s="32"/>
      <c r="G181" s="32"/>
      <c r="H181" s="32"/>
      <c r="I181" s="103"/>
      <c r="J181" s="103"/>
      <c r="K181" s="104" t="str">
        <f t="shared" si="4"/>
        <v/>
      </c>
      <c r="L181" s="32"/>
      <c r="M181" s="32"/>
      <c r="N181" s="32"/>
      <c r="O181" s="32"/>
      <c r="P181" s="32"/>
      <c r="Q181" s="32"/>
      <c r="R181" s="32"/>
      <c r="S181" s="32"/>
      <c r="T181" s="24"/>
      <c r="U181" s="32"/>
      <c r="V181" s="24"/>
      <c r="W181" s="103"/>
      <c r="X181" s="103"/>
      <c r="Y181" s="104" t="str">
        <f t="shared" si="5"/>
        <v/>
      </c>
      <c r="Z181" s="32"/>
      <c r="AA181" s="32"/>
      <c r="AB181" s="32"/>
      <c r="AC181" s="32"/>
      <c r="AD181" s="32"/>
      <c r="AE181" s="38"/>
      <c r="AF181" s="38"/>
      <c r="AG181" s="32"/>
      <c r="AH181" s="32"/>
      <c r="AI181" s="32"/>
    </row>
    <row r="182" ht="16.5" customHeight="1">
      <c r="A182" s="1"/>
      <c r="B182" s="32"/>
      <c r="C182" s="32"/>
      <c r="D182" s="32"/>
      <c r="E182" s="32"/>
      <c r="F182" s="32"/>
      <c r="G182" s="32"/>
      <c r="H182" s="32"/>
      <c r="I182" s="103"/>
      <c r="J182" s="103"/>
      <c r="K182" s="104" t="str">
        <f t="shared" si="4"/>
        <v/>
      </c>
      <c r="L182" s="32"/>
      <c r="M182" s="32"/>
      <c r="N182" s="32"/>
      <c r="O182" s="32"/>
      <c r="P182" s="32"/>
      <c r="Q182" s="32"/>
      <c r="R182" s="32"/>
      <c r="S182" s="32"/>
      <c r="T182" s="24"/>
      <c r="U182" s="32"/>
      <c r="V182" s="24"/>
      <c r="W182" s="103"/>
      <c r="X182" s="103"/>
      <c r="Y182" s="104" t="str">
        <f t="shared" si="5"/>
        <v/>
      </c>
      <c r="Z182" s="32"/>
      <c r="AA182" s="32"/>
      <c r="AB182" s="32"/>
      <c r="AC182" s="32"/>
      <c r="AD182" s="32"/>
      <c r="AE182" s="38"/>
      <c r="AF182" s="38"/>
      <c r="AG182" s="32"/>
      <c r="AH182" s="32"/>
      <c r="AI182" s="32"/>
    </row>
    <row r="183" ht="16.5" customHeight="1">
      <c r="A183" s="1"/>
      <c r="B183" s="32"/>
      <c r="C183" s="32"/>
      <c r="D183" s="32"/>
      <c r="E183" s="32"/>
      <c r="F183" s="32"/>
      <c r="G183" s="32"/>
      <c r="H183" s="32"/>
      <c r="I183" s="103"/>
      <c r="J183" s="103"/>
      <c r="K183" s="104" t="str">
        <f t="shared" si="4"/>
        <v/>
      </c>
      <c r="L183" s="32"/>
      <c r="M183" s="32"/>
      <c r="N183" s="32"/>
      <c r="O183" s="32"/>
      <c r="P183" s="32"/>
      <c r="Q183" s="32"/>
      <c r="R183" s="32"/>
      <c r="S183" s="32"/>
      <c r="T183" s="24"/>
      <c r="U183" s="32"/>
      <c r="V183" s="24"/>
      <c r="W183" s="103"/>
      <c r="X183" s="103"/>
      <c r="Y183" s="104" t="str">
        <f t="shared" si="5"/>
        <v/>
      </c>
      <c r="Z183" s="32"/>
      <c r="AA183" s="32"/>
      <c r="AB183" s="32"/>
      <c r="AC183" s="32"/>
      <c r="AD183" s="32"/>
      <c r="AE183" s="38"/>
      <c r="AF183" s="38"/>
      <c r="AG183" s="32"/>
      <c r="AH183" s="32"/>
      <c r="AI183" s="32"/>
    </row>
    <row r="184" ht="16.5" customHeight="1">
      <c r="A184" s="1"/>
      <c r="B184" s="32"/>
      <c r="C184" s="32"/>
      <c r="D184" s="32"/>
      <c r="E184" s="32"/>
      <c r="F184" s="32"/>
      <c r="G184" s="32"/>
      <c r="H184" s="32"/>
      <c r="I184" s="103"/>
      <c r="J184" s="103"/>
      <c r="K184" s="104" t="str">
        <f t="shared" si="4"/>
        <v/>
      </c>
      <c r="L184" s="32"/>
      <c r="M184" s="32"/>
      <c r="N184" s="32"/>
      <c r="O184" s="32"/>
      <c r="P184" s="32"/>
      <c r="Q184" s="32"/>
      <c r="R184" s="32"/>
      <c r="S184" s="32"/>
      <c r="T184" s="24"/>
      <c r="U184" s="32"/>
      <c r="V184" s="24"/>
      <c r="W184" s="103"/>
      <c r="X184" s="103"/>
      <c r="Y184" s="104" t="str">
        <f t="shared" si="5"/>
        <v/>
      </c>
      <c r="Z184" s="32"/>
      <c r="AA184" s="32"/>
      <c r="AB184" s="32"/>
      <c r="AC184" s="32"/>
      <c r="AD184" s="32"/>
      <c r="AE184" s="38"/>
      <c r="AF184" s="38"/>
      <c r="AG184" s="32"/>
      <c r="AH184" s="32"/>
      <c r="AI184" s="32"/>
    </row>
    <row r="185" ht="16.5" customHeight="1">
      <c r="A185" s="1"/>
      <c r="B185" s="32"/>
      <c r="C185" s="32"/>
      <c r="D185" s="32"/>
      <c r="E185" s="32"/>
      <c r="F185" s="32"/>
      <c r="G185" s="32"/>
      <c r="H185" s="32"/>
      <c r="I185" s="103"/>
      <c r="J185" s="103"/>
      <c r="K185" s="104" t="str">
        <f t="shared" si="4"/>
        <v/>
      </c>
      <c r="L185" s="32"/>
      <c r="M185" s="32"/>
      <c r="N185" s="32"/>
      <c r="O185" s="32"/>
      <c r="P185" s="32"/>
      <c r="Q185" s="32"/>
      <c r="R185" s="32"/>
      <c r="S185" s="32"/>
      <c r="T185" s="24"/>
      <c r="U185" s="32"/>
      <c r="V185" s="24"/>
      <c r="W185" s="103"/>
      <c r="X185" s="103"/>
      <c r="Y185" s="104" t="str">
        <f t="shared" si="5"/>
        <v/>
      </c>
      <c r="Z185" s="32"/>
      <c r="AA185" s="32"/>
      <c r="AB185" s="32"/>
      <c r="AC185" s="32"/>
      <c r="AD185" s="32"/>
      <c r="AE185" s="38"/>
      <c r="AF185" s="38"/>
      <c r="AG185" s="32"/>
      <c r="AH185" s="32"/>
      <c r="AI185" s="32"/>
    </row>
    <row r="186" ht="16.5" customHeight="1">
      <c r="A186" s="1"/>
      <c r="B186" s="32"/>
      <c r="C186" s="32"/>
      <c r="D186" s="32"/>
      <c r="E186" s="32"/>
      <c r="F186" s="32"/>
      <c r="G186" s="32"/>
      <c r="H186" s="32"/>
      <c r="I186" s="103"/>
      <c r="J186" s="103"/>
      <c r="K186" s="104" t="str">
        <f t="shared" si="4"/>
        <v/>
      </c>
      <c r="L186" s="32"/>
      <c r="M186" s="32"/>
      <c r="N186" s="32"/>
      <c r="O186" s="32"/>
      <c r="P186" s="32"/>
      <c r="Q186" s="32"/>
      <c r="R186" s="32"/>
      <c r="S186" s="32"/>
      <c r="T186" s="24"/>
      <c r="U186" s="32"/>
      <c r="V186" s="24"/>
      <c r="W186" s="103"/>
      <c r="X186" s="103"/>
      <c r="Y186" s="104" t="str">
        <f t="shared" si="5"/>
        <v/>
      </c>
      <c r="Z186" s="32"/>
      <c r="AA186" s="32"/>
      <c r="AB186" s="32"/>
      <c r="AC186" s="32"/>
      <c r="AD186" s="32"/>
      <c r="AE186" s="38"/>
      <c r="AF186" s="38"/>
      <c r="AG186" s="32"/>
      <c r="AH186" s="32"/>
      <c r="AI186" s="32"/>
    </row>
    <row r="187" ht="16.5" customHeight="1">
      <c r="A187" s="1"/>
      <c r="B187" s="32"/>
      <c r="C187" s="32"/>
      <c r="D187" s="32"/>
      <c r="E187" s="32"/>
      <c r="F187" s="32"/>
      <c r="G187" s="32"/>
      <c r="H187" s="32"/>
      <c r="I187" s="103"/>
      <c r="J187" s="103"/>
      <c r="K187" s="104" t="str">
        <f t="shared" si="4"/>
        <v/>
      </c>
      <c r="L187" s="32"/>
      <c r="M187" s="32"/>
      <c r="N187" s="32"/>
      <c r="O187" s="32"/>
      <c r="P187" s="32"/>
      <c r="Q187" s="32"/>
      <c r="R187" s="32"/>
      <c r="S187" s="32"/>
      <c r="T187" s="24"/>
      <c r="U187" s="32"/>
      <c r="V187" s="24"/>
      <c r="W187" s="103"/>
      <c r="X187" s="103"/>
      <c r="Y187" s="104" t="str">
        <f t="shared" si="5"/>
        <v/>
      </c>
      <c r="Z187" s="32"/>
      <c r="AA187" s="32"/>
      <c r="AB187" s="32"/>
      <c r="AC187" s="32"/>
      <c r="AD187" s="32"/>
      <c r="AE187" s="38"/>
      <c r="AF187" s="38"/>
      <c r="AG187" s="32"/>
      <c r="AH187" s="32"/>
      <c r="AI187" s="32"/>
    </row>
    <row r="188" ht="16.5" customHeight="1">
      <c r="A188" s="1"/>
      <c r="B188" s="32"/>
      <c r="C188" s="32"/>
      <c r="D188" s="32"/>
      <c r="E188" s="32"/>
      <c r="F188" s="32"/>
      <c r="G188" s="32"/>
      <c r="H188" s="32"/>
      <c r="I188" s="103"/>
      <c r="J188" s="103"/>
      <c r="K188" s="104" t="str">
        <f t="shared" si="4"/>
        <v/>
      </c>
      <c r="L188" s="32"/>
      <c r="M188" s="32"/>
      <c r="N188" s="32"/>
      <c r="O188" s="32"/>
      <c r="P188" s="32"/>
      <c r="Q188" s="32"/>
      <c r="R188" s="32"/>
      <c r="S188" s="32"/>
      <c r="T188" s="24"/>
      <c r="U188" s="32"/>
      <c r="V188" s="24"/>
      <c r="W188" s="103"/>
      <c r="X188" s="103"/>
      <c r="Y188" s="104" t="str">
        <f t="shared" si="5"/>
        <v/>
      </c>
      <c r="Z188" s="32"/>
      <c r="AA188" s="32"/>
      <c r="AB188" s="32"/>
      <c r="AC188" s="32"/>
      <c r="AD188" s="32"/>
      <c r="AE188" s="38"/>
      <c r="AF188" s="38"/>
      <c r="AG188" s="32"/>
      <c r="AH188" s="32"/>
      <c r="AI188" s="32"/>
    </row>
    <row r="189" ht="16.5" customHeight="1">
      <c r="A189" s="1"/>
      <c r="B189" s="32"/>
      <c r="C189" s="32"/>
      <c r="D189" s="32"/>
      <c r="E189" s="32"/>
      <c r="F189" s="32"/>
      <c r="G189" s="32"/>
      <c r="H189" s="32"/>
      <c r="I189" s="103"/>
      <c r="J189" s="103"/>
      <c r="K189" s="104" t="str">
        <f t="shared" si="4"/>
        <v/>
      </c>
      <c r="L189" s="32"/>
      <c r="M189" s="32"/>
      <c r="N189" s="32"/>
      <c r="O189" s="32"/>
      <c r="P189" s="32"/>
      <c r="Q189" s="32"/>
      <c r="R189" s="32"/>
      <c r="S189" s="32"/>
      <c r="T189" s="24"/>
      <c r="U189" s="32"/>
      <c r="V189" s="24"/>
      <c r="W189" s="103"/>
      <c r="X189" s="103"/>
      <c r="Y189" s="104" t="str">
        <f t="shared" si="5"/>
        <v/>
      </c>
      <c r="Z189" s="32"/>
      <c r="AA189" s="32"/>
      <c r="AB189" s="32"/>
      <c r="AC189" s="32"/>
      <c r="AD189" s="32"/>
      <c r="AE189" s="38"/>
      <c r="AF189" s="38"/>
      <c r="AG189" s="32"/>
      <c r="AH189" s="32"/>
      <c r="AI189" s="32"/>
    </row>
    <row r="190" ht="16.5" customHeight="1">
      <c r="A190" s="1"/>
      <c r="B190" s="32"/>
      <c r="C190" s="32"/>
      <c r="D190" s="32"/>
      <c r="E190" s="32"/>
      <c r="F190" s="32"/>
      <c r="G190" s="32"/>
      <c r="H190" s="32"/>
      <c r="I190" s="103"/>
      <c r="J190" s="103"/>
      <c r="K190" s="104" t="str">
        <f t="shared" si="4"/>
        <v/>
      </c>
      <c r="L190" s="32"/>
      <c r="M190" s="32"/>
      <c r="N190" s="32"/>
      <c r="O190" s="32"/>
      <c r="P190" s="32"/>
      <c r="Q190" s="32"/>
      <c r="R190" s="32"/>
      <c r="S190" s="32"/>
      <c r="T190" s="24"/>
      <c r="U190" s="32"/>
      <c r="V190" s="24"/>
      <c r="W190" s="103"/>
      <c r="X190" s="103"/>
      <c r="Y190" s="104" t="str">
        <f t="shared" si="5"/>
        <v/>
      </c>
      <c r="Z190" s="32"/>
      <c r="AA190" s="32"/>
      <c r="AB190" s="32"/>
      <c r="AC190" s="32"/>
      <c r="AD190" s="32"/>
      <c r="AE190" s="38"/>
      <c r="AF190" s="38"/>
      <c r="AG190" s="32"/>
      <c r="AH190" s="32"/>
      <c r="AI190" s="32"/>
    </row>
    <row r="191" ht="16.5" customHeight="1">
      <c r="A191" s="1"/>
      <c r="B191" s="32"/>
      <c r="C191" s="32"/>
      <c r="D191" s="32"/>
      <c r="E191" s="32"/>
      <c r="F191" s="32"/>
      <c r="G191" s="32"/>
      <c r="H191" s="32"/>
      <c r="I191" s="103"/>
      <c r="J191" s="103"/>
      <c r="K191" s="104" t="str">
        <f t="shared" si="4"/>
        <v/>
      </c>
      <c r="L191" s="32"/>
      <c r="M191" s="32"/>
      <c r="N191" s="32"/>
      <c r="O191" s="32"/>
      <c r="P191" s="32"/>
      <c r="Q191" s="32"/>
      <c r="R191" s="32"/>
      <c r="S191" s="32"/>
      <c r="T191" s="24"/>
      <c r="U191" s="32"/>
      <c r="V191" s="24"/>
      <c r="W191" s="103"/>
      <c r="X191" s="103"/>
      <c r="Y191" s="104" t="str">
        <f t="shared" si="5"/>
        <v/>
      </c>
      <c r="Z191" s="32"/>
      <c r="AA191" s="32"/>
      <c r="AB191" s="32"/>
      <c r="AC191" s="32"/>
      <c r="AD191" s="32"/>
      <c r="AE191" s="38"/>
      <c r="AF191" s="38"/>
      <c r="AG191" s="32"/>
      <c r="AH191" s="32"/>
      <c r="AI191" s="32"/>
    </row>
    <row r="192" ht="16.5" customHeight="1">
      <c r="A192" s="1"/>
      <c r="B192" s="32"/>
      <c r="C192" s="32"/>
      <c r="D192" s="32"/>
      <c r="E192" s="32"/>
      <c r="F192" s="32"/>
      <c r="G192" s="32"/>
      <c r="H192" s="32"/>
      <c r="I192" s="103"/>
      <c r="J192" s="103"/>
      <c r="K192" s="104" t="str">
        <f t="shared" si="4"/>
        <v/>
      </c>
      <c r="L192" s="32"/>
      <c r="M192" s="32"/>
      <c r="N192" s="32"/>
      <c r="O192" s="32"/>
      <c r="P192" s="32"/>
      <c r="Q192" s="32"/>
      <c r="R192" s="32"/>
      <c r="S192" s="32"/>
      <c r="T192" s="24"/>
      <c r="U192" s="32"/>
      <c r="V192" s="24"/>
      <c r="W192" s="103"/>
      <c r="X192" s="103"/>
      <c r="Y192" s="104" t="str">
        <f t="shared" si="5"/>
        <v/>
      </c>
      <c r="Z192" s="32"/>
      <c r="AA192" s="32"/>
      <c r="AB192" s="32"/>
      <c r="AC192" s="32"/>
      <c r="AD192" s="32"/>
      <c r="AE192" s="38"/>
      <c r="AF192" s="38"/>
      <c r="AG192" s="32"/>
      <c r="AH192" s="32"/>
      <c r="AI192" s="32"/>
    </row>
    <row r="193" ht="16.5" customHeight="1">
      <c r="A193" s="1"/>
      <c r="B193" s="32"/>
      <c r="C193" s="32"/>
      <c r="D193" s="32"/>
      <c r="E193" s="32"/>
      <c r="F193" s="32"/>
      <c r="G193" s="32"/>
      <c r="H193" s="32"/>
      <c r="I193" s="103"/>
      <c r="J193" s="103"/>
      <c r="K193" s="104" t="str">
        <f t="shared" si="4"/>
        <v/>
      </c>
      <c r="L193" s="32"/>
      <c r="M193" s="32"/>
      <c r="N193" s="32"/>
      <c r="O193" s="32"/>
      <c r="P193" s="32"/>
      <c r="Q193" s="32"/>
      <c r="R193" s="32"/>
      <c r="S193" s="32"/>
      <c r="T193" s="24"/>
      <c r="U193" s="32"/>
      <c r="V193" s="24"/>
      <c r="W193" s="103"/>
      <c r="X193" s="103"/>
      <c r="Y193" s="104" t="str">
        <f t="shared" si="5"/>
        <v/>
      </c>
      <c r="Z193" s="32"/>
      <c r="AA193" s="32"/>
      <c r="AB193" s="32"/>
      <c r="AC193" s="32"/>
      <c r="AD193" s="32"/>
      <c r="AE193" s="38"/>
      <c r="AF193" s="38"/>
      <c r="AG193" s="32"/>
      <c r="AH193" s="32"/>
      <c r="AI193" s="32"/>
    </row>
    <row r="194" ht="16.5" customHeight="1">
      <c r="A194" s="1"/>
      <c r="B194" s="32"/>
      <c r="C194" s="32"/>
      <c r="D194" s="32"/>
      <c r="E194" s="32"/>
      <c r="F194" s="32"/>
      <c r="G194" s="32"/>
      <c r="H194" s="32"/>
      <c r="I194" s="103"/>
      <c r="J194" s="103"/>
      <c r="K194" s="104" t="str">
        <f t="shared" si="4"/>
        <v/>
      </c>
      <c r="L194" s="32"/>
      <c r="M194" s="32"/>
      <c r="N194" s="32"/>
      <c r="O194" s="32"/>
      <c r="P194" s="32"/>
      <c r="Q194" s="32"/>
      <c r="R194" s="32"/>
      <c r="S194" s="32"/>
      <c r="T194" s="24"/>
      <c r="U194" s="32"/>
      <c r="V194" s="24"/>
      <c r="W194" s="103"/>
      <c r="X194" s="103"/>
      <c r="Y194" s="104" t="str">
        <f t="shared" si="5"/>
        <v/>
      </c>
      <c r="Z194" s="32"/>
      <c r="AA194" s="32"/>
      <c r="AB194" s="32"/>
      <c r="AC194" s="32"/>
      <c r="AD194" s="32"/>
      <c r="AE194" s="38"/>
      <c r="AF194" s="38"/>
      <c r="AG194" s="32"/>
      <c r="AH194" s="32"/>
      <c r="AI194" s="32"/>
    </row>
    <row r="195" ht="16.5" customHeight="1">
      <c r="A195" s="1"/>
      <c r="B195" s="32"/>
      <c r="C195" s="32"/>
      <c r="D195" s="32"/>
      <c r="E195" s="32"/>
      <c r="F195" s="32"/>
      <c r="G195" s="32"/>
      <c r="H195" s="32"/>
      <c r="I195" s="103"/>
      <c r="J195" s="103"/>
      <c r="K195" s="104" t="str">
        <f t="shared" si="4"/>
        <v/>
      </c>
      <c r="L195" s="32"/>
      <c r="M195" s="32"/>
      <c r="N195" s="32"/>
      <c r="O195" s="32"/>
      <c r="P195" s="32"/>
      <c r="Q195" s="32"/>
      <c r="R195" s="32"/>
      <c r="S195" s="32"/>
      <c r="T195" s="24"/>
      <c r="U195" s="32"/>
      <c r="V195" s="24"/>
      <c r="W195" s="103"/>
      <c r="X195" s="103"/>
      <c r="Y195" s="104" t="str">
        <f t="shared" si="5"/>
        <v/>
      </c>
      <c r="Z195" s="32"/>
      <c r="AA195" s="32"/>
      <c r="AB195" s="32"/>
      <c r="AC195" s="32"/>
      <c r="AD195" s="32"/>
      <c r="AE195" s="38"/>
      <c r="AF195" s="38"/>
      <c r="AG195" s="32"/>
      <c r="AH195" s="32"/>
      <c r="AI195" s="32"/>
    </row>
    <row r="196" ht="16.5" customHeight="1">
      <c r="A196" s="1"/>
      <c r="B196" s="32"/>
      <c r="C196" s="32"/>
      <c r="D196" s="32"/>
      <c r="E196" s="32"/>
      <c r="F196" s="32"/>
      <c r="G196" s="32"/>
      <c r="H196" s="32"/>
      <c r="I196" s="103"/>
      <c r="J196" s="103"/>
      <c r="K196" s="104" t="str">
        <f t="shared" si="4"/>
        <v/>
      </c>
      <c r="L196" s="32"/>
      <c r="M196" s="32"/>
      <c r="N196" s="32"/>
      <c r="O196" s="32"/>
      <c r="P196" s="32"/>
      <c r="Q196" s="32"/>
      <c r="R196" s="32"/>
      <c r="S196" s="32"/>
      <c r="T196" s="24"/>
      <c r="U196" s="32"/>
      <c r="V196" s="24"/>
      <c r="W196" s="103"/>
      <c r="X196" s="103"/>
      <c r="Y196" s="104" t="str">
        <f t="shared" si="5"/>
        <v/>
      </c>
      <c r="Z196" s="32"/>
      <c r="AA196" s="32"/>
      <c r="AB196" s="32"/>
      <c r="AC196" s="32"/>
      <c r="AD196" s="32"/>
      <c r="AE196" s="38"/>
      <c r="AF196" s="38"/>
      <c r="AG196" s="32"/>
      <c r="AH196" s="32"/>
      <c r="AI196" s="32"/>
    </row>
    <row r="197" ht="16.5" customHeight="1">
      <c r="A197" s="1"/>
      <c r="B197" s="32"/>
      <c r="C197" s="32"/>
      <c r="D197" s="32"/>
      <c r="E197" s="32"/>
      <c r="F197" s="32"/>
      <c r="G197" s="32"/>
      <c r="H197" s="32"/>
      <c r="I197" s="103"/>
      <c r="J197" s="103"/>
      <c r="K197" s="104" t="str">
        <f t="shared" si="4"/>
        <v/>
      </c>
      <c r="L197" s="32"/>
      <c r="M197" s="32"/>
      <c r="N197" s="32"/>
      <c r="O197" s="32"/>
      <c r="P197" s="32"/>
      <c r="Q197" s="32"/>
      <c r="R197" s="32"/>
      <c r="S197" s="32"/>
      <c r="T197" s="24"/>
      <c r="U197" s="32"/>
      <c r="V197" s="24"/>
      <c r="W197" s="103"/>
      <c r="X197" s="103"/>
      <c r="Y197" s="104" t="str">
        <f t="shared" si="5"/>
        <v/>
      </c>
      <c r="Z197" s="32"/>
      <c r="AA197" s="32"/>
      <c r="AB197" s="32"/>
      <c r="AC197" s="32"/>
      <c r="AD197" s="32"/>
      <c r="AE197" s="38"/>
      <c r="AF197" s="38"/>
      <c r="AG197" s="32"/>
      <c r="AH197" s="32"/>
      <c r="AI197" s="32"/>
    </row>
    <row r="198" ht="16.5" customHeight="1">
      <c r="A198" s="1"/>
      <c r="B198" s="32"/>
      <c r="C198" s="32"/>
      <c r="D198" s="32"/>
      <c r="E198" s="32"/>
      <c r="F198" s="32"/>
      <c r="G198" s="32"/>
      <c r="H198" s="32"/>
      <c r="I198" s="103"/>
      <c r="J198" s="103"/>
      <c r="K198" s="104" t="str">
        <f t="shared" si="4"/>
        <v/>
      </c>
      <c r="L198" s="32"/>
      <c r="M198" s="32"/>
      <c r="N198" s="32"/>
      <c r="O198" s="32"/>
      <c r="P198" s="32"/>
      <c r="Q198" s="32"/>
      <c r="R198" s="32"/>
      <c r="S198" s="32"/>
      <c r="T198" s="24"/>
      <c r="U198" s="32"/>
      <c r="V198" s="24"/>
      <c r="W198" s="103"/>
      <c r="X198" s="103"/>
      <c r="Y198" s="104" t="str">
        <f t="shared" si="5"/>
        <v/>
      </c>
      <c r="Z198" s="32"/>
      <c r="AA198" s="32"/>
      <c r="AB198" s="32"/>
      <c r="AC198" s="32"/>
      <c r="AD198" s="32"/>
      <c r="AE198" s="38"/>
      <c r="AF198" s="38"/>
      <c r="AG198" s="32"/>
      <c r="AH198" s="32"/>
      <c r="AI198" s="32"/>
    </row>
    <row r="199" ht="16.5" customHeight="1">
      <c r="A199" s="1"/>
      <c r="B199" s="32"/>
      <c r="C199" s="32"/>
      <c r="D199" s="32"/>
      <c r="E199" s="32"/>
      <c r="F199" s="32"/>
      <c r="G199" s="32"/>
      <c r="H199" s="32"/>
      <c r="I199" s="103"/>
      <c r="J199" s="103"/>
      <c r="K199" s="104" t="str">
        <f t="shared" si="4"/>
        <v/>
      </c>
      <c r="L199" s="32"/>
      <c r="M199" s="32"/>
      <c r="N199" s="32"/>
      <c r="O199" s="32"/>
      <c r="P199" s="32"/>
      <c r="Q199" s="32"/>
      <c r="R199" s="32"/>
      <c r="S199" s="32"/>
      <c r="T199" s="24"/>
      <c r="U199" s="32"/>
      <c r="V199" s="24"/>
      <c r="W199" s="103"/>
      <c r="X199" s="103"/>
      <c r="Y199" s="104" t="str">
        <f t="shared" si="5"/>
        <v/>
      </c>
      <c r="Z199" s="32"/>
      <c r="AA199" s="32"/>
      <c r="AB199" s="32"/>
      <c r="AC199" s="32"/>
      <c r="AD199" s="32"/>
      <c r="AE199" s="38"/>
      <c r="AF199" s="38"/>
      <c r="AG199" s="32"/>
      <c r="AH199" s="32"/>
      <c r="AI199" s="32"/>
    </row>
    <row r="200" ht="16.5" customHeight="1">
      <c r="A200" s="1"/>
      <c r="B200" s="32"/>
      <c r="C200" s="32"/>
      <c r="D200" s="32"/>
      <c r="E200" s="32"/>
      <c r="F200" s="32"/>
      <c r="G200" s="32"/>
      <c r="H200" s="32"/>
      <c r="I200" s="103"/>
      <c r="J200" s="103"/>
      <c r="K200" s="104" t="str">
        <f t="shared" si="4"/>
        <v/>
      </c>
      <c r="L200" s="32"/>
      <c r="M200" s="32"/>
      <c r="N200" s="32"/>
      <c r="O200" s="32"/>
      <c r="P200" s="32"/>
      <c r="Q200" s="32"/>
      <c r="R200" s="32"/>
      <c r="S200" s="32"/>
      <c r="T200" s="24"/>
      <c r="U200" s="32"/>
      <c r="V200" s="24"/>
      <c r="W200" s="103"/>
      <c r="X200" s="103"/>
      <c r="Y200" s="104" t="str">
        <f t="shared" si="5"/>
        <v/>
      </c>
      <c r="Z200" s="32"/>
      <c r="AA200" s="32"/>
      <c r="AB200" s="32"/>
      <c r="AC200" s="32"/>
      <c r="AD200" s="32"/>
      <c r="AE200" s="38"/>
      <c r="AF200" s="38"/>
      <c r="AG200" s="32"/>
      <c r="AH200" s="32"/>
      <c r="AI200" s="32"/>
    </row>
    <row r="201" ht="16.5" customHeight="1">
      <c r="A201" s="1"/>
      <c r="B201" s="32"/>
      <c r="C201" s="32"/>
      <c r="D201" s="32"/>
      <c r="E201" s="32"/>
      <c r="F201" s="32"/>
      <c r="G201" s="32"/>
      <c r="H201" s="32"/>
      <c r="I201" s="103"/>
      <c r="J201" s="103"/>
      <c r="K201" s="104" t="str">
        <f t="shared" si="4"/>
        <v/>
      </c>
      <c r="L201" s="32"/>
      <c r="M201" s="32"/>
      <c r="N201" s="32"/>
      <c r="O201" s="32"/>
      <c r="P201" s="32"/>
      <c r="Q201" s="32"/>
      <c r="R201" s="32"/>
      <c r="S201" s="32"/>
      <c r="T201" s="24"/>
      <c r="U201" s="32"/>
      <c r="V201" s="24"/>
      <c r="W201" s="103"/>
      <c r="X201" s="103"/>
      <c r="Y201" s="104" t="str">
        <f t="shared" si="5"/>
        <v/>
      </c>
      <c r="Z201" s="32"/>
      <c r="AA201" s="32"/>
      <c r="AB201" s="32"/>
      <c r="AC201" s="32"/>
      <c r="AD201" s="32"/>
      <c r="AE201" s="38"/>
      <c r="AF201" s="38"/>
      <c r="AG201" s="32"/>
      <c r="AH201" s="32"/>
      <c r="AI201" s="32"/>
    </row>
    <row r="202" ht="16.5" customHeight="1">
      <c r="A202" s="1"/>
      <c r="B202" s="32"/>
      <c r="C202" s="32"/>
      <c r="D202" s="32"/>
      <c r="E202" s="32"/>
      <c r="F202" s="32"/>
      <c r="G202" s="32"/>
      <c r="H202" s="32"/>
      <c r="I202" s="103"/>
      <c r="J202" s="103"/>
      <c r="K202" s="104" t="str">
        <f t="shared" si="4"/>
        <v/>
      </c>
      <c r="L202" s="32"/>
      <c r="M202" s="32"/>
      <c r="N202" s="32"/>
      <c r="O202" s="32"/>
      <c r="P202" s="32"/>
      <c r="Q202" s="32"/>
      <c r="R202" s="32"/>
      <c r="S202" s="32"/>
      <c r="T202" s="24"/>
      <c r="U202" s="32"/>
      <c r="V202" s="24"/>
      <c r="W202" s="103"/>
      <c r="X202" s="103"/>
      <c r="Y202" s="104" t="str">
        <f t="shared" si="5"/>
        <v/>
      </c>
      <c r="Z202" s="32"/>
      <c r="AA202" s="32"/>
      <c r="AB202" s="32"/>
      <c r="AC202" s="32"/>
      <c r="AD202" s="32"/>
      <c r="AE202" s="38"/>
      <c r="AF202" s="38"/>
      <c r="AG202" s="32"/>
      <c r="AH202" s="32"/>
      <c r="AI202" s="32"/>
    </row>
    <row r="203" ht="16.5" customHeight="1">
      <c r="A203" s="1"/>
      <c r="B203" s="32"/>
      <c r="C203" s="32"/>
      <c r="D203" s="32"/>
      <c r="E203" s="32"/>
      <c r="F203" s="32"/>
      <c r="G203" s="32"/>
      <c r="H203" s="32"/>
      <c r="I203" s="103"/>
      <c r="J203" s="103"/>
      <c r="K203" s="104" t="str">
        <f t="shared" si="4"/>
        <v/>
      </c>
      <c r="L203" s="32"/>
      <c r="M203" s="32"/>
      <c r="N203" s="32"/>
      <c r="O203" s="32"/>
      <c r="P203" s="32"/>
      <c r="Q203" s="32"/>
      <c r="R203" s="32"/>
      <c r="S203" s="32"/>
      <c r="T203" s="24"/>
      <c r="U203" s="32"/>
      <c r="V203" s="24"/>
      <c r="W203" s="103"/>
      <c r="X203" s="103"/>
      <c r="Y203" s="104" t="str">
        <f t="shared" si="5"/>
        <v/>
      </c>
      <c r="Z203" s="32"/>
      <c r="AA203" s="32"/>
      <c r="AB203" s="32"/>
      <c r="AC203" s="32"/>
      <c r="AD203" s="32"/>
      <c r="AE203" s="38"/>
      <c r="AF203" s="38"/>
      <c r="AG203" s="32"/>
      <c r="AH203" s="32"/>
      <c r="AI203" s="32"/>
    </row>
    <row r="204" ht="16.5" customHeight="1">
      <c r="A204" s="1"/>
      <c r="B204" s="32"/>
      <c r="C204" s="32"/>
      <c r="D204" s="32"/>
      <c r="E204" s="32"/>
      <c r="F204" s="32"/>
      <c r="G204" s="32"/>
      <c r="H204" s="32"/>
      <c r="I204" s="103"/>
      <c r="J204" s="103"/>
      <c r="K204" s="104" t="str">
        <f t="shared" si="4"/>
        <v/>
      </c>
      <c r="L204" s="32"/>
      <c r="M204" s="32"/>
      <c r="N204" s="32"/>
      <c r="O204" s="32"/>
      <c r="P204" s="32"/>
      <c r="Q204" s="32"/>
      <c r="R204" s="32"/>
      <c r="S204" s="32"/>
      <c r="T204" s="24"/>
      <c r="U204" s="32"/>
      <c r="V204" s="24"/>
      <c r="W204" s="103"/>
      <c r="X204" s="103"/>
      <c r="Y204" s="104" t="str">
        <f t="shared" si="5"/>
        <v/>
      </c>
      <c r="Z204" s="32"/>
      <c r="AA204" s="32"/>
      <c r="AB204" s="32"/>
      <c r="AC204" s="32"/>
      <c r="AD204" s="32"/>
      <c r="AE204" s="38"/>
      <c r="AF204" s="38"/>
      <c r="AG204" s="32"/>
      <c r="AH204" s="32"/>
      <c r="AI204" s="32"/>
    </row>
    <row r="205" ht="16.5" customHeight="1">
      <c r="A205" s="1"/>
      <c r="B205" s="32"/>
      <c r="C205" s="32"/>
      <c r="D205" s="32"/>
      <c r="E205" s="32"/>
      <c r="F205" s="32"/>
      <c r="G205" s="32"/>
      <c r="H205" s="32"/>
      <c r="I205" s="103"/>
      <c r="J205" s="103"/>
      <c r="K205" s="104" t="str">
        <f t="shared" si="4"/>
        <v/>
      </c>
      <c r="L205" s="32"/>
      <c r="M205" s="32"/>
      <c r="N205" s="32"/>
      <c r="O205" s="32"/>
      <c r="P205" s="32"/>
      <c r="Q205" s="32"/>
      <c r="R205" s="32"/>
      <c r="S205" s="32"/>
      <c r="T205" s="24"/>
      <c r="U205" s="32"/>
      <c r="V205" s="24"/>
      <c r="W205" s="103"/>
      <c r="X205" s="103"/>
      <c r="Y205" s="104" t="str">
        <f t="shared" si="5"/>
        <v/>
      </c>
      <c r="Z205" s="32"/>
      <c r="AA205" s="32"/>
      <c r="AB205" s="32"/>
      <c r="AC205" s="32"/>
      <c r="AD205" s="32"/>
      <c r="AE205" s="38"/>
      <c r="AF205" s="38"/>
      <c r="AG205" s="32"/>
      <c r="AH205" s="32"/>
      <c r="AI205" s="32"/>
    </row>
    <row r="206" ht="16.5" customHeight="1">
      <c r="A206" s="1"/>
      <c r="B206" s="32"/>
      <c r="C206" s="32"/>
      <c r="D206" s="32"/>
      <c r="E206" s="32"/>
      <c r="F206" s="32"/>
      <c r="G206" s="32"/>
      <c r="H206" s="32"/>
      <c r="I206" s="103"/>
      <c r="J206" s="103"/>
      <c r="K206" s="104" t="str">
        <f t="shared" si="4"/>
        <v/>
      </c>
      <c r="L206" s="32"/>
      <c r="M206" s="32"/>
      <c r="N206" s="32"/>
      <c r="O206" s="32"/>
      <c r="P206" s="32"/>
      <c r="Q206" s="32"/>
      <c r="R206" s="32"/>
      <c r="S206" s="32"/>
      <c r="T206" s="24"/>
      <c r="U206" s="32"/>
      <c r="V206" s="24"/>
      <c r="W206" s="103"/>
      <c r="X206" s="103"/>
      <c r="Y206" s="104" t="str">
        <f t="shared" si="5"/>
        <v/>
      </c>
      <c r="Z206" s="32"/>
      <c r="AA206" s="32"/>
      <c r="AB206" s="32"/>
      <c r="AC206" s="32"/>
      <c r="AD206" s="32"/>
      <c r="AE206" s="38"/>
      <c r="AF206" s="38"/>
      <c r="AG206" s="32"/>
      <c r="AH206" s="32"/>
      <c r="AI206" s="32"/>
    </row>
    <row r="207" ht="16.5" customHeight="1">
      <c r="A207" s="1"/>
      <c r="B207" s="32"/>
      <c r="C207" s="32"/>
      <c r="D207" s="32"/>
      <c r="E207" s="32"/>
      <c r="F207" s="32"/>
      <c r="G207" s="32"/>
      <c r="H207" s="32"/>
      <c r="I207" s="103"/>
      <c r="J207" s="103"/>
      <c r="K207" s="104" t="str">
        <f t="shared" si="4"/>
        <v/>
      </c>
      <c r="L207" s="32"/>
      <c r="M207" s="32"/>
      <c r="N207" s="32"/>
      <c r="O207" s="32"/>
      <c r="P207" s="32"/>
      <c r="Q207" s="32"/>
      <c r="R207" s="32"/>
      <c r="S207" s="32"/>
      <c r="T207" s="24"/>
      <c r="U207" s="32"/>
      <c r="V207" s="24"/>
      <c r="W207" s="103"/>
      <c r="X207" s="103"/>
      <c r="Y207" s="104" t="str">
        <f t="shared" si="5"/>
        <v/>
      </c>
      <c r="Z207" s="32"/>
      <c r="AA207" s="32"/>
      <c r="AB207" s="32"/>
      <c r="AC207" s="32"/>
      <c r="AD207" s="32"/>
      <c r="AE207" s="38"/>
      <c r="AF207" s="38"/>
      <c r="AG207" s="32"/>
      <c r="AH207" s="32"/>
      <c r="AI207" s="32"/>
    </row>
    <row r="208" ht="16.5" customHeight="1">
      <c r="A208" s="1"/>
      <c r="B208" s="32"/>
      <c r="C208" s="32"/>
      <c r="D208" s="32"/>
      <c r="E208" s="32"/>
      <c r="F208" s="32"/>
      <c r="G208" s="32"/>
      <c r="H208" s="32"/>
      <c r="I208" s="103"/>
      <c r="J208" s="103"/>
      <c r="K208" s="104" t="str">
        <f t="shared" si="4"/>
        <v/>
      </c>
      <c r="L208" s="32"/>
      <c r="M208" s="32"/>
      <c r="N208" s="32"/>
      <c r="O208" s="32"/>
      <c r="P208" s="32"/>
      <c r="Q208" s="32"/>
      <c r="R208" s="32"/>
      <c r="S208" s="32"/>
      <c r="T208" s="24"/>
      <c r="U208" s="32"/>
      <c r="V208" s="24"/>
      <c r="W208" s="103"/>
      <c r="X208" s="103"/>
      <c r="Y208" s="104" t="str">
        <f t="shared" si="5"/>
        <v/>
      </c>
      <c r="Z208" s="32"/>
      <c r="AA208" s="32"/>
      <c r="AB208" s="32"/>
      <c r="AC208" s="32"/>
      <c r="AD208" s="32"/>
      <c r="AE208" s="38"/>
      <c r="AF208" s="38"/>
      <c r="AG208" s="32"/>
      <c r="AH208" s="32"/>
      <c r="AI208" s="32"/>
    </row>
    <row r="209" ht="16.5" customHeight="1">
      <c r="A209" s="1"/>
      <c r="B209" s="32"/>
      <c r="C209" s="32"/>
      <c r="D209" s="32"/>
      <c r="E209" s="32"/>
      <c r="F209" s="32"/>
      <c r="G209" s="32"/>
      <c r="H209" s="32"/>
      <c r="I209" s="103"/>
      <c r="J209" s="103"/>
      <c r="K209" s="104" t="str">
        <f t="shared" si="4"/>
        <v/>
      </c>
      <c r="L209" s="32"/>
      <c r="M209" s="32"/>
      <c r="N209" s="32"/>
      <c r="O209" s="32"/>
      <c r="P209" s="32"/>
      <c r="Q209" s="32"/>
      <c r="R209" s="32"/>
      <c r="S209" s="32"/>
      <c r="T209" s="24"/>
      <c r="U209" s="32"/>
      <c r="V209" s="24"/>
      <c r="W209" s="103"/>
      <c r="X209" s="103"/>
      <c r="Y209" s="104" t="str">
        <f t="shared" si="5"/>
        <v/>
      </c>
      <c r="Z209" s="32"/>
      <c r="AA209" s="32"/>
      <c r="AB209" s="32"/>
      <c r="AC209" s="32"/>
      <c r="AD209" s="32"/>
      <c r="AE209" s="38"/>
      <c r="AF209" s="38"/>
      <c r="AG209" s="32"/>
      <c r="AH209" s="32"/>
      <c r="AI209" s="32"/>
    </row>
    <row r="210" ht="16.5" customHeight="1">
      <c r="A210" s="1"/>
      <c r="B210" s="32"/>
      <c r="C210" s="32"/>
      <c r="D210" s="32"/>
      <c r="E210" s="32"/>
      <c r="F210" s="32"/>
      <c r="G210" s="32"/>
      <c r="H210" s="32"/>
      <c r="I210" s="103"/>
      <c r="J210" s="103"/>
      <c r="K210" s="104" t="str">
        <f t="shared" si="4"/>
        <v/>
      </c>
      <c r="L210" s="32"/>
      <c r="M210" s="32"/>
      <c r="N210" s="32"/>
      <c r="O210" s="32"/>
      <c r="P210" s="32"/>
      <c r="Q210" s="32"/>
      <c r="R210" s="32"/>
      <c r="S210" s="32"/>
      <c r="T210" s="24"/>
      <c r="U210" s="32"/>
      <c r="V210" s="24"/>
      <c r="W210" s="103"/>
      <c r="X210" s="103"/>
      <c r="Y210" s="104" t="str">
        <f t="shared" si="5"/>
        <v/>
      </c>
      <c r="Z210" s="32"/>
      <c r="AA210" s="32"/>
      <c r="AB210" s="32"/>
      <c r="AC210" s="32"/>
      <c r="AD210" s="32"/>
      <c r="AE210" s="38"/>
      <c r="AF210" s="38"/>
      <c r="AG210" s="32"/>
      <c r="AH210" s="32"/>
      <c r="AI210" s="32"/>
    </row>
    <row r="211" ht="16.5" customHeight="1">
      <c r="A211" s="1"/>
      <c r="B211" s="32"/>
      <c r="C211" s="32"/>
      <c r="D211" s="32"/>
      <c r="E211" s="32"/>
      <c r="F211" s="32"/>
      <c r="G211" s="32"/>
      <c r="H211" s="32"/>
      <c r="I211" s="103"/>
      <c r="J211" s="103"/>
      <c r="K211" s="104" t="str">
        <f t="shared" si="4"/>
        <v/>
      </c>
      <c r="L211" s="32"/>
      <c r="M211" s="32"/>
      <c r="N211" s="32"/>
      <c r="O211" s="32"/>
      <c r="P211" s="32"/>
      <c r="Q211" s="32"/>
      <c r="R211" s="32"/>
      <c r="S211" s="32"/>
      <c r="T211" s="24"/>
      <c r="U211" s="32"/>
      <c r="V211" s="24"/>
      <c r="W211" s="103"/>
      <c r="X211" s="103"/>
      <c r="Y211" s="104" t="str">
        <f t="shared" si="5"/>
        <v/>
      </c>
      <c r="Z211" s="32"/>
      <c r="AA211" s="32"/>
      <c r="AB211" s="32"/>
      <c r="AC211" s="32"/>
      <c r="AD211" s="32"/>
      <c r="AE211" s="38"/>
      <c r="AF211" s="38"/>
      <c r="AG211" s="32"/>
      <c r="AH211" s="32"/>
      <c r="AI211" s="32"/>
    </row>
    <row r="212" ht="16.5" customHeight="1">
      <c r="A212" s="1"/>
      <c r="B212" s="32"/>
      <c r="C212" s="32"/>
      <c r="D212" s="32"/>
      <c r="E212" s="32"/>
      <c r="F212" s="32"/>
      <c r="G212" s="32"/>
      <c r="H212" s="32"/>
      <c r="I212" s="103"/>
      <c r="J212" s="103"/>
      <c r="K212" s="104" t="str">
        <f t="shared" si="4"/>
        <v/>
      </c>
      <c r="L212" s="32"/>
      <c r="M212" s="32"/>
      <c r="N212" s="32"/>
      <c r="O212" s="32"/>
      <c r="P212" s="32"/>
      <c r="Q212" s="32"/>
      <c r="R212" s="32"/>
      <c r="S212" s="32"/>
      <c r="T212" s="24"/>
      <c r="U212" s="32"/>
      <c r="V212" s="24"/>
      <c r="W212" s="103"/>
      <c r="X212" s="103"/>
      <c r="Y212" s="104" t="str">
        <f t="shared" si="5"/>
        <v/>
      </c>
      <c r="Z212" s="32"/>
      <c r="AA212" s="32"/>
      <c r="AB212" s="32"/>
      <c r="AC212" s="32"/>
      <c r="AD212" s="32"/>
      <c r="AE212" s="38"/>
      <c r="AF212" s="38"/>
      <c r="AG212" s="32"/>
      <c r="AH212" s="32"/>
      <c r="AI212" s="32"/>
    </row>
    <row r="213" ht="16.5" customHeight="1">
      <c r="A213" s="1"/>
      <c r="B213" s="32"/>
      <c r="C213" s="32"/>
      <c r="D213" s="32"/>
      <c r="E213" s="32"/>
      <c r="F213" s="32"/>
      <c r="G213" s="32"/>
      <c r="H213" s="32"/>
      <c r="I213" s="103"/>
      <c r="J213" s="103"/>
      <c r="K213" s="104" t="str">
        <f t="shared" si="4"/>
        <v/>
      </c>
      <c r="L213" s="32"/>
      <c r="M213" s="32"/>
      <c r="N213" s="32"/>
      <c r="O213" s="32"/>
      <c r="P213" s="32"/>
      <c r="Q213" s="32"/>
      <c r="R213" s="32"/>
      <c r="S213" s="32"/>
      <c r="T213" s="24"/>
      <c r="U213" s="32"/>
      <c r="V213" s="24"/>
      <c r="W213" s="103"/>
      <c r="X213" s="103"/>
      <c r="Y213" s="104" t="str">
        <f t="shared" si="5"/>
        <v/>
      </c>
      <c r="Z213" s="32"/>
      <c r="AA213" s="32"/>
      <c r="AB213" s="32"/>
      <c r="AC213" s="32"/>
      <c r="AD213" s="32"/>
      <c r="AE213" s="38"/>
      <c r="AF213" s="38"/>
      <c r="AG213" s="32"/>
      <c r="AH213" s="32"/>
      <c r="AI213" s="32"/>
    </row>
    <row r="214" ht="16.5" customHeight="1">
      <c r="A214" s="1"/>
      <c r="B214" s="32"/>
      <c r="C214" s="32"/>
      <c r="D214" s="32"/>
      <c r="E214" s="32"/>
      <c r="F214" s="32"/>
      <c r="G214" s="32"/>
      <c r="H214" s="32"/>
      <c r="I214" s="103"/>
      <c r="J214" s="103"/>
      <c r="K214" s="104" t="str">
        <f t="shared" si="4"/>
        <v/>
      </c>
      <c r="L214" s="32"/>
      <c r="M214" s="32"/>
      <c r="N214" s="32"/>
      <c r="O214" s="32"/>
      <c r="P214" s="32"/>
      <c r="Q214" s="32"/>
      <c r="R214" s="32"/>
      <c r="S214" s="32"/>
      <c r="T214" s="24"/>
      <c r="U214" s="32"/>
      <c r="V214" s="24"/>
      <c r="W214" s="103"/>
      <c r="X214" s="103"/>
      <c r="Y214" s="104" t="str">
        <f t="shared" si="5"/>
        <v/>
      </c>
      <c r="Z214" s="32"/>
      <c r="AA214" s="32"/>
      <c r="AB214" s="32"/>
      <c r="AC214" s="32"/>
      <c r="AD214" s="32"/>
      <c r="AE214" s="38"/>
      <c r="AF214" s="38"/>
      <c r="AG214" s="32"/>
      <c r="AH214" s="32"/>
      <c r="AI214" s="32"/>
    </row>
    <row r="215" ht="16.5" customHeight="1">
      <c r="A215" s="1"/>
      <c r="B215" s="32"/>
      <c r="C215" s="32"/>
      <c r="D215" s="32"/>
      <c r="E215" s="32"/>
      <c r="F215" s="32"/>
      <c r="G215" s="32"/>
      <c r="H215" s="32"/>
      <c r="I215" s="103"/>
      <c r="J215" s="103"/>
      <c r="K215" s="104" t="str">
        <f t="shared" si="4"/>
        <v/>
      </c>
      <c r="L215" s="32"/>
      <c r="M215" s="32"/>
      <c r="N215" s="32"/>
      <c r="O215" s="32"/>
      <c r="P215" s="32"/>
      <c r="Q215" s="32"/>
      <c r="R215" s="32"/>
      <c r="S215" s="32"/>
      <c r="T215" s="24"/>
      <c r="U215" s="32"/>
      <c r="V215" s="24"/>
      <c r="W215" s="103"/>
      <c r="X215" s="103"/>
      <c r="Y215" s="104" t="str">
        <f t="shared" si="5"/>
        <v/>
      </c>
      <c r="Z215" s="32"/>
      <c r="AA215" s="32"/>
      <c r="AB215" s="32"/>
      <c r="AC215" s="32"/>
      <c r="AD215" s="32"/>
      <c r="AE215" s="38"/>
      <c r="AF215" s="38"/>
      <c r="AG215" s="32"/>
      <c r="AH215" s="32"/>
      <c r="AI215" s="32"/>
    </row>
    <row r="216" ht="16.5" customHeight="1">
      <c r="A216" s="1"/>
      <c r="B216" s="32"/>
      <c r="C216" s="32"/>
      <c r="D216" s="32"/>
      <c r="E216" s="32"/>
      <c r="F216" s="32"/>
      <c r="G216" s="32"/>
      <c r="H216" s="32"/>
      <c r="I216" s="103"/>
      <c r="J216" s="103"/>
      <c r="K216" s="104" t="str">
        <f t="shared" si="4"/>
        <v/>
      </c>
      <c r="L216" s="32"/>
      <c r="M216" s="32"/>
      <c r="N216" s="32"/>
      <c r="O216" s="32"/>
      <c r="P216" s="32"/>
      <c r="Q216" s="32"/>
      <c r="R216" s="32"/>
      <c r="S216" s="32"/>
      <c r="T216" s="24"/>
      <c r="U216" s="32"/>
      <c r="V216" s="24"/>
      <c r="W216" s="103"/>
      <c r="X216" s="103"/>
      <c r="Y216" s="104" t="str">
        <f t="shared" si="5"/>
        <v/>
      </c>
      <c r="Z216" s="32"/>
      <c r="AA216" s="32"/>
      <c r="AB216" s="32"/>
      <c r="AC216" s="32"/>
      <c r="AD216" s="32"/>
      <c r="AE216" s="38"/>
      <c r="AF216" s="38"/>
      <c r="AG216" s="32"/>
      <c r="AH216" s="32"/>
      <c r="AI216" s="32"/>
    </row>
    <row r="217" ht="16.5" customHeight="1">
      <c r="A217" s="1"/>
      <c r="B217" s="32"/>
      <c r="C217" s="32"/>
      <c r="D217" s="32"/>
      <c r="E217" s="32"/>
      <c r="F217" s="32"/>
      <c r="G217" s="32"/>
      <c r="H217" s="32"/>
      <c r="I217" s="103"/>
      <c r="J217" s="103"/>
      <c r="K217" s="104" t="str">
        <f t="shared" si="4"/>
        <v/>
      </c>
      <c r="L217" s="32"/>
      <c r="M217" s="32"/>
      <c r="N217" s="32"/>
      <c r="O217" s="32"/>
      <c r="P217" s="32"/>
      <c r="Q217" s="32"/>
      <c r="R217" s="32"/>
      <c r="S217" s="32"/>
      <c r="T217" s="24"/>
      <c r="U217" s="32"/>
      <c r="V217" s="24"/>
      <c r="W217" s="103"/>
      <c r="X217" s="103"/>
      <c r="Y217" s="104" t="str">
        <f t="shared" si="5"/>
        <v/>
      </c>
      <c r="Z217" s="32"/>
      <c r="AA217" s="32"/>
      <c r="AB217" s="32"/>
      <c r="AC217" s="32"/>
      <c r="AD217" s="32"/>
      <c r="AE217" s="38"/>
      <c r="AF217" s="38"/>
      <c r="AG217" s="32"/>
      <c r="AH217" s="32"/>
      <c r="AI217" s="32"/>
    </row>
    <row r="218" ht="16.5" customHeight="1">
      <c r="A218" s="1"/>
      <c r="B218" s="32"/>
      <c r="C218" s="32"/>
      <c r="D218" s="32"/>
      <c r="E218" s="32"/>
      <c r="F218" s="32"/>
      <c r="G218" s="32"/>
      <c r="H218" s="32"/>
      <c r="I218" s="103"/>
      <c r="J218" s="103"/>
      <c r="K218" s="104" t="str">
        <f t="shared" si="4"/>
        <v/>
      </c>
      <c r="L218" s="32"/>
      <c r="M218" s="32"/>
      <c r="N218" s="32"/>
      <c r="O218" s="32"/>
      <c r="P218" s="32"/>
      <c r="Q218" s="32"/>
      <c r="R218" s="32"/>
      <c r="S218" s="32"/>
      <c r="T218" s="24"/>
      <c r="U218" s="32"/>
      <c r="V218" s="24"/>
      <c r="W218" s="103"/>
      <c r="X218" s="103"/>
      <c r="Y218" s="104" t="str">
        <f t="shared" si="5"/>
        <v/>
      </c>
      <c r="Z218" s="32"/>
      <c r="AA218" s="32"/>
      <c r="AB218" s="32"/>
      <c r="AC218" s="32"/>
      <c r="AD218" s="32"/>
      <c r="AE218" s="38"/>
      <c r="AF218" s="38"/>
      <c r="AG218" s="32"/>
      <c r="AH218" s="32"/>
      <c r="AI218" s="32"/>
    </row>
    <row r="219" ht="16.5" customHeight="1">
      <c r="A219" s="1"/>
      <c r="B219" s="32"/>
      <c r="C219" s="32"/>
      <c r="D219" s="32"/>
      <c r="E219" s="32"/>
      <c r="F219" s="32"/>
      <c r="G219" s="32"/>
      <c r="H219" s="32"/>
      <c r="I219" s="103"/>
      <c r="J219" s="103"/>
      <c r="K219" s="104" t="str">
        <f t="shared" si="4"/>
        <v/>
      </c>
      <c r="L219" s="32"/>
      <c r="M219" s="32"/>
      <c r="N219" s="32"/>
      <c r="O219" s="32"/>
      <c r="P219" s="32"/>
      <c r="Q219" s="32"/>
      <c r="R219" s="32"/>
      <c r="S219" s="32"/>
      <c r="T219" s="24"/>
      <c r="U219" s="32"/>
      <c r="V219" s="24"/>
      <c r="W219" s="103"/>
      <c r="X219" s="103"/>
      <c r="Y219" s="104" t="str">
        <f t="shared" si="5"/>
        <v/>
      </c>
      <c r="Z219" s="32"/>
      <c r="AA219" s="32"/>
      <c r="AB219" s="32"/>
      <c r="AC219" s="32"/>
      <c r="AD219" s="32"/>
      <c r="AE219" s="38"/>
      <c r="AF219" s="38"/>
      <c r="AG219" s="32"/>
      <c r="AH219" s="32"/>
      <c r="AI219" s="32"/>
    </row>
    <row r="220" ht="16.5" customHeight="1">
      <c r="A220" s="1"/>
      <c r="B220" s="32"/>
      <c r="C220" s="32"/>
      <c r="D220" s="32"/>
      <c r="E220" s="32"/>
      <c r="F220" s="32"/>
      <c r="G220" s="32"/>
      <c r="H220" s="32"/>
      <c r="I220" s="103"/>
      <c r="J220" s="103"/>
      <c r="K220" s="104" t="str">
        <f t="shared" si="4"/>
        <v/>
      </c>
      <c r="L220" s="32"/>
      <c r="M220" s="32"/>
      <c r="N220" s="32"/>
      <c r="O220" s="32"/>
      <c r="P220" s="32"/>
      <c r="Q220" s="32"/>
      <c r="R220" s="32"/>
      <c r="S220" s="32"/>
      <c r="T220" s="24"/>
      <c r="U220" s="32"/>
      <c r="V220" s="24"/>
      <c r="W220" s="103"/>
      <c r="X220" s="103"/>
      <c r="Y220" s="104" t="str">
        <f t="shared" si="5"/>
        <v/>
      </c>
      <c r="Z220" s="32"/>
      <c r="AA220" s="32"/>
      <c r="AB220" s="32"/>
      <c r="AC220" s="32"/>
      <c r="AD220" s="32"/>
      <c r="AE220" s="38"/>
      <c r="AF220" s="38"/>
      <c r="AG220" s="32"/>
      <c r="AH220" s="32"/>
      <c r="AI220" s="32"/>
    </row>
    <row r="221" ht="16.5" customHeight="1">
      <c r="A221" s="1"/>
      <c r="B221" s="32"/>
      <c r="C221" s="32"/>
      <c r="D221" s="32"/>
      <c r="E221" s="32"/>
      <c r="F221" s="32"/>
      <c r="G221" s="32"/>
      <c r="H221" s="32"/>
      <c r="I221" s="103"/>
      <c r="J221" s="103"/>
      <c r="K221" s="104" t="str">
        <f t="shared" si="4"/>
        <v/>
      </c>
      <c r="L221" s="32"/>
      <c r="M221" s="32"/>
      <c r="N221" s="32"/>
      <c r="O221" s="32"/>
      <c r="P221" s="32"/>
      <c r="Q221" s="32"/>
      <c r="R221" s="32"/>
      <c r="S221" s="32"/>
      <c r="T221" s="24"/>
      <c r="U221" s="32"/>
      <c r="V221" s="24"/>
      <c r="W221" s="103"/>
      <c r="X221" s="103"/>
      <c r="Y221" s="104" t="str">
        <f t="shared" si="5"/>
        <v/>
      </c>
      <c r="Z221" s="32"/>
      <c r="AA221" s="32"/>
      <c r="AB221" s="32"/>
      <c r="AC221" s="32"/>
      <c r="AD221" s="32"/>
      <c r="AE221" s="38"/>
      <c r="AF221" s="38"/>
      <c r="AG221" s="32"/>
      <c r="AH221" s="32"/>
      <c r="AI221" s="32"/>
    </row>
    <row r="222" ht="16.5" customHeight="1">
      <c r="A222" s="1"/>
      <c r="B222" s="32"/>
      <c r="C222" s="32"/>
      <c r="D222" s="32"/>
      <c r="E222" s="32"/>
      <c r="F222" s="32"/>
      <c r="G222" s="32"/>
      <c r="H222" s="32"/>
      <c r="I222" s="103"/>
      <c r="J222" s="103"/>
      <c r="K222" s="104" t="str">
        <f t="shared" si="4"/>
        <v/>
      </c>
      <c r="L222" s="32"/>
      <c r="M222" s="32"/>
      <c r="N222" s="32"/>
      <c r="O222" s="32"/>
      <c r="P222" s="32"/>
      <c r="Q222" s="32"/>
      <c r="R222" s="32"/>
      <c r="S222" s="32"/>
      <c r="T222" s="24"/>
      <c r="U222" s="32"/>
      <c r="V222" s="24"/>
      <c r="W222" s="103"/>
      <c r="X222" s="103"/>
      <c r="Y222" s="104" t="str">
        <f t="shared" si="5"/>
        <v/>
      </c>
      <c r="Z222" s="32"/>
      <c r="AA222" s="32"/>
      <c r="AB222" s="32"/>
      <c r="AC222" s="32"/>
      <c r="AD222" s="32"/>
      <c r="AE222" s="38"/>
      <c r="AF222" s="38"/>
      <c r="AG222" s="32"/>
      <c r="AH222" s="32"/>
      <c r="AI222" s="32"/>
    </row>
    <row r="223" ht="16.5" customHeight="1">
      <c r="A223" s="1"/>
      <c r="B223" s="32"/>
      <c r="C223" s="32"/>
      <c r="D223" s="32"/>
      <c r="E223" s="32"/>
      <c r="F223" s="32"/>
      <c r="G223" s="32"/>
      <c r="H223" s="32"/>
      <c r="I223" s="103"/>
      <c r="J223" s="103"/>
      <c r="K223" s="104" t="str">
        <f t="shared" si="4"/>
        <v/>
      </c>
      <c r="L223" s="32"/>
      <c r="M223" s="32"/>
      <c r="N223" s="32"/>
      <c r="O223" s="32"/>
      <c r="P223" s="32"/>
      <c r="Q223" s="32"/>
      <c r="R223" s="32"/>
      <c r="S223" s="32"/>
      <c r="T223" s="24"/>
      <c r="U223" s="32"/>
      <c r="V223" s="24"/>
      <c r="W223" s="103"/>
      <c r="X223" s="103"/>
      <c r="Y223" s="104" t="str">
        <f t="shared" si="5"/>
        <v/>
      </c>
      <c r="Z223" s="32"/>
      <c r="AA223" s="32"/>
      <c r="AB223" s="32"/>
      <c r="AC223" s="32"/>
      <c r="AD223" s="32"/>
      <c r="AE223" s="38"/>
      <c r="AF223" s="38"/>
      <c r="AG223" s="32"/>
      <c r="AH223" s="32"/>
      <c r="AI223" s="32"/>
    </row>
    <row r="224" ht="16.5" customHeight="1">
      <c r="A224" s="1"/>
      <c r="B224" s="32"/>
      <c r="C224" s="32"/>
      <c r="D224" s="32"/>
      <c r="E224" s="32"/>
      <c r="F224" s="32"/>
      <c r="G224" s="32"/>
      <c r="H224" s="32"/>
      <c r="I224" s="103"/>
      <c r="J224" s="103"/>
      <c r="K224" s="104" t="str">
        <f t="shared" si="4"/>
        <v/>
      </c>
      <c r="L224" s="32"/>
      <c r="M224" s="32"/>
      <c r="N224" s="32"/>
      <c r="O224" s="32"/>
      <c r="P224" s="32"/>
      <c r="Q224" s="32"/>
      <c r="R224" s="32"/>
      <c r="S224" s="32"/>
      <c r="T224" s="24"/>
      <c r="U224" s="32"/>
      <c r="V224" s="24"/>
      <c r="W224" s="103"/>
      <c r="X224" s="103"/>
      <c r="Y224" s="104" t="str">
        <f t="shared" si="5"/>
        <v/>
      </c>
      <c r="Z224" s="32"/>
      <c r="AA224" s="32"/>
      <c r="AB224" s="32"/>
      <c r="AC224" s="32"/>
      <c r="AD224" s="32"/>
      <c r="AE224" s="38"/>
      <c r="AF224" s="38"/>
      <c r="AG224" s="32"/>
      <c r="AH224" s="32"/>
      <c r="AI224" s="32"/>
    </row>
    <row r="225" ht="16.5" customHeight="1">
      <c r="A225" s="1"/>
      <c r="B225" s="32"/>
      <c r="C225" s="32"/>
      <c r="D225" s="32"/>
      <c r="E225" s="32"/>
      <c r="F225" s="32"/>
      <c r="G225" s="32"/>
      <c r="H225" s="32"/>
      <c r="I225" s="103"/>
      <c r="J225" s="103"/>
      <c r="K225" s="104" t="str">
        <f t="shared" si="4"/>
        <v/>
      </c>
      <c r="L225" s="32"/>
      <c r="M225" s="32"/>
      <c r="N225" s="32"/>
      <c r="O225" s="32"/>
      <c r="P225" s="32"/>
      <c r="Q225" s="32"/>
      <c r="R225" s="32"/>
      <c r="S225" s="32"/>
      <c r="T225" s="24"/>
      <c r="U225" s="32"/>
      <c r="V225" s="24"/>
      <c r="W225" s="103"/>
      <c r="X225" s="103"/>
      <c r="Y225" s="104" t="str">
        <f t="shared" si="5"/>
        <v/>
      </c>
      <c r="Z225" s="32"/>
      <c r="AA225" s="32"/>
      <c r="AB225" s="32"/>
      <c r="AC225" s="32"/>
      <c r="AD225" s="32"/>
      <c r="AE225" s="38"/>
      <c r="AF225" s="38"/>
      <c r="AG225" s="32"/>
      <c r="AH225" s="32"/>
      <c r="AI225" s="32"/>
    </row>
    <row r="226" ht="16.5" customHeight="1">
      <c r="A226" s="1"/>
      <c r="B226" s="32"/>
      <c r="C226" s="32"/>
      <c r="D226" s="32"/>
      <c r="E226" s="32"/>
      <c r="F226" s="32"/>
      <c r="G226" s="32"/>
      <c r="H226" s="32"/>
      <c r="I226" s="103"/>
      <c r="J226" s="103"/>
      <c r="K226" s="104" t="str">
        <f t="shared" si="4"/>
        <v/>
      </c>
      <c r="L226" s="32"/>
      <c r="M226" s="32"/>
      <c r="N226" s="32"/>
      <c r="O226" s="32"/>
      <c r="P226" s="32"/>
      <c r="Q226" s="32"/>
      <c r="R226" s="32"/>
      <c r="S226" s="32"/>
      <c r="T226" s="24"/>
      <c r="U226" s="32"/>
      <c r="V226" s="24"/>
      <c r="W226" s="103"/>
      <c r="X226" s="103"/>
      <c r="Y226" s="104" t="str">
        <f t="shared" si="5"/>
        <v/>
      </c>
      <c r="Z226" s="32"/>
      <c r="AA226" s="32"/>
      <c r="AB226" s="32"/>
      <c r="AC226" s="32"/>
      <c r="AD226" s="32"/>
      <c r="AE226" s="38"/>
      <c r="AF226" s="38"/>
      <c r="AG226" s="32"/>
      <c r="AH226" s="32"/>
      <c r="AI226" s="32"/>
    </row>
    <row r="227" ht="16.5" customHeight="1">
      <c r="A227" s="1"/>
      <c r="B227" s="32"/>
      <c r="C227" s="32"/>
      <c r="D227" s="32"/>
      <c r="E227" s="32"/>
      <c r="F227" s="32"/>
      <c r="G227" s="32"/>
      <c r="H227" s="32"/>
      <c r="I227" s="103"/>
      <c r="J227" s="103"/>
      <c r="K227" s="104" t="str">
        <f t="shared" si="4"/>
        <v/>
      </c>
      <c r="L227" s="32"/>
      <c r="M227" s="32"/>
      <c r="N227" s="32"/>
      <c r="O227" s="32"/>
      <c r="P227" s="32"/>
      <c r="Q227" s="32"/>
      <c r="R227" s="32"/>
      <c r="S227" s="32"/>
      <c r="T227" s="24"/>
      <c r="U227" s="32"/>
      <c r="V227" s="24"/>
      <c r="W227" s="103"/>
      <c r="X227" s="103"/>
      <c r="Y227" s="104" t="str">
        <f t="shared" si="5"/>
        <v/>
      </c>
      <c r="Z227" s="32"/>
      <c r="AA227" s="32"/>
      <c r="AB227" s="32"/>
      <c r="AC227" s="32"/>
      <c r="AD227" s="32"/>
      <c r="AE227" s="38"/>
      <c r="AF227" s="38"/>
      <c r="AG227" s="32"/>
      <c r="AH227" s="32"/>
      <c r="AI227" s="32"/>
    </row>
    <row r="228" ht="16.5" customHeight="1">
      <c r="A228" s="1"/>
      <c r="B228" s="32"/>
      <c r="C228" s="32"/>
      <c r="D228" s="32"/>
      <c r="E228" s="32"/>
      <c r="F228" s="32"/>
      <c r="G228" s="32"/>
      <c r="H228" s="32"/>
      <c r="I228" s="103"/>
      <c r="J228" s="103"/>
      <c r="K228" s="104" t="str">
        <f t="shared" si="4"/>
        <v/>
      </c>
      <c r="L228" s="32"/>
      <c r="M228" s="32"/>
      <c r="N228" s="32"/>
      <c r="O228" s="32"/>
      <c r="P228" s="32"/>
      <c r="Q228" s="32"/>
      <c r="R228" s="32"/>
      <c r="S228" s="32"/>
      <c r="T228" s="24"/>
      <c r="U228" s="32"/>
      <c r="V228" s="24"/>
      <c r="W228" s="103"/>
      <c r="X228" s="103"/>
      <c r="Y228" s="104" t="str">
        <f t="shared" si="5"/>
        <v/>
      </c>
      <c r="Z228" s="32"/>
      <c r="AA228" s="32"/>
      <c r="AB228" s="32"/>
      <c r="AC228" s="32"/>
      <c r="AD228" s="32"/>
      <c r="AE228" s="38"/>
      <c r="AF228" s="38"/>
      <c r="AG228" s="32"/>
      <c r="AH228" s="32"/>
      <c r="AI228" s="32"/>
    </row>
    <row r="229" ht="16.5" customHeight="1">
      <c r="A229" s="1"/>
      <c r="B229" s="32"/>
      <c r="C229" s="32"/>
      <c r="D229" s="32"/>
      <c r="E229" s="32"/>
      <c r="F229" s="32"/>
      <c r="G229" s="32"/>
      <c r="H229" s="32"/>
      <c r="I229" s="103"/>
      <c r="J229" s="103"/>
      <c r="K229" s="104" t="str">
        <f t="shared" si="4"/>
        <v/>
      </c>
      <c r="L229" s="32"/>
      <c r="M229" s="32"/>
      <c r="N229" s="32"/>
      <c r="O229" s="32"/>
      <c r="P229" s="32"/>
      <c r="Q229" s="32"/>
      <c r="R229" s="32"/>
      <c r="S229" s="32"/>
      <c r="T229" s="24"/>
      <c r="U229" s="32"/>
      <c r="V229" s="24"/>
      <c r="W229" s="103"/>
      <c r="X229" s="103"/>
      <c r="Y229" s="104" t="str">
        <f t="shared" si="5"/>
        <v/>
      </c>
      <c r="Z229" s="32"/>
      <c r="AA229" s="32"/>
      <c r="AB229" s="32"/>
      <c r="AC229" s="32"/>
      <c r="AD229" s="32"/>
      <c r="AE229" s="38"/>
      <c r="AF229" s="38"/>
      <c r="AG229" s="32"/>
      <c r="AH229" s="32"/>
      <c r="AI229" s="32"/>
    </row>
    <row r="230" ht="16.5" customHeight="1">
      <c r="A230" s="1"/>
      <c r="B230" s="32"/>
      <c r="C230" s="32"/>
      <c r="D230" s="32"/>
      <c r="E230" s="32"/>
      <c r="F230" s="32"/>
      <c r="G230" s="32"/>
      <c r="H230" s="32"/>
      <c r="I230" s="103"/>
      <c r="J230" s="103"/>
      <c r="K230" s="104" t="str">
        <f t="shared" si="4"/>
        <v/>
      </c>
      <c r="L230" s="32"/>
      <c r="M230" s="32"/>
      <c r="N230" s="32"/>
      <c r="O230" s="32"/>
      <c r="P230" s="32"/>
      <c r="Q230" s="32"/>
      <c r="R230" s="32"/>
      <c r="S230" s="32"/>
      <c r="T230" s="24"/>
      <c r="U230" s="32"/>
      <c r="V230" s="24"/>
      <c r="W230" s="103"/>
      <c r="X230" s="103"/>
      <c r="Y230" s="104" t="str">
        <f t="shared" si="5"/>
        <v/>
      </c>
      <c r="Z230" s="32"/>
      <c r="AA230" s="32"/>
      <c r="AB230" s="32"/>
      <c r="AC230" s="32"/>
      <c r="AD230" s="32"/>
      <c r="AE230" s="38"/>
      <c r="AF230" s="38"/>
      <c r="AG230" s="32"/>
      <c r="AH230" s="32"/>
      <c r="AI230" s="32"/>
    </row>
    <row r="231" ht="16.5" customHeight="1">
      <c r="A231" s="1"/>
      <c r="B231" s="32"/>
      <c r="C231" s="32"/>
      <c r="D231" s="32"/>
      <c r="E231" s="32"/>
      <c r="F231" s="32"/>
      <c r="G231" s="32"/>
      <c r="H231" s="32"/>
      <c r="I231" s="103"/>
      <c r="J231" s="103"/>
      <c r="K231" s="104" t="str">
        <f t="shared" si="4"/>
        <v/>
      </c>
      <c r="L231" s="32"/>
      <c r="M231" s="32"/>
      <c r="N231" s="32"/>
      <c r="O231" s="32"/>
      <c r="P231" s="32"/>
      <c r="Q231" s="32"/>
      <c r="R231" s="32"/>
      <c r="S231" s="32"/>
      <c r="T231" s="24"/>
      <c r="U231" s="32"/>
      <c r="V231" s="24"/>
      <c r="W231" s="103"/>
      <c r="X231" s="103"/>
      <c r="Y231" s="104" t="str">
        <f t="shared" si="5"/>
        <v/>
      </c>
      <c r="Z231" s="32"/>
      <c r="AA231" s="32"/>
      <c r="AB231" s="32"/>
      <c r="AC231" s="32"/>
      <c r="AD231" s="32"/>
      <c r="AE231" s="38"/>
      <c r="AF231" s="38"/>
      <c r="AG231" s="32"/>
      <c r="AH231" s="32"/>
      <c r="AI231" s="32"/>
    </row>
    <row r="232" ht="16.5" customHeight="1">
      <c r="A232" s="1"/>
      <c r="B232" s="32"/>
      <c r="C232" s="32"/>
      <c r="D232" s="32"/>
      <c r="E232" s="32"/>
      <c r="F232" s="32"/>
      <c r="G232" s="32"/>
      <c r="H232" s="32"/>
      <c r="I232" s="103"/>
      <c r="J232" s="103"/>
      <c r="K232" s="104" t="str">
        <f t="shared" si="4"/>
        <v/>
      </c>
      <c r="L232" s="32"/>
      <c r="M232" s="32"/>
      <c r="N232" s="32"/>
      <c r="O232" s="32"/>
      <c r="P232" s="32"/>
      <c r="Q232" s="32"/>
      <c r="R232" s="32"/>
      <c r="S232" s="32"/>
      <c r="T232" s="24"/>
      <c r="U232" s="32"/>
      <c r="V232" s="24"/>
      <c r="W232" s="103"/>
      <c r="X232" s="103"/>
      <c r="Y232" s="104" t="str">
        <f t="shared" si="5"/>
        <v/>
      </c>
      <c r="Z232" s="32"/>
      <c r="AA232" s="32"/>
      <c r="AB232" s="32"/>
      <c r="AC232" s="32"/>
      <c r="AD232" s="32"/>
      <c r="AE232" s="38"/>
      <c r="AF232" s="38"/>
      <c r="AG232" s="32"/>
      <c r="AH232" s="32"/>
      <c r="AI232" s="32"/>
    </row>
    <row r="233" ht="16.5" customHeight="1">
      <c r="A233" s="1"/>
      <c r="B233" s="32"/>
      <c r="C233" s="32"/>
      <c r="D233" s="32"/>
      <c r="E233" s="32"/>
      <c r="F233" s="32"/>
      <c r="G233" s="32"/>
      <c r="H233" s="32"/>
      <c r="I233" s="103"/>
      <c r="J233" s="103"/>
      <c r="K233" s="104" t="str">
        <f t="shared" si="4"/>
        <v/>
      </c>
      <c r="L233" s="32"/>
      <c r="M233" s="32"/>
      <c r="N233" s="32"/>
      <c r="O233" s="32"/>
      <c r="P233" s="32"/>
      <c r="Q233" s="32"/>
      <c r="R233" s="32"/>
      <c r="S233" s="32"/>
      <c r="T233" s="24"/>
      <c r="U233" s="32"/>
      <c r="V233" s="24"/>
      <c r="W233" s="103"/>
      <c r="X233" s="103"/>
      <c r="Y233" s="104" t="str">
        <f t="shared" si="5"/>
        <v/>
      </c>
      <c r="Z233" s="32"/>
      <c r="AA233" s="32"/>
      <c r="AB233" s="32"/>
      <c r="AC233" s="32"/>
      <c r="AD233" s="32"/>
      <c r="AE233" s="38"/>
      <c r="AF233" s="38"/>
      <c r="AG233" s="32"/>
      <c r="AH233" s="32"/>
      <c r="AI233" s="32"/>
    </row>
    <row r="234" ht="16.5" customHeight="1">
      <c r="A234" s="1"/>
      <c r="B234" s="32"/>
      <c r="C234" s="32"/>
      <c r="D234" s="32"/>
      <c r="E234" s="32"/>
      <c r="F234" s="32"/>
      <c r="G234" s="32"/>
      <c r="H234" s="32"/>
      <c r="I234" s="103"/>
      <c r="J234" s="103"/>
      <c r="K234" s="104" t="str">
        <f t="shared" si="4"/>
        <v/>
      </c>
      <c r="L234" s="32"/>
      <c r="M234" s="32"/>
      <c r="N234" s="32"/>
      <c r="O234" s="32"/>
      <c r="P234" s="32"/>
      <c r="Q234" s="32"/>
      <c r="R234" s="32"/>
      <c r="S234" s="32"/>
      <c r="T234" s="24"/>
      <c r="U234" s="32"/>
      <c r="V234" s="24"/>
      <c r="W234" s="103"/>
      <c r="X234" s="103"/>
      <c r="Y234" s="104" t="str">
        <f t="shared" si="5"/>
        <v/>
      </c>
      <c r="Z234" s="32"/>
      <c r="AA234" s="32"/>
      <c r="AB234" s="32"/>
      <c r="AC234" s="32"/>
      <c r="AD234" s="32"/>
      <c r="AE234" s="38"/>
      <c r="AF234" s="38"/>
      <c r="AG234" s="32"/>
      <c r="AH234" s="32"/>
      <c r="AI234" s="32"/>
    </row>
    <row r="235" ht="16.5" customHeight="1">
      <c r="A235" s="1"/>
      <c r="B235" s="32"/>
      <c r="C235" s="32"/>
      <c r="D235" s="32"/>
      <c r="E235" s="32"/>
      <c r="F235" s="32"/>
      <c r="G235" s="32"/>
      <c r="H235" s="32"/>
      <c r="I235" s="103"/>
      <c r="J235" s="103"/>
      <c r="K235" s="104" t="str">
        <f t="shared" si="4"/>
        <v/>
      </c>
      <c r="L235" s="32"/>
      <c r="M235" s="32"/>
      <c r="N235" s="32"/>
      <c r="O235" s="32"/>
      <c r="P235" s="32"/>
      <c r="Q235" s="32"/>
      <c r="R235" s="32"/>
      <c r="S235" s="32"/>
      <c r="T235" s="24"/>
      <c r="U235" s="32"/>
      <c r="V235" s="24"/>
      <c r="W235" s="103"/>
      <c r="X235" s="103"/>
      <c r="Y235" s="104" t="str">
        <f t="shared" si="5"/>
        <v/>
      </c>
      <c r="Z235" s="32"/>
      <c r="AA235" s="32"/>
      <c r="AB235" s="32"/>
      <c r="AC235" s="32"/>
      <c r="AD235" s="32"/>
      <c r="AE235" s="38"/>
      <c r="AF235" s="38"/>
      <c r="AG235" s="32"/>
      <c r="AH235" s="32"/>
      <c r="AI235" s="32"/>
    </row>
    <row r="236" ht="16.5" customHeight="1">
      <c r="A236" s="1"/>
      <c r="B236" s="32"/>
      <c r="C236" s="32"/>
      <c r="D236" s="32"/>
      <c r="E236" s="32"/>
      <c r="F236" s="32"/>
      <c r="G236" s="32"/>
      <c r="H236" s="32"/>
      <c r="I236" s="103"/>
      <c r="J236" s="103"/>
      <c r="K236" s="104" t="str">
        <f t="shared" si="4"/>
        <v/>
      </c>
      <c r="L236" s="32"/>
      <c r="M236" s="32"/>
      <c r="N236" s="32"/>
      <c r="O236" s="32"/>
      <c r="P236" s="32"/>
      <c r="Q236" s="32"/>
      <c r="R236" s="32"/>
      <c r="S236" s="32"/>
      <c r="T236" s="24"/>
      <c r="U236" s="32"/>
      <c r="V236" s="24"/>
      <c r="W236" s="103"/>
      <c r="X236" s="103"/>
      <c r="Y236" s="104" t="str">
        <f t="shared" si="5"/>
        <v/>
      </c>
      <c r="Z236" s="32"/>
      <c r="AA236" s="32"/>
      <c r="AB236" s="32"/>
      <c r="AC236" s="32"/>
      <c r="AD236" s="32"/>
      <c r="AE236" s="38"/>
      <c r="AF236" s="38"/>
      <c r="AG236" s="32"/>
      <c r="AH236" s="32"/>
      <c r="AI236" s="32"/>
    </row>
    <row r="237" ht="16.5" customHeight="1">
      <c r="A237" s="1"/>
      <c r="B237" s="32"/>
      <c r="C237" s="32"/>
      <c r="D237" s="32"/>
      <c r="E237" s="32"/>
      <c r="F237" s="32"/>
      <c r="G237" s="32"/>
      <c r="H237" s="32"/>
      <c r="I237" s="103"/>
      <c r="J237" s="103"/>
      <c r="K237" s="104" t="str">
        <f t="shared" si="4"/>
        <v/>
      </c>
      <c r="L237" s="32"/>
      <c r="M237" s="32"/>
      <c r="N237" s="32"/>
      <c r="O237" s="32"/>
      <c r="P237" s="32"/>
      <c r="Q237" s="32"/>
      <c r="R237" s="32"/>
      <c r="S237" s="32"/>
      <c r="T237" s="24"/>
      <c r="U237" s="32"/>
      <c r="V237" s="24"/>
      <c r="W237" s="103"/>
      <c r="X237" s="103"/>
      <c r="Y237" s="104" t="str">
        <f t="shared" si="5"/>
        <v/>
      </c>
      <c r="Z237" s="32"/>
      <c r="AA237" s="32"/>
      <c r="AB237" s="32"/>
      <c r="AC237" s="32"/>
      <c r="AD237" s="32"/>
      <c r="AE237" s="38"/>
      <c r="AF237" s="38"/>
      <c r="AG237" s="32"/>
      <c r="AH237" s="32"/>
      <c r="AI237" s="32"/>
    </row>
    <row r="238" ht="16.5" customHeight="1">
      <c r="A238" s="1"/>
      <c r="B238" s="32"/>
      <c r="C238" s="32"/>
      <c r="D238" s="32"/>
      <c r="E238" s="32"/>
      <c r="F238" s="32"/>
      <c r="G238" s="32"/>
      <c r="H238" s="32"/>
      <c r="I238" s="103"/>
      <c r="J238" s="103"/>
      <c r="K238" s="104" t="str">
        <f t="shared" si="4"/>
        <v/>
      </c>
      <c r="L238" s="32"/>
      <c r="M238" s="32"/>
      <c r="N238" s="32"/>
      <c r="O238" s="32"/>
      <c r="P238" s="32"/>
      <c r="Q238" s="32"/>
      <c r="R238" s="32"/>
      <c r="S238" s="32"/>
      <c r="T238" s="24"/>
      <c r="U238" s="32"/>
      <c r="V238" s="24"/>
      <c r="W238" s="103"/>
      <c r="X238" s="103"/>
      <c r="Y238" s="104" t="str">
        <f t="shared" si="5"/>
        <v/>
      </c>
      <c r="Z238" s="32"/>
      <c r="AA238" s="32"/>
      <c r="AB238" s="32"/>
      <c r="AC238" s="32"/>
      <c r="AD238" s="32"/>
      <c r="AE238" s="38"/>
      <c r="AF238" s="38"/>
      <c r="AG238" s="32"/>
      <c r="AH238" s="32"/>
      <c r="AI238" s="32"/>
    </row>
    <row r="239" ht="16.5" customHeight="1">
      <c r="A239" s="1"/>
      <c r="B239" s="32"/>
      <c r="C239" s="32"/>
      <c r="D239" s="32"/>
      <c r="E239" s="32"/>
      <c r="F239" s="32"/>
      <c r="G239" s="32"/>
      <c r="H239" s="32"/>
      <c r="I239" s="103"/>
      <c r="J239" s="103"/>
      <c r="K239" s="104" t="str">
        <f t="shared" si="4"/>
        <v/>
      </c>
      <c r="L239" s="32"/>
      <c r="M239" s="32"/>
      <c r="N239" s="32"/>
      <c r="O239" s="32"/>
      <c r="P239" s="32"/>
      <c r="Q239" s="32"/>
      <c r="R239" s="32"/>
      <c r="S239" s="32"/>
      <c r="T239" s="24"/>
      <c r="U239" s="32"/>
      <c r="V239" s="24"/>
      <c r="W239" s="103"/>
      <c r="X239" s="103"/>
      <c r="Y239" s="104" t="str">
        <f t="shared" si="5"/>
        <v/>
      </c>
      <c r="Z239" s="32"/>
      <c r="AA239" s="32"/>
      <c r="AB239" s="32"/>
      <c r="AC239" s="32"/>
      <c r="AD239" s="32"/>
      <c r="AE239" s="38"/>
      <c r="AF239" s="38"/>
      <c r="AG239" s="32"/>
      <c r="AH239" s="32"/>
      <c r="AI239" s="32"/>
    </row>
    <row r="240" ht="16.5" customHeight="1">
      <c r="A240" s="1"/>
      <c r="B240" s="32"/>
      <c r="C240" s="32"/>
      <c r="D240" s="32"/>
      <c r="E240" s="32"/>
      <c r="F240" s="32"/>
      <c r="G240" s="32"/>
      <c r="H240" s="32"/>
      <c r="I240" s="103"/>
      <c r="J240" s="103"/>
      <c r="K240" s="104" t="str">
        <f t="shared" si="4"/>
        <v/>
      </c>
      <c r="L240" s="32"/>
      <c r="M240" s="32"/>
      <c r="N240" s="32"/>
      <c r="O240" s="32"/>
      <c r="P240" s="32"/>
      <c r="Q240" s="32"/>
      <c r="R240" s="32"/>
      <c r="S240" s="32"/>
      <c r="T240" s="24"/>
      <c r="U240" s="32"/>
      <c r="V240" s="24"/>
      <c r="W240" s="103"/>
      <c r="X240" s="103"/>
      <c r="Y240" s="104" t="str">
        <f t="shared" si="5"/>
        <v/>
      </c>
      <c r="Z240" s="32"/>
      <c r="AA240" s="32"/>
      <c r="AB240" s="32"/>
      <c r="AC240" s="32"/>
      <c r="AD240" s="32"/>
      <c r="AE240" s="38"/>
      <c r="AF240" s="38"/>
      <c r="AG240" s="32"/>
      <c r="AH240" s="32"/>
      <c r="AI240" s="32"/>
    </row>
    <row r="241" ht="16.5" customHeight="1">
      <c r="A241" s="1"/>
      <c r="B241" s="32"/>
      <c r="C241" s="32"/>
      <c r="D241" s="32"/>
      <c r="E241" s="32"/>
      <c r="F241" s="32"/>
      <c r="G241" s="32"/>
      <c r="H241" s="32"/>
      <c r="I241" s="103"/>
      <c r="J241" s="103"/>
      <c r="K241" s="104" t="str">
        <f t="shared" si="4"/>
        <v/>
      </c>
      <c r="L241" s="32"/>
      <c r="M241" s="32"/>
      <c r="N241" s="32"/>
      <c r="O241" s="32"/>
      <c r="P241" s="32"/>
      <c r="Q241" s="32"/>
      <c r="R241" s="32"/>
      <c r="S241" s="32"/>
      <c r="T241" s="24"/>
      <c r="U241" s="32"/>
      <c r="V241" s="24"/>
      <c r="W241" s="103"/>
      <c r="X241" s="103"/>
      <c r="Y241" s="104" t="str">
        <f t="shared" si="5"/>
        <v/>
      </c>
      <c r="Z241" s="32"/>
      <c r="AA241" s="32"/>
      <c r="AB241" s="32"/>
      <c r="AC241" s="32"/>
      <c r="AD241" s="32"/>
      <c r="AE241" s="38"/>
      <c r="AF241" s="38"/>
      <c r="AG241" s="32"/>
      <c r="AH241" s="32"/>
      <c r="AI241" s="32"/>
    </row>
    <row r="242" ht="16.5" customHeight="1">
      <c r="A242" s="1"/>
      <c r="B242" s="32"/>
      <c r="C242" s="32"/>
      <c r="D242" s="32"/>
      <c r="E242" s="32"/>
      <c r="F242" s="32"/>
      <c r="G242" s="32"/>
      <c r="H242" s="32"/>
      <c r="I242" s="103"/>
      <c r="J242" s="103"/>
      <c r="K242" s="104" t="str">
        <f t="shared" si="4"/>
        <v/>
      </c>
      <c r="L242" s="32"/>
      <c r="M242" s="32"/>
      <c r="N242" s="32"/>
      <c r="O242" s="32"/>
      <c r="P242" s="32"/>
      <c r="Q242" s="32"/>
      <c r="R242" s="32"/>
      <c r="S242" s="32"/>
      <c r="T242" s="24"/>
      <c r="U242" s="32"/>
      <c r="V242" s="24"/>
      <c r="W242" s="103"/>
      <c r="X242" s="103"/>
      <c r="Y242" s="104" t="str">
        <f t="shared" si="5"/>
        <v/>
      </c>
      <c r="Z242" s="32"/>
      <c r="AA242" s="32"/>
      <c r="AB242" s="32"/>
      <c r="AC242" s="32"/>
      <c r="AD242" s="32"/>
      <c r="AE242" s="38"/>
      <c r="AF242" s="38"/>
      <c r="AG242" s="32"/>
      <c r="AH242" s="32"/>
      <c r="AI242" s="32"/>
    </row>
    <row r="243" ht="16.5" customHeight="1">
      <c r="A243" s="1"/>
      <c r="B243" s="32"/>
      <c r="C243" s="32"/>
      <c r="D243" s="32"/>
      <c r="E243" s="32"/>
      <c r="F243" s="32"/>
      <c r="G243" s="32"/>
      <c r="H243" s="32"/>
      <c r="I243" s="103"/>
      <c r="J243" s="103"/>
      <c r="K243" s="104" t="str">
        <f t="shared" si="4"/>
        <v/>
      </c>
      <c r="L243" s="32"/>
      <c r="M243" s="32"/>
      <c r="N243" s="32"/>
      <c r="O243" s="32"/>
      <c r="P243" s="32"/>
      <c r="Q243" s="32"/>
      <c r="R243" s="32"/>
      <c r="S243" s="32"/>
      <c r="T243" s="24"/>
      <c r="U243" s="32"/>
      <c r="V243" s="24"/>
      <c r="W243" s="103"/>
      <c r="X243" s="103"/>
      <c r="Y243" s="104" t="str">
        <f t="shared" si="5"/>
        <v/>
      </c>
      <c r="Z243" s="32"/>
      <c r="AA243" s="32"/>
      <c r="AB243" s="32"/>
      <c r="AC243" s="32"/>
      <c r="AD243" s="32"/>
      <c r="AE243" s="38"/>
      <c r="AF243" s="38"/>
      <c r="AG243" s="32"/>
      <c r="AH243" s="32"/>
      <c r="AI243" s="32"/>
    </row>
    <row r="244" ht="16.5" customHeight="1">
      <c r="A244" s="1"/>
      <c r="B244" s="32"/>
      <c r="C244" s="32"/>
      <c r="D244" s="32"/>
      <c r="E244" s="32"/>
      <c r="F244" s="32"/>
      <c r="G244" s="32"/>
      <c r="H244" s="32"/>
      <c r="I244" s="103"/>
      <c r="J244" s="103"/>
      <c r="K244" s="104" t="str">
        <f t="shared" si="4"/>
        <v/>
      </c>
      <c r="L244" s="32"/>
      <c r="M244" s="32"/>
      <c r="N244" s="32"/>
      <c r="O244" s="32"/>
      <c r="P244" s="32"/>
      <c r="Q244" s="32"/>
      <c r="R244" s="32"/>
      <c r="S244" s="32"/>
      <c r="T244" s="24"/>
      <c r="U244" s="32"/>
      <c r="V244" s="24"/>
      <c r="W244" s="103"/>
      <c r="X244" s="103"/>
      <c r="Y244" s="104" t="str">
        <f t="shared" si="5"/>
        <v/>
      </c>
      <c r="Z244" s="32"/>
      <c r="AA244" s="32"/>
      <c r="AB244" s="32"/>
      <c r="AC244" s="32"/>
      <c r="AD244" s="32"/>
      <c r="AE244" s="38"/>
      <c r="AF244" s="38"/>
      <c r="AG244" s="32"/>
      <c r="AH244" s="32"/>
      <c r="AI244" s="32"/>
    </row>
    <row r="245" ht="16.5" customHeight="1">
      <c r="A245" s="1"/>
      <c r="B245" s="32"/>
      <c r="C245" s="32"/>
      <c r="D245" s="32"/>
      <c r="E245" s="32"/>
      <c r="F245" s="32"/>
      <c r="G245" s="32"/>
      <c r="H245" s="32"/>
      <c r="I245" s="103"/>
      <c r="J245" s="103"/>
      <c r="K245" s="104" t="str">
        <f t="shared" si="4"/>
        <v/>
      </c>
      <c r="L245" s="32"/>
      <c r="M245" s="32"/>
      <c r="N245" s="32"/>
      <c r="O245" s="32"/>
      <c r="P245" s="32"/>
      <c r="Q245" s="32"/>
      <c r="R245" s="32"/>
      <c r="S245" s="32"/>
      <c r="T245" s="24"/>
      <c r="U245" s="32"/>
      <c r="V245" s="24"/>
      <c r="W245" s="103"/>
      <c r="X245" s="103"/>
      <c r="Y245" s="104" t="str">
        <f t="shared" si="5"/>
        <v/>
      </c>
      <c r="Z245" s="32"/>
      <c r="AA245" s="32"/>
      <c r="AB245" s="32"/>
      <c r="AC245" s="32"/>
      <c r="AD245" s="32"/>
      <c r="AE245" s="38"/>
      <c r="AF245" s="38"/>
      <c r="AG245" s="32"/>
      <c r="AH245" s="32"/>
      <c r="AI245" s="32"/>
    </row>
    <row r="246" ht="16.5" customHeight="1">
      <c r="A246" s="1"/>
      <c r="B246" s="32"/>
      <c r="C246" s="32"/>
      <c r="D246" s="32"/>
      <c r="E246" s="32"/>
      <c r="F246" s="32"/>
      <c r="G246" s="32"/>
      <c r="H246" s="32"/>
      <c r="I246" s="103"/>
      <c r="J246" s="103"/>
      <c r="K246" s="104" t="str">
        <f t="shared" si="4"/>
        <v/>
      </c>
      <c r="L246" s="32"/>
      <c r="M246" s="32"/>
      <c r="N246" s="32"/>
      <c r="O246" s="32"/>
      <c r="P246" s="32"/>
      <c r="Q246" s="32"/>
      <c r="R246" s="32"/>
      <c r="S246" s="32"/>
      <c r="T246" s="24"/>
      <c r="U246" s="32"/>
      <c r="V246" s="24"/>
      <c r="W246" s="103"/>
      <c r="X246" s="103"/>
      <c r="Y246" s="104" t="str">
        <f t="shared" si="5"/>
        <v/>
      </c>
      <c r="Z246" s="32"/>
      <c r="AA246" s="32"/>
      <c r="AB246" s="32"/>
      <c r="AC246" s="32"/>
      <c r="AD246" s="32"/>
      <c r="AE246" s="38"/>
      <c r="AF246" s="38"/>
      <c r="AG246" s="32"/>
      <c r="AH246" s="32"/>
      <c r="AI246" s="32"/>
    </row>
    <row r="247" ht="16.5" customHeight="1">
      <c r="A247" s="1"/>
      <c r="B247" s="32"/>
      <c r="C247" s="32"/>
      <c r="D247" s="32"/>
      <c r="E247" s="32"/>
      <c r="F247" s="32"/>
      <c r="G247" s="32"/>
      <c r="H247" s="32"/>
      <c r="I247" s="103"/>
      <c r="J247" s="103"/>
      <c r="K247" s="104" t="str">
        <f t="shared" si="4"/>
        <v/>
      </c>
      <c r="L247" s="32"/>
      <c r="M247" s="32"/>
      <c r="N247" s="32"/>
      <c r="O247" s="32"/>
      <c r="P247" s="32"/>
      <c r="Q247" s="32"/>
      <c r="R247" s="32"/>
      <c r="S247" s="32"/>
      <c r="T247" s="24"/>
      <c r="U247" s="32"/>
      <c r="V247" s="24"/>
      <c r="W247" s="103"/>
      <c r="X247" s="103"/>
      <c r="Y247" s="104" t="str">
        <f t="shared" si="5"/>
        <v/>
      </c>
      <c r="Z247" s="32"/>
      <c r="AA247" s="32"/>
      <c r="AB247" s="32"/>
      <c r="AC247" s="32"/>
      <c r="AD247" s="32"/>
      <c r="AE247" s="38"/>
      <c r="AF247" s="38"/>
      <c r="AG247" s="32"/>
      <c r="AH247" s="32"/>
      <c r="AI247" s="32"/>
    </row>
    <row r="248" ht="16.5" customHeight="1">
      <c r="A248" s="1"/>
      <c r="B248" s="32"/>
      <c r="C248" s="32"/>
      <c r="D248" s="32"/>
      <c r="E248" s="32"/>
      <c r="F248" s="32"/>
      <c r="G248" s="32"/>
      <c r="H248" s="32"/>
      <c r="I248" s="103"/>
      <c r="J248" s="103"/>
      <c r="K248" s="104" t="str">
        <f t="shared" si="4"/>
        <v/>
      </c>
      <c r="L248" s="32"/>
      <c r="M248" s="32"/>
      <c r="N248" s="32"/>
      <c r="O248" s="32"/>
      <c r="P248" s="32"/>
      <c r="Q248" s="32"/>
      <c r="R248" s="32"/>
      <c r="S248" s="32"/>
      <c r="T248" s="24"/>
      <c r="U248" s="32"/>
      <c r="V248" s="24"/>
      <c r="W248" s="103"/>
      <c r="X248" s="103"/>
      <c r="Y248" s="104" t="str">
        <f t="shared" si="5"/>
        <v/>
      </c>
      <c r="Z248" s="32"/>
      <c r="AA248" s="32"/>
      <c r="AB248" s="32"/>
      <c r="AC248" s="32"/>
      <c r="AD248" s="32"/>
      <c r="AE248" s="38"/>
      <c r="AF248" s="38"/>
      <c r="AG248" s="32"/>
      <c r="AH248" s="32"/>
      <c r="AI248" s="32"/>
    </row>
    <row r="249" ht="16.5" customHeight="1">
      <c r="A249" s="1"/>
      <c r="B249" s="32"/>
      <c r="C249" s="32"/>
      <c r="D249" s="32"/>
      <c r="E249" s="32"/>
      <c r="F249" s="32"/>
      <c r="G249" s="32"/>
      <c r="H249" s="32"/>
      <c r="I249" s="103"/>
      <c r="J249" s="103"/>
      <c r="K249" s="104" t="str">
        <f t="shared" si="4"/>
        <v/>
      </c>
      <c r="L249" s="32"/>
      <c r="M249" s="32"/>
      <c r="N249" s="32"/>
      <c r="O249" s="32"/>
      <c r="P249" s="32"/>
      <c r="Q249" s="32"/>
      <c r="R249" s="32"/>
      <c r="S249" s="32"/>
      <c r="T249" s="24"/>
      <c r="U249" s="32"/>
      <c r="V249" s="24"/>
      <c r="W249" s="103"/>
      <c r="X249" s="103"/>
      <c r="Y249" s="104" t="str">
        <f t="shared" si="5"/>
        <v/>
      </c>
      <c r="Z249" s="32"/>
      <c r="AA249" s="32"/>
      <c r="AB249" s="32"/>
      <c r="AC249" s="32"/>
      <c r="AD249" s="32"/>
      <c r="AE249" s="38"/>
      <c r="AF249" s="38"/>
      <c r="AG249" s="32"/>
      <c r="AH249" s="32"/>
      <c r="AI249" s="32"/>
    </row>
    <row r="250" ht="16.5" customHeight="1">
      <c r="A250" s="1"/>
      <c r="B250" s="32"/>
      <c r="C250" s="32"/>
      <c r="D250" s="32"/>
      <c r="E250" s="32"/>
      <c r="F250" s="32"/>
      <c r="G250" s="32"/>
      <c r="H250" s="32"/>
      <c r="I250" s="103"/>
      <c r="J250" s="103"/>
      <c r="K250" s="104" t="str">
        <f t="shared" si="4"/>
        <v/>
      </c>
      <c r="L250" s="32"/>
      <c r="M250" s="32"/>
      <c r="N250" s="32"/>
      <c r="O250" s="32"/>
      <c r="P250" s="32"/>
      <c r="Q250" s="32"/>
      <c r="R250" s="32"/>
      <c r="S250" s="32"/>
      <c r="T250" s="24"/>
      <c r="U250" s="32"/>
      <c r="V250" s="24"/>
      <c r="W250" s="103"/>
      <c r="X250" s="103"/>
      <c r="Y250" s="104" t="str">
        <f t="shared" si="5"/>
        <v/>
      </c>
      <c r="Z250" s="32"/>
      <c r="AA250" s="32"/>
      <c r="AB250" s="32"/>
      <c r="AC250" s="32"/>
      <c r="AD250" s="32"/>
      <c r="AE250" s="38"/>
      <c r="AF250" s="38"/>
      <c r="AG250" s="32"/>
      <c r="AH250" s="32"/>
      <c r="AI250" s="32"/>
    </row>
    <row r="251" ht="16.5" customHeight="1">
      <c r="A251" s="1"/>
      <c r="B251" s="32"/>
      <c r="C251" s="32"/>
      <c r="D251" s="32"/>
      <c r="E251" s="32"/>
      <c r="F251" s="32"/>
      <c r="G251" s="32"/>
      <c r="H251" s="32"/>
      <c r="I251" s="103"/>
      <c r="J251" s="103"/>
      <c r="K251" s="104" t="str">
        <f t="shared" si="4"/>
        <v/>
      </c>
      <c r="L251" s="32"/>
      <c r="M251" s="32"/>
      <c r="N251" s="32"/>
      <c r="O251" s="32"/>
      <c r="P251" s="32"/>
      <c r="Q251" s="32"/>
      <c r="R251" s="32"/>
      <c r="S251" s="32"/>
      <c r="T251" s="24"/>
      <c r="U251" s="32"/>
      <c r="V251" s="24"/>
      <c r="W251" s="103"/>
      <c r="X251" s="103"/>
      <c r="Y251" s="104" t="str">
        <f t="shared" si="5"/>
        <v/>
      </c>
      <c r="Z251" s="32"/>
      <c r="AA251" s="32"/>
      <c r="AB251" s="32"/>
      <c r="AC251" s="32"/>
      <c r="AD251" s="32"/>
      <c r="AE251" s="38"/>
      <c r="AF251" s="38"/>
      <c r="AG251" s="32"/>
      <c r="AH251" s="32"/>
      <c r="AI251" s="32"/>
    </row>
    <row r="252" ht="16.5" customHeight="1">
      <c r="A252" s="1"/>
      <c r="B252" s="32"/>
      <c r="C252" s="32"/>
      <c r="D252" s="32"/>
      <c r="E252" s="32"/>
      <c r="F252" s="32"/>
      <c r="G252" s="32"/>
      <c r="H252" s="32"/>
      <c r="I252" s="103"/>
      <c r="J252" s="103"/>
      <c r="K252" s="104" t="str">
        <f t="shared" si="4"/>
        <v/>
      </c>
      <c r="L252" s="32"/>
      <c r="M252" s="32"/>
      <c r="N252" s="32"/>
      <c r="O252" s="32"/>
      <c r="P252" s="32"/>
      <c r="Q252" s="32"/>
      <c r="R252" s="32"/>
      <c r="S252" s="32"/>
      <c r="T252" s="24"/>
      <c r="U252" s="32"/>
      <c r="V252" s="24"/>
      <c r="W252" s="103"/>
      <c r="X252" s="103"/>
      <c r="Y252" s="104" t="str">
        <f t="shared" si="5"/>
        <v/>
      </c>
      <c r="Z252" s="32"/>
      <c r="AA252" s="32"/>
      <c r="AB252" s="32"/>
      <c r="AC252" s="32"/>
      <c r="AD252" s="32"/>
      <c r="AE252" s="38"/>
      <c r="AF252" s="38"/>
      <c r="AG252" s="32"/>
      <c r="AH252" s="32"/>
      <c r="AI252" s="32"/>
    </row>
    <row r="253" ht="16.5" customHeight="1">
      <c r="A253" s="1"/>
      <c r="B253" s="32"/>
      <c r="C253" s="32"/>
      <c r="D253" s="32"/>
      <c r="E253" s="32"/>
      <c r="F253" s="32"/>
      <c r="G253" s="32"/>
      <c r="H253" s="32"/>
      <c r="I253" s="103"/>
      <c r="J253" s="103"/>
      <c r="K253" s="104" t="str">
        <f t="shared" si="4"/>
        <v/>
      </c>
      <c r="L253" s="32"/>
      <c r="M253" s="32"/>
      <c r="N253" s="32"/>
      <c r="O253" s="32"/>
      <c r="P253" s="32"/>
      <c r="Q253" s="32"/>
      <c r="R253" s="32"/>
      <c r="S253" s="32"/>
      <c r="T253" s="24"/>
      <c r="U253" s="32"/>
      <c r="V253" s="24"/>
      <c r="W253" s="103"/>
      <c r="X253" s="103"/>
      <c r="Y253" s="104" t="str">
        <f t="shared" si="5"/>
        <v/>
      </c>
      <c r="Z253" s="32"/>
      <c r="AA253" s="32"/>
      <c r="AB253" s="32"/>
      <c r="AC253" s="32"/>
      <c r="AD253" s="32"/>
      <c r="AE253" s="38"/>
      <c r="AF253" s="38"/>
      <c r="AG253" s="32"/>
      <c r="AH253" s="32"/>
      <c r="AI253" s="32"/>
    </row>
    <row r="254" ht="16.5" customHeight="1">
      <c r="A254" s="1"/>
      <c r="B254" s="32"/>
      <c r="C254" s="32"/>
      <c r="D254" s="32"/>
      <c r="E254" s="32"/>
      <c r="F254" s="32"/>
      <c r="G254" s="32"/>
      <c r="H254" s="32"/>
      <c r="I254" s="103"/>
      <c r="J254" s="103"/>
      <c r="K254" s="104" t="str">
        <f t="shared" si="4"/>
        <v/>
      </c>
      <c r="L254" s="32"/>
      <c r="M254" s="32"/>
      <c r="N254" s="32"/>
      <c r="O254" s="32"/>
      <c r="P254" s="32"/>
      <c r="Q254" s="32"/>
      <c r="R254" s="32"/>
      <c r="S254" s="32"/>
      <c r="T254" s="24"/>
      <c r="U254" s="32"/>
      <c r="V254" s="24"/>
      <c r="W254" s="103"/>
      <c r="X254" s="103"/>
      <c r="Y254" s="104" t="str">
        <f t="shared" si="5"/>
        <v/>
      </c>
      <c r="Z254" s="32"/>
      <c r="AA254" s="32"/>
      <c r="AB254" s="32"/>
      <c r="AC254" s="32"/>
      <c r="AD254" s="32"/>
      <c r="AE254" s="38"/>
      <c r="AF254" s="38"/>
      <c r="AG254" s="32"/>
      <c r="AH254" s="32"/>
      <c r="AI254" s="32"/>
    </row>
    <row r="255" ht="16.5" customHeight="1">
      <c r="A255" s="1"/>
      <c r="B255" s="32"/>
      <c r="C255" s="32"/>
      <c r="D255" s="32"/>
      <c r="E255" s="32"/>
      <c r="F255" s="32"/>
      <c r="G255" s="32"/>
      <c r="H255" s="32"/>
      <c r="I255" s="103"/>
      <c r="J255" s="103"/>
      <c r="K255" s="104" t="str">
        <f t="shared" si="4"/>
        <v/>
      </c>
      <c r="L255" s="32"/>
      <c r="M255" s="32"/>
      <c r="N255" s="32"/>
      <c r="O255" s="32"/>
      <c r="P255" s="32"/>
      <c r="Q255" s="32"/>
      <c r="R255" s="32"/>
      <c r="S255" s="32"/>
      <c r="T255" s="24"/>
      <c r="U255" s="32"/>
      <c r="V255" s="24"/>
      <c r="W255" s="103"/>
      <c r="X255" s="103"/>
      <c r="Y255" s="104" t="str">
        <f t="shared" si="5"/>
        <v/>
      </c>
      <c r="Z255" s="32"/>
      <c r="AA255" s="32"/>
      <c r="AB255" s="32"/>
      <c r="AC255" s="32"/>
      <c r="AD255" s="32"/>
      <c r="AE255" s="38"/>
      <c r="AF255" s="38"/>
      <c r="AG255" s="32"/>
      <c r="AH255" s="32"/>
      <c r="AI255" s="32"/>
    </row>
    <row r="256" ht="16.5" customHeight="1">
      <c r="A256" s="1"/>
      <c r="B256" s="32"/>
      <c r="C256" s="32"/>
      <c r="D256" s="32"/>
      <c r="E256" s="32"/>
      <c r="F256" s="32"/>
      <c r="G256" s="32"/>
      <c r="H256" s="32"/>
      <c r="I256" s="103"/>
      <c r="J256" s="103"/>
      <c r="K256" s="104" t="str">
        <f t="shared" si="4"/>
        <v/>
      </c>
      <c r="L256" s="32"/>
      <c r="M256" s="32"/>
      <c r="N256" s="32"/>
      <c r="O256" s="32"/>
      <c r="P256" s="32"/>
      <c r="Q256" s="32"/>
      <c r="R256" s="32"/>
      <c r="S256" s="32"/>
      <c r="T256" s="24"/>
      <c r="U256" s="32"/>
      <c r="V256" s="24"/>
      <c r="W256" s="103"/>
      <c r="X256" s="103"/>
      <c r="Y256" s="104" t="str">
        <f t="shared" si="5"/>
        <v/>
      </c>
      <c r="Z256" s="32"/>
      <c r="AA256" s="32"/>
      <c r="AB256" s="32"/>
      <c r="AC256" s="32"/>
      <c r="AD256" s="32"/>
      <c r="AE256" s="38"/>
      <c r="AF256" s="38"/>
      <c r="AG256" s="32"/>
      <c r="AH256" s="32"/>
      <c r="AI256" s="32"/>
    </row>
    <row r="257" ht="16.5" customHeight="1">
      <c r="A257" s="1"/>
      <c r="B257" s="32"/>
      <c r="C257" s="32"/>
      <c r="D257" s="32"/>
      <c r="E257" s="32"/>
      <c r="F257" s="32"/>
      <c r="G257" s="32"/>
      <c r="H257" s="32"/>
      <c r="I257" s="103"/>
      <c r="J257" s="103"/>
      <c r="K257" s="104" t="str">
        <f t="shared" si="4"/>
        <v/>
      </c>
      <c r="L257" s="32"/>
      <c r="M257" s="32"/>
      <c r="N257" s="32"/>
      <c r="O257" s="32"/>
      <c r="P257" s="32"/>
      <c r="Q257" s="32"/>
      <c r="R257" s="32"/>
      <c r="S257" s="32"/>
      <c r="T257" s="24"/>
      <c r="U257" s="32"/>
      <c r="V257" s="24"/>
      <c r="W257" s="103"/>
      <c r="X257" s="103"/>
      <c r="Y257" s="104" t="str">
        <f t="shared" si="5"/>
        <v/>
      </c>
      <c r="Z257" s="32"/>
      <c r="AA257" s="32"/>
      <c r="AB257" s="32"/>
      <c r="AC257" s="32"/>
      <c r="AD257" s="32"/>
      <c r="AE257" s="38"/>
      <c r="AF257" s="38"/>
      <c r="AG257" s="32"/>
      <c r="AH257" s="32"/>
      <c r="AI257" s="32"/>
    </row>
    <row r="258" ht="16.5" customHeight="1">
      <c r="A258" s="1"/>
      <c r="B258" s="32"/>
      <c r="C258" s="32"/>
      <c r="D258" s="32"/>
      <c r="E258" s="32"/>
      <c r="F258" s="32"/>
      <c r="G258" s="32"/>
      <c r="H258" s="32"/>
      <c r="I258" s="103"/>
      <c r="J258" s="103"/>
      <c r="K258" s="104" t="str">
        <f t="shared" si="4"/>
        <v/>
      </c>
      <c r="L258" s="32"/>
      <c r="M258" s="32"/>
      <c r="N258" s="32"/>
      <c r="O258" s="32"/>
      <c r="P258" s="32"/>
      <c r="Q258" s="32"/>
      <c r="R258" s="32"/>
      <c r="S258" s="32"/>
      <c r="T258" s="24"/>
      <c r="U258" s="32"/>
      <c r="V258" s="24"/>
      <c r="W258" s="103"/>
      <c r="X258" s="103"/>
      <c r="Y258" s="104" t="str">
        <f t="shared" si="5"/>
        <v/>
      </c>
      <c r="Z258" s="32"/>
      <c r="AA258" s="32"/>
      <c r="AB258" s="32"/>
      <c r="AC258" s="32"/>
      <c r="AD258" s="32"/>
      <c r="AE258" s="38"/>
      <c r="AF258" s="38"/>
      <c r="AG258" s="32"/>
      <c r="AH258" s="32"/>
      <c r="AI258" s="32"/>
    </row>
    <row r="259" ht="16.5" customHeight="1">
      <c r="A259" s="1"/>
      <c r="B259" s="32"/>
      <c r="C259" s="32"/>
      <c r="D259" s="32"/>
      <c r="E259" s="32"/>
      <c r="F259" s="32"/>
      <c r="G259" s="32"/>
      <c r="H259" s="32"/>
      <c r="I259" s="103"/>
      <c r="J259" s="103"/>
      <c r="K259" s="104" t="str">
        <f t="shared" si="4"/>
        <v/>
      </c>
      <c r="L259" s="32"/>
      <c r="M259" s="32"/>
      <c r="N259" s="32"/>
      <c r="O259" s="32"/>
      <c r="P259" s="32"/>
      <c r="Q259" s="32"/>
      <c r="R259" s="32"/>
      <c r="S259" s="32"/>
      <c r="T259" s="24"/>
      <c r="U259" s="32"/>
      <c r="V259" s="24"/>
      <c r="W259" s="103"/>
      <c r="X259" s="103"/>
      <c r="Y259" s="104" t="str">
        <f t="shared" si="5"/>
        <v/>
      </c>
      <c r="Z259" s="32"/>
      <c r="AA259" s="32"/>
      <c r="AB259" s="32"/>
      <c r="AC259" s="32"/>
      <c r="AD259" s="32"/>
      <c r="AE259" s="38"/>
      <c r="AF259" s="38"/>
      <c r="AG259" s="32"/>
      <c r="AH259" s="32"/>
      <c r="AI259" s="32"/>
    </row>
    <row r="260" ht="16.5" customHeight="1">
      <c r="A260" s="1"/>
      <c r="B260" s="32"/>
      <c r="C260" s="32"/>
      <c r="D260" s="32"/>
      <c r="E260" s="32"/>
      <c r="F260" s="32"/>
      <c r="G260" s="32"/>
      <c r="H260" s="32"/>
      <c r="I260" s="103"/>
      <c r="J260" s="103"/>
      <c r="K260" s="104" t="str">
        <f t="shared" si="4"/>
        <v/>
      </c>
      <c r="L260" s="32"/>
      <c r="M260" s="32"/>
      <c r="N260" s="32"/>
      <c r="O260" s="32"/>
      <c r="P260" s="32"/>
      <c r="Q260" s="32"/>
      <c r="R260" s="32"/>
      <c r="S260" s="32"/>
      <c r="T260" s="24"/>
      <c r="U260" s="32"/>
      <c r="V260" s="24"/>
      <c r="W260" s="103"/>
      <c r="X260" s="103"/>
      <c r="Y260" s="104" t="str">
        <f t="shared" si="5"/>
        <v/>
      </c>
      <c r="Z260" s="32"/>
      <c r="AA260" s="32"/>
      <c r="AB260" s="32"/>
      <c r="AC260" s="32"/>
      <c r="AD260" s="32"/>
      <c r="AE260" s="38"/>
      <c r="AF260" s="38"/>
      <c r="AG260" s="32"/>
      <c r="AH260" s="32"/>
      <c r="AI260" s="32"/>
    </row>
    <row r="261" ht="16.5" customHeight="1">
      <c r="A261" s="1"/>
      <c r="B261" s="32"/>
      <c r="C261" s="32"/>
      <c r="D261" s="32"/>
      <c r="E261" s="32"/>
      <c r="F261" s="32"/>
      <c r="G261" s="32"/>
      <c r="H261" s="32"/>
      <c r="I261" s="103"/>
      <c r="J261" s="103"/>
      <c r="K261" s="104" t="str">
        <f t="shared" si="4"/>
        <v/>
      </c>
      <c r="L261" s="32"/>
      <c r="M261" s="32"/>
      <c r="N261" s="32"/>
      <c r="O261" s="32"/>
      <c r="P261" s="32"/>
      <c r="Q261" s="32"/>
      <c r="R261" s="32"/>
      <c r="S261" s="32"/>
      <c r="T261" s="24"/>
      <c r="U261" s="32"/>
      <c r="V261" s="24"/>
      <c r="W261" s="103"/>
      <c r="X261" s="103"/>
      <c r="Y261" s="104" t="str">
        <f t="shared" si="5"/>
        <v/>
      </c>
      <c r="Z261" s="32"/>
      <c r="AA261" s="32"/>
      <c r="AB261" s="32"/>
      <c r="AC261" s="32"/>
      <c r="AD261" s="32"/>
      <c r="AE261" s="38"/>
      <c r="AF261" s="38"/>
      <c r="AG261" s="32"/>
      <c r="AH261" s="32"/>
      <c r="AI261" s="32"/>
    </row>
    <row r="262" ht="16.5" customHeight="1">
      <c r="A262" s="1"/>
      <c r="B262" s="32"/>
      <c r="C262" s="32"/>
      <c r="D262" s="32"/>
      <c r="E262" s="32"/>
      <c r="F262" s="32"/>
      <c r="G262" s="32"/>
      <c r="H262" s="32"/>
      <c r="I262" s="103"/>
      <c r="J262" s="103"/>
      <c r="K262" s="104" t="str">
        <f t="shared" si="4"/>
        <v/>
      </c>
      <c r="L262" s="32"/>
      <c r="M262" s="32"/>
      <c r="N262" s="32"/>
      <c r="O262" s="32"/>
      <c r="P262" s="32"/>
      <c r="Q262" s="32"/>
      <c r="R262" s="32"/>
      <c r="S262" s="32"/>
      <c r="T262" s="24"/>
      <c r="U262" s="32"/>
      <c r="V262" s="24"/>
      <c r="W262" s="103"/>
      <c r="X262" s="103"/>
      <c r="Y262" s="104" t="str">
        <f t="shared" si="5"/>
        <v/>
      </c>
      <c r="Z262" s="32"/>
      <c r="AA262" s="32"/>
      <c r="AB262" s="32"/>
      <c r="AC262" s="32"/>
      <c r="AD262" s="32"/>
      <c r="AE262" s="38"/>
      <c r="AF262" s="38"/>
      <c r="AG262" s="32"/>
      <c r="AH262" s="32"/>
      <c r="AI262" s="32"/>
    </row>
    <row r="263" ht="16.5" customHeight="1">
      <c r="A263" s="1"/>
      <c r="B263" s="32"/>
      <c r="C263" s="32"/>
      <c r="D263" s="32"/>
      <c r="E263" s="32"/>
      <c r="F263" s="32"/>
      <c r="G263" s="32"/>
      <c r="H263" s="32"/>
      <c r="I263" s="103"/>
      <c r="J263" s="103"/>
      <c r="K263" s="104" t="str">
        <f t="shared" si="4"/>
        <v/>
      </c>
      <c r="L263" s="32"/>
      <c r="M263" s="32"/>
      <c r="N263" s="32"/>
      <c r="O263" s="32"/>
      <c r="P263" s="32"/>
      <c r="Q263" s="32"/>
      <c r="R263" s="32"/>
      <c r="S263" s="32"/>
      <c r="T263" s="24"/>
      <c r="U263" s="32"/>
      <c r="V263" s="24"/>
      <c r="W263" s="103"/>
      <c r="X263" s="103"/>
      <c r="Y263" s="104" t="str">
        <f t="shared" si="5"/>
        <v/>
      </c>
      <c r="Z263" s="32"/>
      <c r="AA263" s="32"/>
      <c r="AB263" s="32"/>
      <c r="AC263" s="32"/>
      <c r="AD263" s="32"/>
      <c r="AE263" s="38"/>
      <c r="AF263" s="38"/>
      <c r="AG263" s="32"/>
      <c r="AH263" s="32"/>
      <c r="AI263" s="32"/>
    </row>
    <row r="264" ht="16.5" customHeight="1">
      <c r="A264" s="1"/>
      <c r="B264" s="32"/>
      <c r="C264" s="32"/>
      <c r="D264" s="32"/>
      <c r="E264" s="32"/>
      <c r="F264" s="32"/>
      <c r="G264" s="32"/>
      <c r="H264" s="32"/>
      <c r="I264" s="103"/>
      <c r="J264" s="103"/>
      <c r="K264" s="104" t="str">
        <f t="shared" si="4"/>
        <v/>
      </c>
      <c r="L264" s="32"/>
      <c r="M264" s="32"/>
      <c r="N264" s="32"/>
      <c r="O264" s="32"/>
      <c r="P264" s="32"/>
      <c r="Q264" s="32"/>
      <c r="R264" s="32"/>
      <c r="S264" s="32"/>
      <c r="T264" s="24"/>
      <c r="U264" s="32"/>
      <c r="V264" s="24"/>
      <c r="W264" s="103"/>
      <c r="X264" s="103"/>
      <c r="Y264" s="104" t="str">
        <f t="shared" si="5"/>
        <v/>
      </c>
      <c r="Z264" s="32"/>
      <c r="AA264" s="32"/>
      <c r="AB264" s="32"/>
      <c r="AC264" s="32"/>
      <c r="AD264" s="32"/>
      <c r="AE264" s="38"/>
      <c r="AF264" s="38"/>
      <c r="AG264" s="32"/>
      <c r="AH264" s="32"/>
      <c r="AI264" s="32"/>
    </row>
    <row r="265" ht="16.5" customHeight="1">
      <c r="A265" s="1"/>
      <c r="B265" s="32"/>
      <c r="C265" s="32"/>
      <c r="D265" s="32"/>
      <c r="E265" s="32"/>
      <c r="F265" s="32"/>
      <c r="G265" s="32"/>
      <c r="H265" s="32"/>
      <c r="I265" s="103"/>
      <c r="J265" s="103"/>
      <c r="K265" s="104" t="str">
        <f t="shared" si="4"/>
        <v/>
      </c>
      <c r="L265" s="32"/>
      <c r="M265" s="32"/>
      <c r="N265" s="32"/>
      <c r="O265" s="32"/>
      <c r="P265" s="32"/>
      <c r="Q265" s="32"/>
      <c r="R265" s="32"/>
      <c r="S265" s="32"/>
      <c r="T265" s="24"/>
      <c r="U265" s="32"/>
      <c r="V265" s="24"/>
      <c r="W265" s="103"/>
      <c r="X265" s="103"/>
      <c r="Y265" s="104" t="str">
        <f t="shared" si="5"/>
        <v/>
      </c>
      <c r="Z265" s="32"/>
      <c r="AA265" s="32"/>
      <c r="AB265" s="32"/>
      <c r="AC265" s="32"/>
      <c r="AD265" s="32"/>
      <c r="AE265" s="38"/>
      <c r="AF265" s="38"/>
      <c r="AG265" s="32"/>
      <c r="AH265" s="32"/>
      <c r="AI265" s="32"/>
    </row>
    <row r="266" ht="16.5" customHeight="1">
      <c r="A266" s="1"/>
      <c r="B266" s="32"/>
      <c r="C266" s="32"/>
      <c r="D266" s="32"/>
      <c r="E266" s="32"/>
      <c r="F266" s="32"/>
      <c r="G266" s="32"/>
      <c r="H266" s="32"/>
      <c r="I266" s="103"/>
      <c r="J266" s="103"/>
      <c r="K266" s="104" t="str">
        <f t="shared" si="4"/>
        <v/>
      </c>
      <c r="L266" s="32"/>
      <c r="M266" s="32"/>
      <c r="N266" s="32"/>
      <c r="O266" s="32"/>
      <c r="P266" s="32"/>
      <c r="Q266" s="32"/>
      <c r="R266" s="32"/>
      <c r="S266" s="32"/>
      <c r="T266" s="24"/>
      <c r="U266" s="32"/>
      <c r="V266" s="24"/>
      <c r="W266" s="103"/>
      <c r="X266" s="103"/>
      <c r="Y266" s="104" t="str">
        <f t="shared" si="5"/>
        <v/>
      </c>
      <c r="Z266" s="32"/>
      <c r="AA266" s="32"/>
      <c r="AB266" s="32"/>
      <c r="AC266" s="32"/>
      <c r="AD266" s="32"/>
      <c r="AE266" s="38"/>
      <c r="AF266" s="38"/>
      <c r="AG266" s="32"/>
      <c r="AH266" s="32"/>
      <c r="AI266" s="32"/>
    </row>
    <row r="267" ht="16.5" customHeight="1">
      <c r="A267" s="1"/>
      <c r="B267" s="32"/>
      <c r="C267" s="32"/>
      <c r="D267" s="32"/>
      <c r="E267" s="32"/>
      <c r="F267" s="32"/>
      <c r="G267" s="32"/>
      <c r="H267" s="32"/>
      <c r="I267" s="103"/>
      <c r="J267" s="103"/>
      <c r="K267" s="104" t="str">
        <f t="shared" si="4"/>
        <v/>
      </c>
      <c r="L267" s="32"/>
      <c r="M267" s="32"/>
      <c r="N267" s="32"/>
      <c r="O267" s="32"/>
      <c r="P267" s="32"/>
      <c r="Q267" s="32"/>
      <c r="R267" s="32"/>
      <c r="S267" s="32"/>
      <c r="T267" s="24"/>
      <c r="U267" s="32"/>
      <c r="V267" s="24"/>
      <c r="W267" s="103"/>
      <c r="X267" s="103"/>
      <c r="Y267" s="104" t="str">
        <f t="shared" si="5"/>
        <v/>
      </c>
      <c r="Z267" s="32"/>
      <c r="AA267" s="32"/>
      <c r="AB267" s="32"/>
      <c r="AC267" s="32"/>
      <c r="AD267" s="32"/>
      <c r="AE267" s="38"/>
      <c r="AF267" s="38"/>
      <c r="AG267" s="32"/>
      <c r="AH267" s="32"/>
      <c r="AI267" s="32"/>
    </row>
    <row r="268" ht="16.5" customHeight="1">
      <c r="A268" s="1"/>
      <c r="B268" s="32"/>
      <c r="C268" s="32"/>
      <c r="D268" s="32"/>
      <c r="E268" s="32"/>
      <c r="F268" s="32"/>
      <c r="G268" s="32"/>
      <c r="H268" s="32"/>
      <c r="I268" s="103"/>
      <c r="J268" s="103"/>
      <c r="K268" s="104" t="str">
        <f t="shared" si="4"/>
        <v/>
      </c>
      <c r="L268" s="32"/>
      <c r="M268" s="32"/>
      <c r="N268" s="32"/>
      <c r="O268" s="32"/>
      <c r="P268" s="32"/>
      <c r="Q268" s="32"/>
      <c r="R268" s="32"/>
      <c r="S268" s="32"/>
      <c r="T268" s="24"/>
      <c r="U268" s="32"/>
      <c r="V268" s="24"/>
      <c r="W268" s="103"/>
      <c r="X268" s="103"/>
      <c r="Y268" s="104" t="str">
        <f t="shared" si="5"/>
        <v/>
      </c>
      <c r="Z268" s="32"/>
      <c r="AA268" s="32"/>
      <c r="AB268" s="32"/>
      <c r="AC268" s="32"/>
      <c r="AD268" s="32"/>
      <c r="AE268" s="38"/>
      <c r="AF268" s="38"/>
      <c r="AG268" s="32"/>
      <c r="AH268" s="32"/>
      <c r="AI268" s="32"/>
    </row>
    <row r="269" ht="16.5" customHeight="1">
      <c r="A269" s="1"/>
      <c r="B269" s="32"/>
      <c r="C269" s="32"/>
      <c r="D269" s="32"/>
      <c r="E269" s="32"/>
      <c r="F269" s="32"/>
      <c r="G269" s="32"/>
      <c r="H269" s="32"/>
      <c r="I269" s="103"/>
      <c r="J269" s="103"/>
      <c r="K269" s="104" t="str">
        <f t="shared" si="4"/>
        <v/>
      </c>
      <c r="L269" s="32"/>
      <c r="M269" s="32"/>
      <c r="N269" s="32"/>
      <c r="O269" s="32"/>
      <c r="P269" s="32"/>
      <c r="Q269" s="32"/>
      <c r="R269" s="32"/>
      <c r="S269" s="32"/>
      <c r="T269" s="24"/>
      <c r="U269" s="32"/>
      <c r="V269" s="24"/>
      <c r="W269" s="103"/>
      <c r="X269" s="103"/>
      <c r="Y269" s="104" t="str">
        <f t="shared" si="5"/>
        <v/>
      </c>
      <c r="Z269" s="32"/>
      <c r="AA269" s="32"/>
      <c r="AB269" s="32"/>
      <c r="AC269" s="32"/>
      <c r="AD269" s="32"/>
      <c r="AE269" s="38"/>
      <c r="AF269" s="38"/>
      <c r="AG269" s="32"/>
      <c r="AH269" s="32"/>
      <c r="AI269" s="32"/>
    </row>
    <row r="270" ht="16.5" customHeight="1">
      <c r="A270" s="1"/>
      <c r="B270" s="32"/>
      <c r="C270" s="32"/>
      <c r="D270" s="32"/>
      <c r="E270" s="32"/>
      <c r="F270" s="32"/>
      <c r="G270" s="32"/>
      <c r="H270" s="32"/>
      <c r="I270" s="103"/>
      <c r="J270" s="103"/>
      <c r="K270" s="104" t="str">
        <f t="shared" si="4"/>
        <v/>
      </c>
      <c r="L270" s="32"/>
      <c r="M270" s="32"/>
      <c r="N270" s="32"/>
      <c r="O270" s="32"/>
      <c r="P270" s="32"/>
      <c r="Q270" s="32"/>
      <c r="R270" s="32"/>
      <c r="S270" s="32"/>
      <c r="T270" s="24"/>
      <c r="U270" s="32"/>
      <c r="V270" s="24"/>
      <c r="W270" s="103"/>
      <c r="X270" s="103"/>
      <c r="Y270" s="104" t="str">
        <f t="shared" si="5"/>
        <v/>
      </c>
      <c r="Z270" s="32"/>
      <c r="AA270" s="32"/>
      <c r="AB270" s="32"/>
      <c r="AC270" s="32"/>
      <c r="AD270" s="32"/>
      <c r="AE270" s="38"/>
      <c r="AF270" s="38"/>
      <c r="AG270" s="32"/>
      <c r="AH270" s="32"/>
      <c r="AI270" s="32"/>
    </row>
    <row r="271" ht="16.5" customHeight="1">
      <c r="A271" s="1"/>
      <c r="B271" s="32"/>
      <c r="C271" s="32"/>
      <c r="D271" s="32"/>
      <c r="E271" s="32"/>
      <c r="F271" s="32"/>
      <c r="G271" s="32"/>
      <c r="H271" s="32"/>
      <c r="I271" s="103"/>
      <c r="J271" s="103"/>
      <c r="K271" s="104" t="str">
        <f t="shared" si="4"/>
        <v/>
      </c>
      <c r="L271" s="32"/>
      <c r="M271" s="32"/>
      <c r="N271" s="32"/>
      <c r="O271" s="32"/>
      <c r="P271" s="32"/>
      <c r="Q271" s="32"/>
      <c r="R271" s="32"/>
      <c r="S271" s="32"/>
      <c r="T271" s="24"/>
      <c r="U271" s="32"/>
      <c r="V271" s="24"/>
      <c r="W271" s="103"/>
      <c r="X271" s="103"/>
      <c r="Y271" s="104" t="str">
        <f t="shared" si="5"/>
        <v/>
      </c>
      <c r="Z271" s="32"/>
      <c r="AA271" s="32"/>
      <c r="AB271" s="32"/>
      <c r="AC271" s="32"/>
      <c r="AD271" s="32"/>
      <c r="AE271" s="38"/>
      <c r="AF271" s="38"/>
      <c r="AG271" s="32"/>
      <c r="AH271" s="32"/>
      <c r="AI271" s="32"/>
    </row>
    <row r="272" ht="16.5" customHeight="1">
      <c r="A272" s="1"/>
      <c r="B272" s="32"/>
      <c r="C272" s="32"/>
      <c r="D272" s="32"/>
      <c r="E272" s="32"/>
      <c r="F272" s="32"/>
      <c r="G272" s="32"/>
      <c r="H272" s="32"/>
      <c r="I272" s="103"/>
      <c r="J272" s="103"/>
      <c r="K272" s="104" t="str">
        <f t="shared" si="4"/>
        <v/>
      </c>
      <c r="L272" s="32"/>
      <c r="M272" s="32"/>
      <c r="N272" s="32"/>
      <c r="O272" s="32"/>
      <c r="P272" s="32"/>
      <c r="Q272" s="32"/>
      <c r="R272" s="32"/>
      <c r="S272" s="32"/>
      <c r="T272" s="24"/>
      <c r="U272" s="32"/>
      <c r="V272" s="24"/>
      <c r="W272" s="103"/>
      <c r="X272" s="103"/>
      <c r="Y272" s="104" t="str">
        <f t="shared" si="5"/>
        <v/>
      </c>
      <c r="Z272" s="32"/>
      <c r="AA272" s="32"/>
      <c r="AB272" s="32"/>
      <c r="AC272" s="32"/>
      <c r="AD272" s="32"/>
      <c r="AE272" s="38"/>
      <c r="AF272" s="38"/>
      <c r="AG272" s="32"/>
      <c r="AH272" s="32"/>
      <c r="AI272" s="32"/>
    </row>
    <row r="273" ht="16.5" customHeight="1">
      <c r="A273" s="1"/>
      <c r="B273" s="32"/>
      <c r="C273" s="32"/>
      <c r="D273" s="32"/>
      <c r="E273" s="32"/>
      <c r="F273" s="32"/>
      <c r="G273" s="32"/>
      <c r="H273" s="32"/>
      <c r="I273" s="103"/>
      <c r="J273" s="103"/>
      <c r="K273" s="104" t="str">
        <f t="shared" si="4"/>
        <v/>
      </c>
      <c r="L273" s="32"/>
      <c r="M273" s="32"/>
      <c r="N273" s="32"/>
      <c r="O273" s="32"/>
      <c r="P273" s="32"/>
      <c r="Q273" s="32"/>
      <c r="R273" s="32"/>
      <c r="S273" s="32"/>
      <c r="T273" s="24"/>
      <c r="U273" s="32"/>
      <c r="V273" s="24"/>
      <c r="W273" s="103"/>
      <c r="X273" s="103"/>
      <c r="Y273" s="104" t="str">
        <f t="shared" si="5"/>
        <v/>
      </c>
      <c r="Z273" s="32"/>
      <c r="AA273" s="32"/>
      <c r="AB273" s="32"/>
      <c r="AC273" s="32"/>
      <c r="AD273" s="32"/>
      <c r="AE273" s="38"/>
      <c r="AF273" s="38"/>
      <c r="AG273" s="32"/>
      <c r="AH273" s="32"/>
      <c r="AI273" s="32"/>
    </row>
    <row r="274" ht="16.5" customHeight="1">
      <c r="A274" s="1"/>
      <c r="B274" s="32"/>
      <c r="C274" s="32"/>
      <c r="D274" s="32"/>
      <c r="E274" s="32"/>
      <c r="F274" s="32"/>
      <c r="G274" s="32"/>
      <c r="H274" s="32"/>
      <c r="I274" s="103"/>
      <c r="J274" s="103"/>
      <c r="K274" s="104" t="str">
        <f t="shared" si="4"/>
        <v/>
      </c>
      <c r="L274" s="32"/>
      <c r="M274" s="32"/>
      <c r="N274" s="32"/>
      <c r="O274" s="32"/>
      <c r="P274" s="32"/>
      <c r="Q274" s="32"/>
      <c r="R274" s="32"/>
      <c r="S274" s="32"/>
      <c r="T274" s="24"/>
      <c r="U274" s="32"/>
      <c r="V274" s="24"/>
      <c r="W274" s="103"/>
      <c r="X274" s="103"/>
      <c r="Y274" s="104" t="str">
        <f t="shared" si="5"/>
        <v/>
      </c>
      <c r="Z274" s="32"/>
      <c r="AA274" s="32"/>
      <c r="AB274" s="32"/>
      <c r="AC274" s="32"/>
      <c r="AD274" s="32"/>
      <c r="AE274" s="38"/>
      <c r="AF274" s="38"/>
      <c r="AG274" s="32"/>
      <c r="AH274" s="32"/>
      <c r="AI274" s="32"/>
    </row>
    <row r="275" ht="16.5" customHeight="1">
      <c r="A275" s="1"/>
      <c r="B275" s="32"/>
      <c r="C275" s="32"/>
      <c r="D275" s="32"/>
      <c r="E275" s="32"/>
      <c r="F275" s="32"/>
      <c r="G275" s="32"/>
      <c r="H275" s="32"/>
      <c r="I275" s="103"/>
      <c r="J275" s="103"/>
      <c r="K275" s="104" t="str">
        <f t="shared" si="4"/>
        <v/>
      </c>
      <c r="L275" s="32"/>
      <c r="M275" s="32"/>
      <c r="N275" s="32"/>
      <c r="O275" s="32"/>
      <c r="P275" s="32"/>
      <c r="Q275" s="32"/>
      <c r="R275" s="32"/>
      <c r="S275" s="32"/>
      <c r="T275" s="24"/>
      <c r="U275" s="32"/>
      <c r="V275" s="24"/>
      <c r="W275" s="103"/>
      <c r="X275" s="103"/>
      <c r="Y275" s="104" t="str">
        <f t="shared" si="5"/>
        <v/>
      </c>
      <c r="Z275" s="32"/>
      <c r="AA275" s="32"/>
      <c r="AB275" s="32"/>
      <c r="AC275" s="32"/>
      <c r="AD275" s="32"/>
      <c r="AE275" s="38"/>
      <c r="AF275" s="38"/>
      <c r="AG275" s="32"/>
      <c r="AH275" s="32"/>
      <c r="AI275" s="32"/>
    </row>
    <row r="276" ht="16.5" customHeight="1">
      <c r="A276" s="1"/>
      <c r="B276" s="32"/>
      <c r="C276" s="32"/>
      <c r="D276" s="32"/>
      <c r="E276" s="32"/>
      <c r="F276" s="32"/>
      <c r="G276" s="32"/>
      <c r="H276" s="32"/>
      <c r="I276" s="103"/>
      <c r="J276" s="103"/>
      <c r="K276" s="104" t="str">
        <f t="shared" si="4"/>
        <v/>
      </c>
      <c r="L276" s="32"/>
      <c r="M276" s="32"/>
      <c r="N276" s="32"/>
      <c r="O276" s="32"/>
      <c r="P276" s="32"/>
      <c r="Q276" s="32"/>
      <c r="R276" s="32"/>
      <c r="S276" s="32"/>
      <c r="T276" s="24"/>
      <c r="U276" s="32"/>
      <c r="V276" s="24"/>
      <c r="W276" s="103"/>
      <c r="X276" s="103"/>
      <c r="Y276" s="104" t="str">
        <f t="shared" si="5"/>
        <v/>
      </c>
      <c r="Z276" s="32"/>
      <c r="AA276" s="32"/>
      <c r="AB276" s="32"/>
      <c r="AC276" s="32"/>
      <c r="AD276" s="32"/>
      <c r="AE276" s="38"/>
      <c r="AF276" s="38"/>
      <c r="AG276" s="32"/>
      <c r="AH276" s="32"/>
      <c r="AI276" s="32"/>
    </row>
    <row r="277" ht="16.5" customHeight="1">
      <c r="A277" s="1"/>
      <c r="B277" s="32"/>
      <c r="C277" s="32"/>
      <c r="D277" s="32"/>
      <c r="E277" s="32"/>
      <c r="F277" s="32"/>
      <c r="G277" s="32"/>
      <c r="H277" s="32"/>
      <c r="I277" s="103"/>
      <c r="J277" s="103"/>
      <c r="K277" s="104" t="str">
        <f t="shared" si="4"/>
        <v/>
      </c>
      <c r="L277" s="32"/>
      <c r="M277" s="32"/>
      <c r="N277" s="32"/>
      <c r="O277" s="32"/>
      <c r="P277" s="32"/>
      <c r="Q277" s="32"/>
      <c r="R277" s="32"/>
      <c r="S277" s="32"/>
      <c r="T277" s="24"/>
      <c r="U277" s="32"/>
      <c r="V277" s="24"/>
      <c r="W277" s="103"/>
      <c r="X277" s="103"/>
      <c r="Y277" s="104" t="str">
        <f t="shared" si="5"/>
        <v/>
      </c>
      <c r="Z277" s="32"/>
      <c r="AA277" s="32"/>
      <c r="AB277" s="32"/>
      <c r="AC277" s="32"/>
      <c r="AD277" s="32"/>
      <c r="AE277" s="38"/>
      <c r="AF277" s="38"/>
      <c r="AG277" s="32"/>
      <c r="AH277" s="32"/>
      <c r="AI277" s="32"/>
    </row>
    <row r="278" ht="16.5" customHeight="1">
      <c r="A278" s="1"/>
      <c r="B278" s="32"/>
      <c r="C278" s="32"/>
      <c r="D278" s="32"/>
      <c r="E278" s="32"/>
      <c r="F278" s="32"/>
      <c r="G278" s="32"/>
      <c r="H278" s="32"/>
      <c r="I278" s="103"/>
      <c r="J278" s="103"/>
      <c r="K278" s="104" t="str">
        <f t="shared" si="4"/>
        <v/>
      </c>
      <c r="L278" s="32"/>
      <c r="M278" s="32"/>
      <c r="N278" s="32"/>
      <c r="O278" s="32"/>
      <c r="P278" s="32"/>
      <c r="Q278" s="32"/>
      <c r="R278" s="32"/>
      <c r="S278" s="32"/>
      <c r="T278" s="24"/>
      <c r="U278" s="32"/>
      <c r="V278" s="24"/>
      <c r="W278" s="103"/>
      <c r="X278" s="103"/>
      <c r="Y278" s="104" t="str">
        <f t="shared" si="5"/>
        <v/>
      </c>
      <c r="Z278" s="32"/>
      <c r="AA278" s="32"/>
      <c r="AB278" s="32"/>
      <c r="AC278" s="32"/>
      <c r="AD278" s="32"/>
      <c r="AE278" s="38"/>
      <c r="AF278" s="38"/>
      <c r="AG278" s="32"/>
      <c r="AH278" s="32"/>
      <c r="AI278" s="32"/>
    </row>
    <row r="279" ht="16.5" customHeight="1">
      <c r="A279" s="1"/>
      <c r="B279" s="32"/>
      <c r="C279" s="32"/>
      <c r="D279" s="32"/>
      <c r="E279" s="32"/>
      <c r="F279" s="32"/>
      <c r="G279" s="32"/>
      <c r="H279" s="32"/>
      <c r="I279" s="103"/>
      <c r="J279" s="103"/>
      <c r="K279" s="104" t="str">
        <f t="shared" si="4"/>
        <v/>
      </c>
      <c r="L279" s="32"/>
      <c r="M279" s="32"/>
      <c r="N279" s="32"/>
      <c r="O279" s="32"/>
      <c r="P279" s="32"/>
      <c r="Q279" s="32"/>
      <c r="R279" s="32"/>
      <c r="S279" s="32"/>
      <c r="T279" s="24"/>
      <c r="U279" s="32"/>
      <c r="V279" s="24"/>
      <c r="W279" s="103"/>
      <c r="X279" s="103"/>
      <c r="Y279" s="104" t="str">
        <f t="shared" si="5"/>
        <v/>
      </c>
      <c r="Z279" s="32"/>
      <c r="AA279" s="32"/>
      <c r="AB279" s="32"/>
      <c r="AC279" s="32"/>
      <c r="AD279" s="32"/>
      <c r="AE279" s="38"/>
      <c r="AF279" s="38"/>
      <c r="AG279" s="32"/>
      <c r="AH279" s="32"/>
      <c r="AI279" s="32"/>
    </row>
    <row r="280" ht="16.5" customHeight="1">
      <c r="A280" s="1"/>
      <c r="B280" s="32"/>
      <c r="C280" s="32"/>
      <c r="D280" s="32"/>
      <c r="E280" s="32"/>
      <c r="F280" s="32"/>
      <c r="G280" s="32"/>
      <c r="H280" s="32"/>
      <c r="I280" s="103"/>
      <c r="J280" s="103"/>
      <c r="K280" s="104" t="str">
        <f t="shared" si="4"/>
        <v/>
      </c>
      <c r="L280" s="32"/>
      <c r="M280" s="32"/>
      <c r="N280" s="32"/>
      <c r="O280" s="32"/>
      <c r="P280" s="32"/>
      <c r="Q280" s="32"/>
      <c r="R280" s="32"/>
      <c r="S280" s="32"/>
      <c r="T280" s="24"/>
      <c r="U280" s="32"/>
      <c r="V280" s="24"/>
      <c r="W280" s="103"/>
      <c r="X280" s="103"/>
      <c r="Y280" s="104" t="str">
        <f t="shared" si="5"/>
        <v/>
      </c>
      <c r="Z280" s="32"/>
      <c r="AA280" s="32"/>
      <c r="AB280" s="32"/>
      <c r="AC280" s="32"/>
      <c r="AD280" s="32"/>
      <c r="AE280" s="38"/>
      <c r="AF280" s="38"/>
      <c r="AG280" s="32"/>
      <c r="AH280" s="32"/>
      <c r="AI280" s="32"/>
    </row>
    <row r="281" ht="16.5" customHeight="1">
      <c r="A281" s="1"/>
      <c r="B281" s="32"/>
      <c r="C281" s="32"/>
      <c r="D281" s="32"/>
      <c r="E281" s="32"/>
      <c r="F281" s="32"/>
      <c r="G281" s="32"/>
      <c r="H281" s="32"/>
      <c r="I281" s="103"/>
      <c r="J281" s="103"/>
      <c r="K281" s="104" t="str">
        <f t="shared" si="4"/>
        <v/>
      </c>
      <c r="L281" s="32"/>
      <c r="M281" s="32"/>
      <c r="N281" s="32"/>
      <c r="O281" s="32"/>
      <c r="P281" s="32"/>
      <c r="Q281" s="32"/>
      <c r="R281" s="32"/>
      <c r="S281" s="32"/>
      <c r="T281" s="24"/>
      <c r="U281" s="32"/>
      <c r="V281" s="24"/>
      <c r="W281" s="103"/>
      <c r="X281" s="103"/>
      <c r="Y281" s="104" t="str">
        <f t="shared" si="5"/>
        <v/>
      </c>
      <c r="Z281" s="32"/>
      <c r="AA281" s="32"/>
      <c r="AB281" s="32"/>
      <c r="AC281" s="32"/>
      <c r="AD281" s="32"/>
      <c r="AE281" s="38"/>
      <c r="AF281" s="38"/>
      <c r="AG281" s="32"/>
      <c r="AH281" s="32"/>
      <c r="AI281" s="32"/>
    </row>
    <row r="282" ht="16.5" customHeight="1">
      <c r="A282" s="1"/>
      <c r="B282" s="32"/>
      <c r="C282" s="32"/>
      <c r="D282" s="32"/>
      <c r="E282" s="32"/>
      <c r="F282" s="32"/>
      <c r="G282" s="32"/>
      <c r="H282" s="32"/>
      <c r="I282" s="103"/>
      <c r="J282" s="103"/>
      <c r="K282" s="104" t="str">
        <f t="shared" si="4"/>
        <v/>
      </c>
      <c r="L282" s="32"/>
      <c r="M282" s="32"/>
      <c r="N282" s="32"/>
      <c r="O282" s="32"/>
      <c r="P282" s="32"/>
      <c r="Q282" s="32"/>
      <c r="R282" s="32"/>
      <c r="S282" s="32"/>
      <c r="T282" s="24"/>
      <c r="U282" s="32"/>
      <c r="V282" s="24"/>
      <c r="W282" s="103"/>
      <c r="X282" s="103"/>
      <c r="Y282" s="104" t="str">
        <f t="shared" si="5"/>
        <v/>
      </c>
      <c r="Z282" s="32"/>
      <c r="AA282" s="32"/>
      <c r="AB282" s="32"/>
      <c r="AC282" s="32"/>
      <c r="AD282" s="32"/>
      <c r="AE282" s="38"/>
      <c r="AF282" s="38"/>
      <c r="AG282" s="32"/>
      <c r="AH282" s="32"/>
      <c r="AI282" s="32"/>
    </row>
    <row r="283" ht="16.5" customHeight="1">
      <c r="A283" s="1"/>
      <c r="B283" s="32"/>
      <c r="C283" s="32"/>
      <c r="D283" s="32"/>
      <c r="E283" s="32"/>
      <c r="F283" s="32"/>
      <c r="G283" s="32"/>
      <c r="H283" s="32"/>
      <c r="I283" s="103"/>
      <c r="J283" s="103"/>
      <c r="K283" s="104" t="str">
        <f t="shared" si="4"/>
        <v/>
      </c>
      <c r="L283" s="32"/>
      <c r="M283" s="32"/>
      <c r="N283" s="32"/>
      <c r="O283" s="32"/>
      <c r="P283" s="32"/>
      <c r="Q283" s="32"/>
      <c r="R283" s="32"/>
      <c r="S283" s="32"/>
      <c r="T283" s="24"/>
      <c r="U283" s="32"/>
      <c r="V283" s="24"/>
      <c r="W283" s="103"/>
      <c r="X283" s="103"/>
      <c r="Y283" s="104" t="str">
        <f t="shared" si="5"/>
        <v/>
      </c>
      <c r="Z283" s="32"/>
      <c r="AA283" s="32"/>
      <c r="AB283" s="32"/>
      <c r="AC283" s="32"/>
      <c r="AD283" s="32"/>
      <c r="AE283" s="38"/>
      <c r="AF283" s="38"/>
      <c r="AG283" s="32"/>
      <c r="AH283" s="32"/>
      <c r="AI283" s="32"/>
    </row>
    <row r="284" ht="16.5" customHeight="1">
      <c r="A284" s="1"/>
      <c r="B284" s="32"/>
      <c r="C284" s="32"/>
      <c r="D284" s="32"/>
      <c r="E284" s="32"/>
      <c r="F284" s="32"/>
      <c r="G284" s="32"/>
      <c r="H284" s="32"/>
      <c r="I284" s="103"/>
      <c r="J284" s="103"/>
      <c r="K284" s="104" t="str">
        <f t="shared" si="4"/>
        <v/>
      </c>
      <c r="L284" s="32"/>
      <c r="M284" s="32"/>
      <c r="N284" s="32"/>
      <c r="O284" s="32"/>
      <c r="P284" s="32"/>
      <c r="Q284" s="32"/>
      <c r="R284" s="32"/>
      <c r="S284" s="32"/>
      <c r="T284" s="24"/>
      <c r="U284" s="32"/>
      <c r="V284" s="24"/>
      <c r="W284" s="103"/>
      <c r="X284" s="103"/>
      <c r="Y284" s="104" t="str">
        <f t="shared" si="5"/>
        <v/>
      </c>
      <c r="Z284" s="32"/>
      <c r="AA284" s="32"/>
      <c r="AB284" s="32"/>
      <c r="AC284" s="32"/>
      <c r="AD284" s="32"/>
      <c r="AE284" s="38"/>
      <c r="AF284" s="38"/>
      <c r="AG284" s="32"/>
      <c r="AH284" s="32"/>
      <c r="AI284" s="32"/>
    </row>
    <row r="285" ht="16.5" customHeight="1">
      <c r="A285" s="1"/>
      <c r="B285" s="32"/>
      <c r="C285" s="32"/>
      <c r="D285" s="32"/>
      <c r="E285" s="32"/>
      <c r="F285" s="32"/>
      <c r="G285" s="32"/>
      <c r="H285" s="32"/>
      <c r="I285" s="103"/>
      <c r="J285" s="103"/>
      <c r="K285" s="104" t="str">
        <f t="shared" si="4"/>
        <v/>
      </c>
      <c r="L285" s="32"/>
      <c r="M285" s="32"/>
      <c r="N285" s="32"/>
      <c r="O285" s="32"/>
      <c r="P285" s="32"/>
      <c r="Q285" s="32"/>
      <c r="R285" s="32"/>
      <c r="S285" s="32"/>
      <c r="T285" s="24"/>
      <c r="U285" s="32"/>
      <c r="V285" s="24"/>
      <c r="W285" s="103"/>
      <c r="X285" s="103"/>
      <c r="Y285" s="104" t="str">
        <f t="shared" si="5"/>
        <v/>
      </c>
      <c r="Z285" s="32"/>
      <c r="AA285" s="32"/>
      <c r="AB285" s="32"/>
      <c r="AC285" s="32"/>
      <c r="AD285" s="32"/>
      <c r="AE285" s="38"/>
      <c r="AF285" s="38"/>
      <c r="AG285" s="32"/>
      <c r="AH285" s="32"/>
      <c r="AI285" s="32"/>
    </row>
    <row r="286" ht="16.5" customHeight="1">
      <c r="A286" s="1"/>
      <c r="B286" s="32"/>
      <c r="C286" s="32"/>
      <c r="D286" s="32"/>
      <c r="E286" s="32"/>
      <c r="F286" s="32"/>
      <c r="G286" s="32"/>
      <c r="H286" s="32"/>
      <c r="I286" s="103"/>
      <c r="J286" s="103"/>
      <c r="K286" s="104" t="str">
        <f t="shared" si="4"/>
        <v/>
      </c>
      <c r="L286" s="32"/>
      <c r="M286" s="32"/>
      <c r="N286" s="32"/>
      <c r="O286" s="32"/>
      <c r="P286" s="32"/>
      <c r="Q286" s="32"/>
      <c r="R286" s="32"/>
      <c r="S286" s="32"/>
      <c r="T286" s="24"/>
      <c r="U286" s="32"/>
      <c r="V286" s="24"/>
      <c r="W286" s="103"/>
      <c r="X286" s="103"/>
      <c r="Y286" s="104" t="str">
        <f t="shared" si="5"/>
        <v/>
      </c>
      <c r="Z286" s="32"/>
      <c r="AA286" s="32"/>
      <c r="AB286" s="32"/>
      <c r="AC286" s="32"/>
      <c r="AD286" s="32"/>
      <c r="AE286" s="38"/>
      <c r="AF286" s="38"/>
      <c r="AG286" s="32"/>
      <c r="AH286" s="32"/>
      <c r="AI286" s="32"/>
    </row>
    <row r="287" ht="16.5" customHeight="1">
      <c r="A287" s="1"/>
      <c r="B287" s="32"/>
      <c r="C287" s="32"/>
      <c r="D287" s="32"/>
      <c r="E287" s="32"/>
      <c r="F287" s="32"/>
      <c r="G287" s="32"/>
      <c r="H287" s="32"/>
      <c r="I287" s="103"/>
      <c r="J287" s="103"/>
      <c r="K287" s="104" t="str">
        <f t="shared" si="4"/>
        <v/>
      </c>
      <c r="L287" s="32"/>
      <c r="M287" s="32"/>
      <c r="N287" s="32"/>
      <c r="O287" s="32"/>
      <c r="P287" s="32"/>
      <c r="Q287" s="32"/>
      <c r="R287" s="32"/>
      <c r="S287" s="32"/>
      <c r="T287" s="24"/>
      <c r="U287" s="32"/>
      <c r="V287" s="24"/>
      <c r="W287" s="103"/>
      <c r="X287" s="103"/>
      <c r="Y287" s="104" t="str">
        <f t="shared" si="5"/>
        <v/>
      </c>
      <c r="Z287" s="32"/>
      <c r="AA287" s="32"/>
      <c r="AB287" s="32"/>
      <c r="AC287" s="32"/>
      <c r="AD287" s="32"/>
      <c r="AE287" s="38"/>
      <c r="AF287" s="38"/>
      <c r="AG287" s="32"/>
      <c r="AH287" s="32"/>
      <c r="AI287" s="32"/>
    </row>
    <row r="288" ht="16.5" customHeight="1">
      <c r="A288" s="1"/>
      <c r="B288" s="32"/>
      <c r="C288" s="32"/>
      <c r="D288" s="32"/>
      <c r="E288" s="32"/>
      <c r="F288" s="32"/>
      <c r="G288" s="32"/>
      <c r="H288" s="32"/>
      <c r="I288" s="103"/>
      <c r="J288" s="103"/>
      <c r="K288" s="104" t="str">
        <f t="shared" si="4"/>
        <v/>
      </c>
      <c r="L288" s="32"/>
      <c r="M288" s="32"/>
      <c r="N288" s="32"/>
      <c r="O288" s="32"/>
      <c r="P288" s="32"/>
      <c r="Q288" s="32"/>
      <c r="R288" s="32"/>
      <c r="S288" s="32"/>
      <c r="T288" s="24"/>
      <c r="U288" s="32"/>
      <c r="V288" s="24"/>
      <c r="W288" s="103"/>
      <c r="X288" s="103"/>
      <c r="Y288" s="104" t="str">
        <f t="shared" si="5"/>
        <v/>
      </c>
      <c r="Z288" s="32"/>
      <c r="AA288" s="32"/>
      <c r="AB288" s="32"/>
      <c r="AC288" s="32"/>
      <c r="AD288" s="32"/>
      <c r="AE288" s="38"/>
      <c r="AF288" s="38"/>
      <c r="AG288" s="32"/>
      <c r="AH288" s="32"/>
      <c r="AI288" s="32"/>
    </row>
    <row r="289" ht="16.5" customHeight="1">
      <c r="A289" s="1"/>
      <c r="B289" s="32"/>
      <c r="C289" s="32"/>
      <c r="D289" s="32"/>
      <c r="E289" s="32"/>
      <c r="F289" s="32"/>
      <c r="G289" s="32"/>
      <c r="H289" s="32"/>
      <c r="I289" s="103"/>
      <c r="J289" s="103"/>
      <c r="K289" s="104" t="str">
        <f t="shared" si="4"/>
        <v/>
      </c>
      <c r="L289" s="32"/>
      <c r="M289" s="32"/>
      <c r="N289" s="32"/>
      <c r="O289" s="32"/>
      <c r="P289" s="32"/>
      <c r="Q289" s="32"/>
      <c r="R289" s="32"/>
      <c r="S289" s="32"/>
      <c r="T289" s="24"/>
      <c r="U289" s="32"/>
      <c r="V289" s="24"/>
      <c r="W289" s="103"/>
      <c r="X289" s="103"/>
      <c r="Y289" s="104" t="str">
        <f t="shared" si="5"/>
        <v/>
      </c>
      <c r="Z289" s="32"/>
      <c r="AA289" s="32"/>
      <c r="AB289" s="32"/>
      <c r="AC289" s="32"/>
      <c r="AD289" s="32"/>
      <c r="AE289" s="38"/>
      <c r="AF289" s="38"/>
      <c r="AG289" s="32"/>
      <c r="AH289" s="32"/>
      <c r="AI289" s="32"/>
    </row>
    <row r="290" ht="16.5" customHeight="1">
      <c r="A290" s="1"/>
      <c r="B290" s="32"/>
      <c r="C290" s="32"/>
      <c r="D290" s="32"/>
      <c r="E290" s="32"/>
      <c r="F290" s="32"/>
      <c r="G290" s="32"/>
      <c r="H290" s="32"/>
      <c r="I290" s="103"/>
      <c r="J290" s="103"/>
      <c r="K290" s="104" t="str">
        <f t="shared" si="4"/>
        <v/>
      </c>
      <c r="L290" s="32"/>
      <c r="M290" s="32"/>
      <c r="N290" s="32"/>
      <c r="O290" s="32"/>
      <c r="P290" s="32"/>
      <c r="Q290" s="32"/>
      <c r="R290" s="32"/>
      <c r="S290" s="32"/>
      <c r="T290" s="24"/>
      <c r="U290" s="32"/>
      <c r="V290" s="24"/>
      <c r="W290" s="103"/>
      <c r="X290" s="103"/>
      <c r="Y290" s="104" t="str">
        <f t="shared" si="5"/>
        <v/>
      </c>
      <c r="Z290" s="32"/>
      <c r="AA290" s="32"/>
      <c r="AB290" s="32"/>
      <c r="AC290" s="32"/>
      <c r="AD290" s="32"/>
      <c r="AE290" s="38"/>
      <c r="AF290" s="38"/>
      <c r="AG290" s="32"/>
      <c r="AH290" s="32"/>
      <c r="AI290" s="32"/>
    </row>
    <row r="291" ht="16.5" customHeight="1">
      <c r="A291" s="1"/>
      <c r="B291" s="32"/>
      <c r="C291" s="32"/>
      <c r="D291" s="32"/>
      <c r="E291" s="32"/>
      <c r="F291" s="32"/>
      <c r="G291" s="32"/>
      <c r="H291" s="32"/>
      <c r="I291" s="103"/>
      <c r="J291" s="103"/>
      <c r="K291" s="104" t="str">
        <f t="shared" si="4"/>
        <v/>
      </c>
      <c r="L291" s="32"/>
      <c r="M291" s="32"/>
      <c r="N291" s="32"/>
      <c r="O291" s="32"/>
      <c r="P291" s="32"/>
      <c r="Q291" s="32"/>
      <c r="R291" s="32"/>
      <c r="S291" s="32"/>
      <c r="T291" s="24"/>
      <c r="U291" s="32"/>
      <c r="V291" s="24"/>
      <c r="W291" s="103"/>
      <c r="X291" s="103"/>
      <c r="Y291" s="104" t="str">
        <f t="shared" si="5"/>
        <v/>
      </c>
      <c r="Z291" s="32"/>
      <c r="AA291" s="32"/>
      <c r="AB291" s="32"/>
      <c r="AC291" s="32"/>
      <c r="AD291" s="32"/>
      <c r="AE291" s="38"/>
      <c r="AF291" s="38"/>
      <c r="AG291" s="32"/>
      <c r="AH291" s="32"/>
      <c r="AI291" s="32"/>
    </row>
    <row r="292" ht="16.5" customHeight="1">
      <c r="A292" s="1"/>
      <c r="B292" s="32"/>
      <c r="C292" s="32"/>
      <c r="D292" s="32"/>
      <c r="E292" s="32"/>
      <c r="F292" s="32"/>
      <c r="G292" s="32"/>
      <c r="H292" s="32"/>
      <c r="I292" s="103"/>
      <c r="J292" s="103"/>
      <c r="K292" s="104" t="str">
        <f t="shared" si="4"/>
        <v/>
      </c>
      <c r="L292" s="32"/>
      <c r="M292" s="32"/>
      <c r="N292" s="32"/>
      <c r="O292" s="32"/>
      <c r="P292" s="32"/>
      <c r="Q292" s="32"/>
      <c r="R292" s="32"/>
      <c r="S292" s="32"/>
      <c r="T292" s="24"/>
      <c r="U292" s="32"/>
      <c r="V292" s="24"/>
      <c r="W292" s="103"/>
      <c r="X292" s="103"/>
      <c r="Y292" s="104" t="str">
        <f t="shared" si="5"/>
        <v/>
      </c>
      <c r="Z292" s="32"/>
      <c r="AA292" s="32"/>
      <c r="AB292" s="32"/>
      <c r="AC292" s="32"/>
      <c r="AD292" s="32"/>
      <c r="AE292" s="38"/>
      <c r="AF292" s="38"/>
      <c r="AG292" s="32"/>
      <c r="AH292" s="32"/>
      <c r="AI292" s="32"/>
    </row>
    <row r="293" ht="16.5" customHeight="1">
      <c r="A293" s="1"/>
      <c r="B293" s="32"/>
      <c r="C293" s="32"/>
      <c r="D293" s="32"/>
      <c r="E293" s="32"/>
      <c r="F293" s="32"/>
      <c r="G293" s="32"/>
      <c r="H293" s="32"/>
      <c r="I293" s="103"/>
      <c r="J293" s="103"/>
      <c r="K293" s="104" t="str">
        <f t="shared" si="4"/>
        <v/>
      </c>
      <c r="L293" s="32"/>
      <c r="M293" s="32"/>
      <c r="N293" s="32"/>
      <c r="O293" s="32"/>
      <c r="P293" s="32"/>
      <c r="Q293" s="32"/>
      <c r="R293" s="32"/>
      <c r="S293" s="32"/>
      <c r="T293" s="24"/>
      <c r="U293" s="32"/>
      <c r="V293" s="24"/>
      <c r="W293" s="103"/>
      <c r="X293" s="103"/>
      <c r="Y293" s="104" t="str">
        <f t="shared" si="5"/>
        <v/>
      </c>
      <c r="Z293" s="32"/>
      <c r="AA293" s="32"/>
      <c r="AB293" s="32"/>
      <c r="AC293" s="32"/>
      <c r="AD293" s="32"/>
      <c r="AE293" s="38"/>
      <c r="AF293" s="38"/>
      <c r="AG293" s="32"/>
      <c r="AH293" s="32"/>
      <c r="AI293" s="32"/>
    </row>
    <row r="294" ht="16.5" customHeight="1">
      <c r="A294" s="1"/>
      <c r="B294" s="32"/>
      <c r="C294" s="32"/>
      <c r="D294" s="32"/>
      <c r="E294" s="32"/>
      <c r="F294" s="32"/>
      <c r="G294" s="32"/>
      <c r="H294" s="32"/>
      <c r="I294" s="103"/>
      <c r="J294" s="103"/>
      <c r="K294" s="104" t="str">
        <f t="shared" si="4"/>
        <v/>
      </c>
      <c r="L294" s="32"/>
      <c r="M294" s="32"/>
      <c r="N294" s="32"/>
      <c r="O294" s="32"/>
      <c r="P294" s="32"/>
      <c r="Q294" s="32"/>
      <c r="R294" s="32"/>
      <c r="S294" s="32"/>
      <c r="T294" s="24"/>
      <c r="U294" s="32"/>
      <c r="V294" s="24"/>
      <c r="W294" s="103"/>
      <c r="X294" s="103"/>
      <c r="Y294" s="104" t="str">
        <f t="shared" si="5"/>
        <v/>
      </c>
      <c r="Z294" s="32"/>
      <c r="AA294" s="32"/>
      <c r="AB294" s="32"/>
      <c r="AC294" s="32"/>
      <c r="AD294" s="32"/>
      <c r="AE294" s="38"/>
      <c r="AF294" s="38"/>
      <c r="AG294" s="32"/>
      <c r="AH294" s="32"/>
      <c r="AI294" s="32"/>
    </row>
    <row r="295" ht="16.5" customHeight="1">
      <c r="A295" s="1"/>
      <c r="B295" s="32"/>
      <c r="C295" s="32"/>
      <c r="D295" s="32"/>
      <c r="E295" s="32"/>
      <c r="F295" s="32"/>
      <c r="G295" s="32"/>
      <c r="H295" s="32"/>
      <c r="I295" s="103"/>
      <c r="J295" s="103"/>
      <c r="K295" s="104" t="str">
        <f t="shared" si="4"/>
        <v/>
      </c>
      <c r="L295" s="32"/>
      <c r="M295" s="32"/>
      <c r="N295" s="32"/>
      <c r="O295" s="32"/>
      <c r="P295" s="32"/>
      <c r="Q295" s="32"/>
      <c r="R295" s="32"/>
      <c r="S295" s="32"/>
      <c r="T295" s="24"/>
      <c r="U295" s="32"/>
      <c r="V295" s="24"/>
      <c r="W295" s="103"/>
      <c r="X295" s="103"/>
      <c r="Y295" s="104" t="str">
        <f t="shared" si="5"/>
        <v/>
      </c>
      <c r="Z295" s="32"/>
      <c r="AA295" s="32"/>
      <c r="AB295" s="32"/>
      <c r="AC295" s="32"/>
      <c r="AD295" s="32"/>
      <c r="AE295" s="38"/>
      <c r="AF295" s="38"/>
      <c r="AG295" s="32"/>
      <c r="AH295" s="32"/>
      <c r="AI295" s="32"/>
    </row>
    <row r="296" ht="16.5" customHeight="1">
      <c r="A296" s="1"/>
      <c r="B296" s="32"/>
      <c r="C296" s="32"/>
      <c r="D296" s="32"/>
      <c r="E296" s="32"/>
      <c r="F296" s="32"/>
      <c r="G296" s="32"/>
      <c r="H296" s="32"/>
      <c r="I296" s="103"/>
      <c r="J296" s="103"/>
      <c r="K296" s="104" t="str">
        <f t="shared" si="4"/>
        <v/>
      </c>
      <c r="L296" s="32"/>
      <c r="M296" s="32"/>
      <c r="N296" s="32"/>
      <c r="O296" s="32"/>
      <c r="P296" s="32"/>
      <c r="Q296" s="32"/>
      <c r="R296" s="32"/>
      <c r="S296" s="32"/>
      <c r="T296" s="24"/>
      <c r="U296" s="32"/>
      <c r="V296" s="24"/>
      <c r="W296" s="103"/>
      <c r="X296" s="103"/>
      <c r="Y296" s="104" t="str">
        <f t="shared" si="5"/>
        <v/>
      </c>
      <c r="Z296" s="32"/>
      <c r="AA296" s="32"/>
      <c r="AB296" s="32"/>
      <c r="AC296" s="32"/>
      <c r="AD296" s="32"/>
      <c r="AE296" s="38"/>
      <c r="AF296" s="38"/>
      <c r="AG296" s="32"/>
      <c r="AH296" s="32"/>
      <c r="AI296" s="32"/>
    </row>
    <row r="297" ht="16.5" customHeight="1">
      <c r="A297" s="1"/>
      <c r="B297" s="32"/>
      <c r="C297" s="32"/>
      <c r="D297" s="32"/>
      <c r="E297" s="32"/>
      <c r="F297" s="32"/>
      <c r="G297" s="32"/>
      <c r="H297" s="32"/>
      <c r="I297" s="103"/>
      <c r="J297" s="103"/>
      <c r="K297" s="104" t="str">
        <f t="shared" si="4"/>
        <v/>
      </c>
      <c r="L297" s="32"/>
      <c r="M297" s="32"/>
      <c r="N297" s="32"/>
      <c r="O297" s="32"/>
      <c r="P297" s="32"/>
      <c r="Q297" s="32"/>
      <c r="R297" s="32"/>
      <c r="S297" s="32"/>
      <c r="T297" s="24"/>
      <c r="U297" s="32"/>
      <c r="V297" s="24"/>
      <c r="W297" s="103"/>
      <c r="X297" s="103"/>
      <c r="Y297" s="104" t="str">
        <f t="shared" si="5"/>
        <v/>
      </c>
      <c r="Z297" s="32"/>
      <c r="AA297" s="32"/>
      <c r="AB297" s="32"/>
      <c r="AC297" s="32"/>
      <c r="AD297" s="32"/>
      <c r="AE297" s="38"/>
      <c r="AF297" s="38"/>
      <c r="AG297" s="32"/>
      <c r="AH297" s="32"/>
      <c r="AI297" s="32"/>
    </row>
    <row r="298" ht="16.5" customHeight="1">
      <c r="A298" s="1"/>
      <c r="B298" s="32"/>
      <c r="C298" s="32"/>
      <c r="D298" s="32"/>
      <c r="E298" s="32"/>
      <c r="F298" s="32"/>
      <c r="G298" s="32"/>
      <c r="H298" s="32"/>
      <c r="I298" s="103"/>
      <c r="J298" s="103"/>
      <c r="K298" s="104" t="str">
        <f t="shared" si="4"/>
        <v/>
      </c>
      <c r="L298" s="32"/>
      <c r="M298" s="32"/>
      <c r="N298" s="32"/>
      <c r="O298" s="32"/>
      <c r="P298" s="32"/>
      <c r="Q298" s="32"/>
      <c r="R298" s="32"/>
      <c r="S298" s="32"/>
      <c r="T298" s="24"/>
      <c r="U298" s="32"/>
      <c r="V298" s="24"/>
      <c r="W298" s="103"/>
      <c r="X298" s="103"/>
      <c r="Y298" s="104" t="str">
        <f t="shared" si="5"/>
        <v/>
      </c>
      <c r="Z298" s="32"/>
      <c r="AA298" s="32"/>
      <c r="AB298" s="32"/>
      <c r="AC298" s="32"/>
      <c r="AD298" s="32"/>
      <c r="AE298" s="38"/>
      <c r="AF298" s="38"/>
      <c r="AG298" s="32"/>
      <c r="AH298" s="32"/>
      <c r="AI298" s="32"/>
    </row>
    <row r="299" ht="16.5" customHeight="1">
      <c r="A299" s="1"/>
      <c r="B299" s="32"/>
      <c r="C299" s="32"/>
      <c r="D299" s="32"/>
      <c r="E299" s="32"/>
      <c r="F299" s="32"/>
      <c r="G299" s="32"/>
      <c r="H299" s="32"/>
      <c r="I299" s="103"/>
      <c r="J299" s="103"/>
      <c r="K299" s="104" t="str">
        <f t="shared" si="4"/>
        <v/>
      </c>
      <c r="L299" s="32"/>
      <c r="M299" s="32"/>
      <c r="N299" s="32"/>
      <c r="O299" s="32"/>
      <c r="P299" s="32"/>
      <c r="Q299" s="32"/>
      <c r="R299" s="32"/>
      <c r="S299" s="32"/>
      <c r="T299" s="24"/>
      <c r="U299" s="32"/>
      <c r="V299" s="24"/>
      <c r="W299" s="103"/>
      <c r="X299" s="103"/>
      <c r="Y299" s="104" t="str">
        <f t="shared" si="5"/>
        <v/>
      </c>
      <c r="Z299" s="32"/>
      <c r="AA299" s="32"/>
      <c r="AB299" s="32"/>
      <c r="AC299" s="32"/>
      <c r="AD299" s="32"/>
      <c r="AE299" s="38"/>
      <c r="AF299" s="38"/>
      <c r="AG299" s="32"/>
      <c r="AH299" s="32"/>
      <c r="AI299" s="32"/>
    </row>
    <row r="300" ht="16.5" customHeight="1">
      <c r="A300" s="1"/>
      <c r="B300" s="32"/>
      <c r="C300" s="32"/>
      <c r="D300" s="32"/>
      <c r="E300" s="32"/>
      <c r="F300" s="32"/>
      <c r="G300" s="32"/>
      <c r="H300" s="32"/>
      <c r="I300" s="103"/>
      <c r="J300" s="103"/>
      <c r="K300" s="104" t="str">
        <f t="shared" si="4"/>
        <v/>
      </c>
      <c r="L300" s="32"/>
      <c r="M300" s="32"/>
      <c r="N300" s="32"/>
      <c r="O300" s="32"/>
      <c r="P300" s="32"/>
      <c r="Q300" s="32"/>
      <c r="R300" s="32"/>
      <c r="S300" s="32"/>
      <c r="T300" s="24"/>
      <c r="U300" s="32"/>
      <c r="V300" s="24"/>
      <c r="W300" s="103"/>
      <c r="X300" s="103"/>
      <c r="Y300" s="104" t="str">
        <f t="shared" si="5"/>
        <v/>
      </c>
      <c r="Z300" s="32"/>
      <c r="AA300" s="32"/>
      <c r="AB300" s="32"/>
      <c r="AC300" s="32"/>
      <c r="AD300" s="32"/>
      <c r="AE300" s="38"/>
      <c r="AF300" s="38"/>
      <c r="AG300" s="32"/>
      <c r="AH300" s="32"/>
      <c r="AI300" s="32"/>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AI$300"/>
  <conditionalFormatting sqref="B7:AI300">
    <cfRule type="expression" dxfId="3" priority="1">
      <formula>$U7="Accepted"</formula>
    </cfRule>
  </conditionalFormatting>
  <conditionalFormatting sqref="B7:AI300">
    <cfRule type="expression" dxfId="13" priority="2">
      <formula>$U7="Declined"</formula>
    </cfRule>
  </conditionalFormatting>
  <conditionalFormatting sqref="U7:U300">
    <cfRule type="expression" dxfId="6" priority="3">
      <formula>AND($S7="Yes",OR($U7="Pending",$U7=""))</formula>
    </cfRule>
  </conditionalFormatting>
  <conditionalFormatting sqref="AD7:AD300">
    <cfRule type="expression" dxfId="6" priority="4">
      <formula>AND($U7="Accepted",$AD7="")</formula>
    </cfRule>
  </conditionalFormatting>
  <dataValidations>
    <dataValidation type="list" allowBlank="1" sqref="Z7:Z300">
      <formula1>"Standard,Vegetarian,Vegan,Halal,No Pork,No Beef,Child Meal,Allergy - see notes"</formula1>
    </dataValidation>
    <dataValidation type="list" allowBlank="1" sqref="G7:G300">
      <formula1>"Immediate Family,Relatives,Friends / Work,Neighbours,Family Friends,Colleagues,VIP / Official,Other"</formula1>
    </dataValidation>
    <dataValidation type="list" allowBlank="1" sqref="R7:R300">
      <formula1>"Printed,Digital,Verbal,Phone,Not Invited"</formula1>
    </dataValidation>
    <dataValidation type="list" allowBlank="1" sqref="F7:F300">
      <formula1>"Bride,Groom,Both"</formula1>
    </dataValidation>
    <dataValidation type="list" allowBlank="1" sqref="AC7:AC300">
      <formula1>"Own vehicle,Wedding bus,Van,Car provided,Airport transfer"</formula1>
    </dataValidation>
    <dataValidation type="list" allowBlank="1" sqref="U7:U300">
      <formula1>"Pending,Accepted,Declined,Maybe,No Response"</formula1>
    </dataValidation>
    <dataValidation type="list" allowBlank="1" sqref="H7:H300 S7:S300 AA7:AB300 AH7:AH300">
      <formula1>"Yes,No"</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6D3B"/>
    <pageSetUpPr/>
  </sheetPr>
  <sheetViews>
    <sheetView showGridLines="0" workbookViewId="0"/>
  </sheetViews>
  <sheetFormatPr customHeight="1" defaultColWidth="14.43" defaultRowHeight="15.0"/>
  <cols>
    <col customWidth="1" min="1" max="1" width="2.0"/>
    <col customWidth="1" min="2" max="2" width="36.43"/>
    <col customWidth="1" min="3" max="3" width="16.14"/>
    <col customWidth="1" min="4" max="4" width="3.0"/>
    <col customWidth="1" min="5" max="5" width="36.43"/>
    <col customWidth="1" min="6" max="6" width="16.14"/>
    <col customWidth="1" min="7" max="7" width="3.0"/>
    <col customWidth="1" min="8" max="8" width="10.71"/>
    <col customWidth="1" min="9" max="9" width="19.29"/>
    <col customWidth="1" min="10" max="10" width="10.71"/>
    <col customWidth="1" min="11" max="14" width="12.86"/>
    <col customWidth="1" min="15" max="15" width="25.86"/>
    <col customWidth="1" min="16" max="16" width="32.14"/>
  </cols>
  <sheetData>
    <row r="1" ht="16.5" customHeight="1">
      <c r="A1" s="1"/>
      <c r="B1" s="1"/>
      <c r="C1" s="1"/>
      <c r="D1" s="1"/>
      <c r="E1" s="1"/>
      <c r="F1" s="1"/>
      <c r="G1" s="1"/>
      <c r="H1" s="1"/>
      <c r="I1" s="1"/>
      <c r="J1" s="1"/>
      <c r="K1" s="1"/>
      <c r="L1" s="1"/>
      <c r="M1" s="1"/>
      <c r="N1" s="1"/>
      <c r="O1" s="1"/>
      <c r="P1" s="1"/>
    </row>
    <row r="2" ht="33.75" customHeight="1">
      <c r="A2" s="2"/>
      <c r="B2" s="2" t="s">
        <v>1478</v>
      </c>
      <c r="C2" s="2"/>
      <c r="D2" s="2"/>
      <c r="E2" s="2"/>
      <c r="F2" s="2"/>
      <c r="G2" s="2"/>
      <c r="H2" s="2"/>
      <c r="I2" s="2"/>
      <c r="J2" s="2"/>
      <c r="K2" s="2"/>
      <c r="L2" s="2"/>
      <c r="M2" s="2"/>
      <c r="N2" s="2"/>
      <c r="O2" s="2"/>
      <c r="P2" s="2"/>
    </row>
    <row r="3" ht="15.75" customHeight="1">
      <c r="A3" s="3"/>
      <c r="B3" s="3" t="s">
        <v>1481</v>
      </c>
      <c r="C3" s="3"/>
      <c r="D3" s="3"/>
      <c r="E3" s="3"/>
      <c r="F3" s="3"/>
      <c r="G3" s="3"/>
      <c r="H3" s="3"/>
      <c r="I3" s="3"/>
      <c r="J3" s="3"/>
      <c r="K3" s="3"/>
      <c r="L3" s="3"/>
      <c r="M3" s="3"/>
      <c r="N3" s="3"/>
      <c r="O3" s="3"/>
      <c r="P3" s="3"/>
    </row>
    <row r="4" ht="16.5" customHeight="1">
      <c r="A4" s="1"/>
      <c r="B4" s="1"/>
      <c r="C4" s="1"/>
      <c r="D4" s="1"/>
      <c r="E4" s="1"/>
      <c r="F4" s="1"/>
      <c r="G4" s="1"/>
      <c r="H4" s="1"/>
      <c r="I4" s="1"/>
      <c r="J4" s="1"/>
      <c r="K4" s="1"/>
      <c r="L4" s="1"/>
      <c r="M4" s="1"/>
      <c r="N4" s="1"/>
      <c r="O4" s="1"/>
      <c r="P4" s="1"/>
    </row>
    <row r="5" ht="21.75" customHeight="1">
      <c r="A5" s="5"/>
      <c r="B5" s="8" t="s">
        <v>1486</v>
      </c>
      <c r="C5" s="8"/>
      <c r="D5" s="8"/>
      <c r="E5" s="8"/>
      <c r="F5" s="8"/>
      <c r="G5" s="5"/>
      <c r="H5" s="5"/>
      <c r="I5" s="5"/>
      <c r="J5" s="5"/>
      <c r="K5" s="5"/>
      <c r="L5" s="5"/>
      <c r="M5" s="5"/>
      <c r="N5" s="5"/>
      <c r="O5" s="5"/>
      <c r="P5" s="5"/>
    </row>
    <row r="6" ht="16.5" customHeight="1">
      <c r="A6" s="1"/>
      <c r="B6" s="10" t="s">
        <v>1487</v>
      </c>
      <c r="C6" s="102">
        <f>COUNTA('09 Guests'!$D$7:$D$300)</f>
        <v>80</v>
      </c>
      <c r="D6" s="1"/>
      <c r="E6" s="10" t="s">
        <v>1490</v>
      </c>
      <c r="F6" s="102">
        <f>SUM('09 Guests'!$K$7:$K$300)</f>
        <v>156</v>
      </c>
      <c r="G6" s="1"/>
      <c r="H6" s="1"/>
      <c r="I6" s="1"/>
      <c r="J6" s="1"/>
      <c r="K6" s="1"/>
      <c r="L6" s="1"/>
      <c r="M6" s="1"/>
      <c r="N6" s="1"/>
      <c r="O6" s="1"/>
      <c r="P6" s="1"/>
    </row>
    <row r="7" ht="16.5" customHeight="1">
      <c r="A7" s="1"/>
      <c r="B7" s="10" t="s">
        <v>1495</v>
      </c>
      <c r="C7" s="39">
        <f>COUNTIF('09 Guests'!$U$7:$U$300,"Accepted")</f>
        <v>0</v>
      </c>
      <c r="D7" s="1"/>
      <c r="E7" s="10" t="s">
        <v>1496</v>
      </c>
      <c r="F7" s="39">
        <f>SUM('09 Guests'!$Y$7:$Y$300)</f>
        <v>0</v>
      </c>
      <c r="G7" s="1"/>
      <c r="H7" s="1"/>
      <c r="I7" s="1"/>
      <c r="J7" s="1"/>
      <c r="K7" s="1"/>
      <c r="L7" s="1"/>
      <c r="M7" s="1"/>
      <c r="N7" s="1"/>
      <c r="O7" s="1"/>
      <c r="P7" s="1"/>
    </row>
    <row r="8" ht="16.5" customHeight="1">
      <c r="A8" s="1"/>
      <c r="B8" s="10" t="s">
        <v>1498</v>
      </c>
      <c r="C8" s="39">
        <f>COUNTIF('09 Guests'!$U$7:$U$300,"Declined")</f>
        <v>0</v>
      </c>
      <c r="D8" s="1"/>
      <c r="E8" s="10" t="s">
        <v>1398</v>
      </c>
      <c r="F8" s="39">
        <f>SUM('09 Guests'!$W$7:$W$300)</f>
        <v>0</v>
      </c>
      <c r="G8" s="1"/>
      <c r="H8" s="1"/>
      <c r="I8" s="1"/>
      <c r="J8" s="1"/>
      <c r="K8" s="1"/>
      <c r="L8" s="1"/>
      <c r="M8" s="1"/>
      <c r="N8" s="1"/>
      <c r="O8" s="1"/>
      <c r="P8" s="1"/>
    </row>
    <row r="9" ht="16.5" customHeight="1">
      <c r="A9" s="1"/>
      <c r="B9" s="10" t="s">
        <v>1503</v>
      </c>
      <c r="C9" s="39">
        <f>COUNTIF('09 Guests'!$U$7:$U$300,"Pending")+COUNTIF('09 Guests'!$U$7:$U$300,"No Response")+COUNTIF('09 Guests'!$U$7:$U$300,"Maybe")</f>
        <v>80</v>
      </c>
      <c r="D9" s="1"/>
      <c r="E9" s="10" t="s">
        <v>1399</v>
      </c>
      <c r="F9" s="39">
        <f>SUM('09 Guests'!$X$7:$X$300)</f>
        <v>0</v>
      </c>
      <c r="G9" s="1"/>
      <c r="H9" s="1"/>
      <c r="I9" s="1"/>
      <c r="J9" s="1"/>
      <c r="K9" s="1"/>
      <c r="L9" s="1"/>
      <c r="M9" s="1"/>
      <c r="N9" s="1"/>
      <c r="O9" s="1"/>
      <c r="P9" s="1"/>
    </row>
    <row r="10" ht="16.5" customHeight="1">
      <c r="A10" s="1"/>
      <c r="B10" s="10" t="s">
        <v>1506</v>
      </c>
      <c r="C10" s="105">
        <f>IFERROR((COUNTIF('09 Guests'!$U$7:$U$300,"Accepted")+COUNTIF('09 Guests'!$U$7:$U$300,"Declined"))/COUNTA('09 Guests'!$D$7:$D$300),0)</f>
        <v>0</v>
      </c>
      <c r="D10" s="1"/>
      <c r="E10" s="10" t="s">
        <v>1511</v>
      </c>
      <c r="F10" s="105">
        <f>IFERROR(COUNTIF('09 Guests'!$U$7:$U$300,"Accepted")/(COUNTIF('09 Guests'!$U$7:$U$300,"Accepted")+COUNTIF('09 Guests'!$U$7:$U$300,"Declined")),0)</f>
        <v>0</v>
      </c>
      <c r="G10" s="1"/>
      <c r="H10" s="1"/>
      <c r="I10" s="1"/>
      <c r="J10" s="1"/>
      <c r="K10" s="1"/>
      <c r="L10" s="1"/>
      <c r="M10" s="1"/>
      <c r="N10" s="1"/>
      <c r="O10" s="1"/>
      <c r="P10" s="1"/>
    </row>
    <row r="11" ht="16.5" customHeight="1">
      <c r="A11" s="1"/>
      <c r="B11" s="10" t="s">
        <v>1517</v>
      </c>
      <c r="C11" s="39">
        <f>SUMIFS('09 Guests'!$Y$7:$Y$300,'09 Guests'!$F$7:$F$300,"Bride")</f>
        <v>0</v>
      </c>
      <c r="D11" s="1"/>
      <c r="E11" s="10" t="s">
        <v>1519</v>
      </c>
      <c r="F11" s="39">
        <f>SUMIFS('09 Guests'!$Y$7:$Y$300,'09 Guests'!$F$7:$F$300,"Groom")</f>
        <v>0</v>
      </c>
      <c r="G11" s="1"/>
      <c r="H11" s="1"/>
      <c r="I11" s="1"/>
      <c r="J11" s="1"/>
      <c r="K11" s="1"/>
      <c r="L11" s="1"/>
      <c r="M11" s="1"/>
      <c r="N11" s="1"/>
      <c r="O11" s="1"/>
      <c r="P11" s="1"/>
    </row>
    <row r="12" ht="16.5" customHeight="1">
      <c r="A12" s="1"/>
      <c r="B12" s="10" t="s">
        <v>1524</v>
      </c>
      <c r="C12" s="39">
        <f>SUMIFS('09 Guests'!$Y$7:$Y$300,'09 Guests'!$H$7:$H$300,"Yes")</f>
        <v>0</v>
      </c>
      <c r="D12" s="1"/>
      <c r="E12" s="10" t="s">
        <v>1525</v>
      </c>
      <c r="F12" s="39">
        <f>SUMIFS('09 Guests'!$Y$7:$Y$300,'09 Guests'!$AA$7:$AA$300,"Yes")</f>
        <v>0</v>
      </c>
      <c r="G12" s="1"/>
      <c r="H12" s="1"/>
      <c r="I12" s="1"/>
      <c r="J12" s="1"/>
      <c r="K12" s="1"/>
      <c r="L12" s="1"/>
      <c r="M12" s="1"/>
      <c r="N12" s="1"/>
      <c r="O12" s="1"/>
      <c r="P12" s="1"/>
    </row>
    <row r="13" ht="16.5" customHeight="1">
      <c r="A13" s="1"/>
      <c r="B13" s="10" t="s">
        <v>1530</v>
      </c>
      <c r="C13" s="39">
        <f>SUMIFS('09 Guests'!$Y$7:$Y$300,'09 Guests'!$AB$7:$AB$300,"Yes")</f>
        <v>0</v>
      </c>
      <c r="D13" s="1"/>
      <c r="E13" s="10" t="s">
        <v>1531</v>
      </c>
      <c r="F13" s="39">
        <f>SUMIFS('09 Guests'!$Y$7:$Y$300,'09 Guests'!$Z$7:$Z$300,"Vegetarian")</f>
        <v>0</v>
      </c>
      <c r="G13" s="1"/>
      <c r="H13" s="1"/>
      <c r="I13" s="1"/>
      <c r="J13" s="1"/>
      <c r="K13" s="1"/>
      <c r="L13" s="1"/>
      <c r="M13" s="1"/>
      <c r="N13" s="1"/>
      <c r="O13" s="1"/>
      <c r="P13" s="1"/>
    </row>
    <row r="14" ht="16.5" customHeight="1">
      <c r="A14" s="1"/>
      <c r="B14" s="10" t="s">
        <v>1534</v>
      </c>
      <c r="C14" s="39">
        <f>SUMIFS('09 Guests'!$Y$7:$Y$300,'09 Guests'!$Z$7:$Z$300,"Allergy - see notes")</f>
        <v>0</v>
      </c>
      <c r="D14" s="1"/>
      <c r="E14" s="10" t="s">
        <v>1535</v>
      </c>
      <c r="F14" s="39">
        <f>SUM('09 Guests'!$X$7:$X$300)</f>
        <v>0</v>
      </c>
      <c r="G14" s="1"/>
      <c r="H14" s="1"/>
      <c r="I14" s="1"/>
      <c r="J14" s="1"/>
      <c r="K14" s="1"/>
      <c r="L14" s="1"/>
      <c r="M14" s="1"/>
      <c r="N14" s="1"/>
      <c r="O14" s="1"/>
      <c r="P14" s="1"/>
    </row>
    <row r="15" ht="16.5" customHeight="1">
      <c r="A15" s="1"/>
      <c r="B15" s="10" t="s">
        <v>1539</v>
      </c>
      <c r="C15" s="39">
        <f>SUMIFS('09 Guests'!$Y$7:$Y$300,'09 Guests'!$U$7:$U$300,"Accepted",'09 Guests'!$AD$7:$AD$300,"")</f>
        <v>0</v>
      </c>
      <c r="D15" s="1"/>
      <c r="E15" s="10" t="s">
        <v>1542</v>
      </c>
      <c r="F15" s="39">
        <f>COUNTIFS('09 Guests'!$S$7:$S$300,"Yes",'09 Guests'!$U$7:$U$300,"Pending")</f>
        <v>0</v>
      </c>
      <c r="G15" s="1"/>
      <c r="H15" s="1"/>
      <c r="I15" s="1"/>
      <c r="J15" s="1"/>
      <c r="K15" s="1"/>
      <c r="L15" s="1"/>
      <c r="M15" s="1"/>
      <c r="N15" s="1"/>
      <c r="O15" s="1"/>
      <c r="P15" s="1"/>
    </row>
    <row r="16" ht="16.5" customHeight="1">
      <c r="A16" s="1"/>
      <c r="B16" s="1"/>
      <c r="C16" s="1"/>
      <c r="D16" s="1"/>
      <c r="E16" s="1"/>
      <c r="F16" s="1"/>
      <c r="G16" s="1"/>
      <c r="H16" s="1"/>
      <c r="I16" s="1"/>
      <c r="J16" s="1"/>
      <c r="K16" s="1"/>
      <c r="L16" s="1"/>
      <c r="M16" s="1"/>
      <c r="N16" s="1"/>
      <c r="O16" s="1"/>
      <c r="P16" s="1"/>
    </row>
    <row r="17" ht="16.5" customHeight="1">
      <c r="A17" s="1"/>
      <c r="B17" s="1"/>
      <c r="C17" s="1"/>
      <c r="D17" s="1"/>
      <c r="E17" s="1"/>
      <c r="F17" s="1"/>
      <c r="G17" s="1"/>
      <c r="H17" s="1"/>
      <c r="I17" s="1"/>
      <c r="J17" s="1"/>
      <c r="K17" s="1"/>
      <c r="L17" s="1"/>
      <c r="M17" s="1"/>
      <c r="N17" s="1"/>
      <c r="O17" s="1"/>
      <c r="P17" s="1"/>
    </row>
    <row r="18" ht="21.75" customHeight="1">
      <c r="A18" s="5"/>
      <c r="B18" s="5"/>
      <c r="C18" s="5"/>
      <c r="D18" s="5"/>
      <c r="E18" s="5"/>
      <c r="F18" s="5"/>
      <c r="G18" s="5"/>
      <c r="H18" s="8" t="s">
        <v>1551</v>
      </c>
      <c r="I18" s="8"/>
      <c r="J18" s="8"/>
      <c r="K18" s="8" t="str">
        <f>"Seats laid: "&amp;SUM(J20:J49)</f>
        <v>Seats laid: 298</v>
      </c>
      <c r="L18" s="8"/>
      <c r="M18" s="8" t="str">
        <f>"Seated: "&amp;SUM(K20:K49)</f>
        <v>Seated: 0</v>
      </c>
      <c r="N18" s="8"/>
      <c r="O18" s="8"/>
      <c r="P18" s="8"/>
    </row>
    <row r="19" ht="30.0" customHeight="1">
      <c r="A19" s="16"/>
      <c r="B19" s="16"/>
      <c r="C19" s="16"/>
      <c r="D19" s="16"/>
      <c r="E19" s="16"/>
      <c r="F19" s="16"/>
      <c r="G19" s="16"/>
      <c r="H19" s="17" t="s">
        <v>1407</v>
      </c>
      <c r="I19" s="17" t="s">
        <v>1558</v>
      </c>
      <c r="J19" s="17" t="s">
        <v>1559</v>
      </c>
      <c r="K19" s="17" t="s">
        <v>1560</v>
      </c>
      <c r="L19" s="17" t="s">
        <v>1561</v>
      </c>
      <c r="M19" s="17" t="s">
        <v>1562</v>
      </c>
      <c r="N19" s="17" t="s">
        <v>1563</v>
      </c>
      <c r="O19" s="17" t="s">
        <v>1564</v>
      </c>
      <c r="P19" s="17" t="s">
        <v>50</v>
      </c>
    </row>
    <row r="20" ht="16.5" customHeight="1">
      <c r="A20" s="1"/>
      <c r="B20" s="1"/>
      <c r="C20" s="1"/>
      <c r="D20" s="1"/>
      <c r="E20" s="1"/>
      <c r="F20" s="1"/>
      <c r="G20" s="1"/>
      <c r="H20" s="32" t="s">
        <v>1565</v>
      </c>
      <c r="I20" s="32" t="s">
        <v>1567</v>
      </c>
      <c r="J20" s="106">
        <v>8.0</v>
      </c>
      <c r="K20" s="104">
        <f>IF($H20="","",SUMIFS('09 Guests'!$Y$7:$Y$300,'09 Guests'!$AD$7:$AD$300,$H20))</f>
        <v>0</v>
      </c>
      <c r="L20" s="104">
        <f t="shared" ref="L20:L49" si="1">IF($H20="","",$J20-$K20)</f>
        <v>8</v>
      </c>
      <c r="M20" s="104">
        <f>IF($H20="","",SUMIFS('09 Guests'!$Y$7:$Y$300,'09 Guests'!$AD$7:$AD$300,$H20,'09 Guests'!$F$7:$F$300,"Bride"))</f>
        <v>0</v>
      </c>
      <c r="N20" s="104">
        <f>IF($H20="","",SUMIFS('09 Guests'!$Y$7:$Y$300,'09 Guests'!$AD$7:$AD$300,$H20,'09 Guests'!$F$7:$F$300,"Groom"))</f>
        <v>0</v>
      </c>
      <c r="O20" s="32" t="str">
        <f t="shared" ref="O20:O49" si="2">IF($H20="","",IF($K20&gt;$J20,"OVER CAPACITY",IF($K20=0,"Empty","OK")))</f>
        <v>Empty</v>
      </c>
      <c r="P20" s="32"/>
    </row>
    <row r="21" ht="16.5" customHeight="1">
      <c r="A21" s="1"/>
      <c r="B21" s="1"/>
      <c r="C21" s="1"/>
      <c r="D21" s="1"/>
      <c r="E21" s="1"/>
      <c r="F21" s="1"/>
      <c r="G21" s="1"/>
      <c r="H21" s="32" t="s">
        <v>1578</v>
      </c>
      <c r="I21" s="32" t="s">
        <v>1567</v>
      </c>
      <c r="J21" s="106">
        <v>10.0</v>
      </c>
      <c r="K21" s="104">
        <f>IF($H21="","",SUMIFS('09 Guests'!$Y$7:$Y$300,'09 Guests'!$AD$7:$AD$300,$H21))</f>
        <v>0</v>
      </c>
      <c r="L21" s="104">
        <f t="shared" si="1"/>
        <v>10</v>
      </c>
      <c r="M21" s="104">
        <f>IF($H21="","",SUMIFS('09 Guests'!$Y$7:$Y$300,'09 Guests'!$AD$7:$AD$300,$H21,'09 Guests'!$F$7:$F$300,"Bride"))</f>
        <v>0</v>
      </c>
      <c r="N21" s="104">
        <f>IF($H21="","",SUMIFS('09 Guests'!$Y$7:$Y$300,'09 Guests'!$AD$7:$AD$300,$H21,'09 Guests'!$F$7:$F$300,"Groom"))</f>
        <v>0</v>
      </c>
      <c r="O21" s="32" t="str">
        <f t="shared" si="2"/>
        <v>Empty</v>
      </c>
      <c r="P21" s="32"/>
    </row>
    <row r="22" ht="16.5" customHeight="1">
      <c r="A22" s="1"/>
      <c r="B22" s="1"/>
      <c r="C22" s="1"/>
      <c r="D22" s="1"/>
      <c r="E22" s="1"/>
      <c r="F22" s="1"/>
      <c r="G22" s="1"/>
      <c r="H22" s="32" t="s">
        <v>1584</v>
      </c>
      <c r="I22" s="32" t="s">
        <v>1567</v>
      </c>
      <c r="J22" s="106">
        <v>10.0</v>
      </c>
      <c r="K22" s="104">
        <f>IF($H22="","",SUMIFS('09 Guests'!$Y$7:$Y$300,'09 Guests'!$AD$7:$AD$300,$H22))</f>
        <v>0</v>
      </c>
      <c r="L22" s="104">
        <f t="shared" si="1"/>
        <v>10</v>
      </c>
      <c r="M22" s="104">
        <f>IF($H22="","",SUMIFS('09 Guests'!$Y$7:$Y$300,'09 Guests'!$AD$7:$AD$300,$H22,'09 Guests'!$F$7:$F$300,"Bride"))</f>
        <v>0</v>
      </c>
      <c r="N22" s="104">
        <f>IF($H22="","",SUMIFS('09 Guests'!$Y$7:$Y$300,'09 Guests'!$AD$7:$AD$300,$H22,'09 Guests'!$F$7:$F$300,"Groom"))</f>
        <v>0</v>
      </c>
      <c r="O22" s="32" t="str">
        <f t="shared" si="2"/>
        <v>Empty</v>
      </c>
      <c r="P22" s="32"/>
    </row>
    <row r="23" ht="16.5" customHeight="1">
      <c r="A23" s="1"/>
      <c r="B23" s="1"/>
      <c r="C23" s="1"/>
      <c r="D23" s="1"/>
      <c r="E23" s="1"/>
      <c r="F23" s="1"/>
      <c r="G23" s="1"/>
      <c r="H23" s="32" t="s">
        <v>1593</v>
      </c>
      <c r="I23" s="32" t="s">
        <v>1567</v>
      </c>
      <c r="J23" s="106">
        <v>10.0</v>
      </c>
      <c r="K23" s="104">
        <f>IF($H23="","",SUMIFS('09 Guests'!$Y$7:$Y$300,'09 Guests'!$AD$7:$AD$300,$H23))</f>
        <v>0</v>
      </c>
      <c r="L23" s="104">
        <f t="shared" si="1"/>
        <v>10</v>
      </c>
      <c r="M23" s="104">
        <f>IF($H23="","",SUMIFS('09 Guests'!$Y$7:$Y$300,'09 Guests'!$AD$7:$AD$300,$H23,'09 Guests'!$F$7:$F$300,"Bride"))</f>
        <v>0</v>
      </c>
      <c r="N23" s="104">
        <f>IF($H23="","",SUMIFS('09 Guests'!$Y$7:$Y$300,'09 Guests'!$AD$7:$AD$300,$H23,'09 Guests'!$F$7:$F$300,"Groom"))</f>
        <v>0</v>
      </c>
      <c r="O23" s="32" t="str">
        <f t="shared" si="2"/>
        <v>Empty</v>
      </c>
      <c r="P23" s="32"/>
    </row>
    <row r="24" ht="16.5" customHeight="1">
      <c r="A24" s="1"/>
      <c r="B24" s="1"/>
      <c r="C24" s="1"/>
      <c r="D24" s="1"/>
      <c r="E24" s="1"/>
      <c r="F24" s="1"/>
      <c r="G24" s="1"/>
      <c r="H24" s="32" t="s">
        <v>1600</v>
      </c>
      <c r="I24" s="32" t="s">
        <v>1567</v>
      </c>
      <c r="J24" s="106">
        <v>10.0</v>
      </c>
      <c r="K24" s="104">
        <f>IF($H24="","",SUMIFS('09 Guests'!$Y$7:$Y$300,'09 Guests'!$AD$7:$AD$300,$H24))</f>
        <v>0</v>
      </c>
      <c r="L24" s="104">
        <f t="shared" si="1"/>
        <v>10</v>
      </c>
      <c r="M24" s="104">
        <f>IF($H24="","",SUMIFS('09 Guests'!$Y$7:$Y$300,'09 Guests'!$AD$7:$AD$300,$H24,'09 Guests'!$F$7:$F$300,"Bride"))</f>
        <v>0</v>
      </c>
      <c r="N24" s="104">
        <f>IF($H24="","",SUMIFS('09 Guests'!$Y$7:$Y$300,'09 Guests'!$AD$7:$AD$300,$H24,'09 Guests'!$F$7:$F$300,"Groom"))</f>
        <v>0</v>
      </c>
      <c r="O24" s="32" t="str">
        <f t="shared" si="2"/>
        <v>Empty</v>
      </c>
      <c r="P24" s="32"/>
    </row>
    <row r="25" ht="16.5" customHeight="1">
      <c r="A25" s="1"/>
      <c r="B25" s="1"/>
      <c r="C25" s="1"/>
      <c r="D25" s="1"/>
      <c r="E25" s="1"/>
      <c r="F25" s="1"/>
      <c r="G25" s="1"/>
      <c r="H25" s="32" t="s">
        <v>1609</v>
      </c>
      <c r="I25" s="32" t="s">
        <v>1567</v>
      </c>
      <c r="J25" s="106">
        <v>10.0</v>
      </c>
      <c r="K25" s="104">
        <f>IF($H25="","",SUMIFS('09 Guests'!$Y$7:$Y$300,'09 Guests'!$AD$7:$AD$300,$H25))</f>
        <v>0</v>
      </c>
      <c r="L25" s="104">
        <f t="shared" si="1"/>
        <v>10</v>
      </c>
      <c r="M25" s="104">
        <f>IF($H25="","",SUMIFS('09 Guests'!$Y$7:$Y$300,'09 Guests'!$AD$7:$AD$300,$H25,'09 Guests'!$F$7:$F$300,"Bride"))</f>
        <v>0</v>
      </c>
      <c r="N25" s="104">
        <f>IF($H25="","",SUMIFS('09 Guests'!$Y$7:$Y$300,'09 Guests'!$AD$7:$AD$300,$H25,'09 Guests'!$F$7:$F$300,"Groom"))</f>
        <v>0</v>
      </c>
      <c r="O25" s="32" t="str">
        <f t="shared" si="2"/>
        <v>Empty</v>
      </c>
      <c r="P25" s="32"/>
    </row>
    <row r="26" ht="16.5" customHeight="1">
      <c r="A26" s="1"/>
      <c r="B26" s="1"/>
      <c r="C26" s="1"/>
      <c r="D26" s="1"/>
      <c r="E26" s="1"/>
      <c r="F26" s="1"/>
      <c r="G26" s="1"/>
      <c r="H26" s="32" t="s">
        <v>1618</v>
      </c>
      <c r="I26" s="32" t="s">
        <v>1567</v>
      </c>
      <c r="J26" s="106">
        <v>10.0</v>
      </c>
      <c r="K26" s="104">
        <f>IF($H26="","",SUMIFS('09 Guests'!$Y$7:$Y$300,'09 Guests'!$AD$7:$AD$300,$H26))</f>
        <v>0</v>
      </c>
      <c r="L26" s="104">
        <f t="shared" si="1"/>
        <v>10</v>
      </c>
      <c r="M26" s="104">
        <f>IF($H26="","",SUMIFS('09 Guests'!$Y$7:$Y$300,'09 Guests'!$AD$7:$AD$300,$H26,'09 Guests'!$F$7:$F$300,"Bride"))</f>
        <v>0</v>
      </c>
      <c r="N26" s="104">
        <f>IF($H26="","",SUMIFS('09 Guests'!$Y$7:$Y$300,'09 Guests'!$AD$7:$AD$300,$H26,'09 Guests'!$F$7:$F$300,"Groom"))</f>
        <v>0</v>
      </c>
      <c r="O26" s="32" t="str">
        <f t="shared" si="2"/>
        <v>Empty</v>
      </c>
      <c r="P26" s="32"/>
    </row>
    <row r="27" ht="16.5" customHeight="1">
      <c r="A27" s="1"/>
      <c r="B27" s="1"/>
      <c r="C27" s="1"/>
      <c r="D27" s="1"/>
      <c r="E27" s="1"/>
      <c r="F27" s="1"/>
      <c r="G27" s="1"/>
      <c r="H27" s="32" t="s">
        <v>1627</v>
      </c>
      <c r="I27" s="32" t="s">
        <v>1567</v>
      </c>
      <c r="J27" s="106">
        <v>10.0</v>
      </c>
      <c r="K27" s="104">
        <f>IF($H27="","",SUMIFS('09 Guests'!$Y$7:$Y$300,'09 Guests'!$AD$7:$AD$300,$H27))</f>
        <v>0</v>
      </c>
      <c r="L27" s="104">
        <f t="shared" si="1"/>
        <v>10</v>
      </c>
      <c r="M27" s="104">
        <f>IF($H27="","",SUMIFS('09 Guests'!$Y$7:$Y$300,'09 Guests'!$AD$7:$AD$300,$H27,'09 Guests'!$F$7:$F$300,"Bride"))</f>
        <v>0</v>
      </c>
      <c r="N27" s="104">
        <f>IF($H27="","",SUMIFS('09 Guests'!$Y$7:$Y$300,'09 Guests'!$AD$7:$AD$300,$H27,'09 Guests'!$F$7:$F$300,"Groom"))</f>
        <v>0</v>
      </c>
      <c r="O27" s="32" t="str">
        <f t="shared" si="2"/>
        <v>Empty</v>
      </c>
      <c r="P27" s="32"/>
    </row>
    <row r="28" ht="16.5" customHeight="1">
      <c r="A28" s="1"/>
      <c r="B28" s="1"/>
      <c r="C28" s="1"/>
      <c r="D28" s="1"/>
      <c r="E28" s="1"/>
      <c r="F28" s="1"/>
      <c r="G28" s="1"/>
      <c r="H28" s="32" t="s">
        <v>1634</v>
      </c>
      <c r="I28" s="32" t="s">
        <v>1567</v>
      </c>
      <c r="J28" s="106">
        <v>10.0</v>
      </c>
      <c r="K28" s="104">
        <f>IF($H28="","",SUMIFS('09 Guests'!$Y$7:$Y$300,'09 Guests'!$AD$7:$AD$300,$H28))</f>
        <v>0</v>
      </c>
      <c r="L28" s="104">
        <f t="shared" si="1"/>
        <v>10</v>
      </c>
      <c r="M28" s="104">
        <f>IF($H28="","",SUMIFS('09 Guests'!$Y$7:$Y$300,'09 Guests'!$AD$7:$AD$300,$H28,'09 Guests'!$F$7:$F$300,"Bride"))</f>
        <v>0</v>
      </c>
      <c r="N28" s="104">
        <f>IF($H28="","",SUMIFS('09 Guests'!$Y$7:$Y$300,'09 Guests'!$AD$7:$AD$300,$H28,'09 Guests'!$F$7:$F$300,"Groom"))</f>
        <v>0</v>
      </c>
      <c r="O28" s="32" t="str">
        <f t="shared" si="2"/>
        <v>Empty</v>
      </c>
      <c r="P28" s="32"/>
    </row>
    <row r="29" ht="16.5" customHeight="1">
      <c r="A29" s="1"/>
      <c r="B29" s="1"/>
      <c r="C29" s="1"/>
      <c r="D29" s="1"/>
      <c r="E29" s="1"/>
      <c r="F29" s="1"/>
      <c r="G29" s="1"/>
      <c r="H29" s="32" t="s">
        <v>1637</v>
      </c>
      <c r="I29" s="32" t="s">
        <v>1567</v>
      </c>
      <c r="J29" s="106">
        <v>10.0</v>
      </c>
      <c r="K29" s="104">
        <f>IF($H29="","",SUMIFS('09 Guests'!$Y$7:$Y$300,'09 Guests'!$AD$7:$AD$300,$H29))</f>
        <v>0</v>
      </c>
      <c r="L29" s="104">
        <f t="shared" si="1"/>
        <v>10</v>
      </c>
      <c r="M29" s="104">
        <f>IF($H29="","",SUMIFS('09 Guests'!$Y$7:$Y$300,'09 Guests'!$AD$7:$AD$300,$H29,'09 Guests'!$F$7:$F$300,"Bride"))</f>
        <v>0</v>
      </c>
      <c r="N29" s="104">
        <f>IF($H29="","",SUMIFS('09 Guests'!$Y$7:$Y$300,'09 Guests'!$AD$7:$AD$300,$H29,'09 Guests'!$F$7:$F$300,"Groom"))</f>
        <v>0</v>
      </c>
      <c r="O29" s="32" t="str">
        <f t="shared" si="2"/>
        <v>Empty</v>
      </c>
      <c r="P29" s="32"/>
    </row>
    <row r="30" ht="16.5" customHeight="1">
      <c r="A30" s="1"/>
      <c r="B30" s="1"/>
      <c r="C30" s="1"/>
      <c r="D30" s="1"/>
      <c r="E30" s="1"/>
      <c r="F30" s="1"/>
      <c r="G30" s="1"/>
      <c r="H30" s="32" t="s">
        <v>1644</v>
      </c>
      <c r="I30" s="32" t="s">
        <v>1567</v>
      </c>
      <c r="J30" s="106">
        <v>10.0</v>
      </c>
      <c r="K30" s="104">
        <f>IF($H30="","",SUMIFS('09 Guests'!$Y$7:$Y$300,'09 Guests'!$AD$7:$AD$300,$H30))</f>
        <v>0</v>
      </c>
      <c r="L30" s="104">
        <f t="shared" si="1"/>
        <v>10</v>
      </c>
      <c r="M30" s="104">
        <f>IF($H30="","",SUMIFS('09 Guests'!$Y$7:$Y$300,'09 Guests'!$AD$7:$AD$300,$H30,'09 Guests'!$F$7:$F$300,"Bride"))</f>
        <v>0</v>
      </c>
      <c r="N30" s="104">
        <f>IF($H30="","",SUMIFS('09 Guests'!$Y$7:$Y$300,'09 Guests'!$AD$7:$AD$300,$H30,'09 Guests'!$F$7:$F$300,"Groom"))</f>
        <v>0</v>
      </c>
      <c r="O30" s="32" t="str">
        <f t="shared" si="2"/>
        <v>Empty</v>
      </c>
      <c r="P30" s="32"/>
    </row>
    <row r="31" ht="16.5" customHeight="1">
      <c r="A31" s="1"/>
      <c r="B31" s="1"/>
      <c r="C31" s="1"/>
      <c r="D31" s="1"/>
      <c r="E31" s="1"/>
      <c r="F31" s="1"/>
      <c r="G31" s="1"/>
      <c r="H31" s="32" t="s">
        <v>1649</v>
      </c>
      <c r="I31" s="32" t="s">
        <v>1567</v>
      </c>
      <c r="J31" s="106">
        <v>10.0</v>
      </c>
      <c r="K31" s="104">
        <f>IF($H31="","",SUMIFS('09 Guests'!$Y$7:$Y$300,'09 Guests'!$AD$7:$AD$300,$H31))</f>
        <v>0</v>
      </c>
      <c r="L31" s="104">
        <f t="shared" si="1"/>
        <v>10</v>
      </c>
      <c r="M31" s="104">
        <f>IF($H31="","",SUMIFS('09 Guests'!$Y$7:$Y$300,'09 Guests'!$AD$7:$AD$300,$H31,'09 Guests'!$F$7:$F$300,"Bride"))</f>
        <v>0</v>
      </c>
      <c r="N31" s="104">
        <f>IF($H31="","",SUMIFS('09 Guests'!$Y$7:$Y$300,'09 Guests'!$AD$7:$AD$300,$H31,'09 Guests'!$F$7:$F$300,"Groom"))</f>
        <v>0</v>
      </c>
      <c r="O31" s="32" t="str">
        <f t="shared" si="2"/>
        <v>Empty</v>
      </c>
      <c r="P31" s="32"/>
    </row>
    <row r="32" ht="16.5" customHeight="1">
      <c r="A32" s="1"/>
      <c r="B32" s="1"/>
      <c r="C32" s="1"/>
      <c r="D32" s="1"/>
      <c r="E32" s="1"/>
      <c r="F32" s="1"/>
      <c r="G32" s="1"/>
      <c r="H32" s="32" t="s">
        <v>1652</v>
      </c>
      <c r="I32" s="32" t="s">
        <v>1567</v>
      </c>
      <c r="J32" s="106">
        <v>10.0</v>
      </c>
      <c r="K32" s="104">
        <f>IF($H32="","",SUMIFS('09 Guests'!$Y$7:$Y$300,'09 Guests'!$AD$7:$AD$300,$H32))</f>
        <v>0</v>
      </c>
      <c r="L32" s="104">
        <f t="shared" si="1"/>
        <v>10</v>
      </c>
      <c r="M32" s="104">
        <f>IF($H32="","",SUMIFS('09 Guests'!$Y$7:$Y$300,'09 Guests'!$AD$7:$AD$300,$H32,'09 Guests'!$F$7:$F$300,"Bride"))</f>
        <v>0</v>
      </c>
      <c r="N32" s="104">
        <f>IF($H32="","",SUMIFS('09 Guests'!$Y$7:$Y$300,'09 Guests'!$AD$7:$AD$300,$H32,'09 Guests'!$F$7:$F$300,"Groom"))</f>
        <v>0</v>
      </c>
      <c r="O32" s="32" t="str">
        <f t="shared" si="2"/>
        <v>Empty</v>
      </c>
      <c r="P32" s="32"/>
    </row>
    <row r="33" ht="16.5" customHeight="1">
      <c r="A33" s="1"/>
      <c r="B33" s="1"/>
      <c r="C33" s="1"/>
      <c r="D33" s="1"/>
      <c r="E33" s="1"/>
      <c r="F33" s="1"/>
      <c r="G33" s="1"/>
      <c r="H33" s="32" t="s">
        <v>1657</v>
      </c>
      <c r="I33" s="32" t="s">
        <v>1567</v>
      </c>
      <c r="J33" s="106">
        <v>10.0</v>
      </c>
      <c r="K33" s="104">
        <f>IF($H33="","",SUMIFS('09 Guests'!$Y$7:$Y$300,'09 Guests'!$AD$7:$AD$300,$H33))</f>
        <v>0</v>
      </c>
      <c r="L33" s="104">
        <f t="shared" si="1"/>
        <v>10</v>
      </c>
      <c r="M33" s="104">
        <f>IF($H33="","",SUMIFS('09 Guests'!$Y$7:$Y$300,'09 Guests'!$AD$7:$AD$300,$H33,'09 Guests'!$F$7:$F$300,"Bride"))</f>
        <v>0</v>
      </c>
      <c r="N33" s="104">
        <f>IF($H33="","",SUMIFS('09 Guests'!$Y$7:$Y$300,'09 Guests'!$AD$7:$AD$300,$H33,'09 Guests'!$F$7:$F$300,"Groom"))</f>
        <v>0</v>
      </c>
      <c r="O33" s="32" t="str">
        <f t="shared" si="2"/>
        <v>Empty</v>
      </c>
      <c r="P33" s="32"/>
    </row>
    <row r="34" ht="16.5" customHeight="1">
      <c r="A34" s="1"/>
      <c r="B34" s="1"/>
      <c r="C34" s="1"/>
      <c r="D34" s="1"/>
      <c r="E34" s="1"/>
      <c r="F34" s="1"/>
      <c r="G34" s="1"/>
      <c r="H34" s="32" t="s">
        <v>1660</v>
      </c>
      <c r="I34" s="32" t="s">
        <v>1567</v>
      </c>
      <c r="J34" s="106">
        <v>10.0</v>
      </c>
      <c r="K34" s="104">
        <f>IF($H34="","",SUMIFS('09 Guests'!$Y$7:$Y$300,'09 Guests'!$AD$7:$AD$300,$H34))</f>
        <v>0</v>
      </c>
      <c r="L34" s="104">
        <f t="shared" si="1"/>
        <v>10</v>
      </c>
      <c r="M34" s="104">
        <f>IF($H34="","",SUMIFS('09 Guests'!$Y$7:$Y$300,'09 Guests'!$AD$7:$AD$300,$H34,'09 Guests'!$F$7:$F$300,"Bride"))</f>
        <v>0</v>
      </c>
      <c r="N34" s="104">
        <f>IF($H34="","",SUMIFS('09 Guests'!$Y$7:$Y$300,'09 Guests'!$AD$7:$AD$300,$H34,'09 Guests'!$F$7:$F$300,"Groom"))</f>
        <v>0</v>
      </c>
      <c r="O34" s="32" t="str">
        <f t="shared" si="2"/>
        <v>Empty</v>
      </c>
      <c r="P34" s="32"/>
    </row>
    <row r="35" ht="16.5" customHeight="1">
      <c r="A35" s="1"/>
      <c r="B35" s="1"/>
      <c r="C35" s="1"/>
      <c r="D35" s="1"/>
      <c r="E35" s="1"/>
      <c r="F35" s="1"/>
      <c r="G35" s="1"/>
      <c r="H35" s="32" t="s">
        <v>1665</v>
      </c>
      <c r="I35" s="32" t="s">
        <v>1567</v>
      </c>
      <c r="J35" s="106">
        <v>10.0</v>
      </c>
      <c r="K35" s="104">
        <f>IF($H35="","",SUMIFS('09 Guests'!$Y$7:$Y$300,'09 Guests'!$AD$7:$AD$300,$H35))</f>
        <v>0</v>
      </c>
      <c r="L35" s="104">
        <f t="shared" si="1"/>
        <v>10</v>
      </c>
      <c r="M35" s="104">
        <f>IF($H35="","",SUMIFS('09 Guests'!$Y$7:$Y$300,'09 Guests'!$AD$7:$AD$300,$H35,'09 Guests'!$F$7:$F$300,"Bride"))</f>
        <v>0</v>
      </c>
      <c r="N35" s="104">
        <f>IF($H35="","",SUMIFS('09 Guests'!$Y$7:$Y$300,'09 Guests'!$AD$7:$AD$300,$H35,'09 Guests'!$F$7:$F$300,"Groom"))</f>
        <v>0</v>
      </c>
      <c r="O35" s="32" t="str">
        <f t="shared" si="2"/>
        <v>Empty</v>
      </c>
      <c r="P35" s="32"/>
    </row>
    <row r="36" ht="16.5" customHeight="1">
      <c r="A36" s="1"/>
      <c r="B36" s="1"/>
      <c r="C36" s="1"/>
      <c r="D36" s="1"/>
      <c r="E36" s="1"/>
      <c r="F36" s="1"/>
      <c r="G36" s="1"/>
      <c r="H36" s="32" t="s">
        <v>1670</v>
      </c>
      <c r="I36" s="32" t="s">
        <v>1567</v>
      </c>
      <c r="J36" s="106">
        <v>10.0</v>
      </c>
      <c r="K36" s="104">
        <f>IF($H36="","",SUMIFS('09 Guests'!$Y$7:$Y$300,'09 Guests'!$AD$7:$AD$300,$H36))</f>
        <v>0</v>
      </c>
      <c r="L36" s="104">
        <f t="shared" si="1"/>
        <v>10</v>
      </c>
      <c r="M36" s="104">
        <f>IF($H36="","",SUMIFS('09 Guests'!$Y$7:$Y$300,'09 Guests'!$AD$7:$AD$300,$H36,'09 Guests'!$F$7:$F$300,"Bride"))</f>
        <v>0</v>
      </c>
      <c r="N36" s="104">
        <f>IF($H36="","",SUMIFS('09 Guests'!$Y$7:$Y$300,'09 Guests'!$AD$7:$AD$300,$H36,'09 Guests'!$F$7:$F$300,"Groom"))</f>
        <v>0</v>
      </c>
      <c r="O36" s="32" t="str">
        <f t="shared" si="2"/>
        <v>Empty</v>
      </c>
      <c r="P36" s="32"/>
    </row>
    <row r="37" ht="16.5" customHeight="1">
      <c r="A37" s="1"/>
      <c r="B37" s="1"/>
      <c r="C37" s="1"/>
      <c r="D37" s="1"/>
      <c r="E37" s="1"/>
      <c r="F37" s="1"/>
      <c r="G37" s="1"/>
      <c r="H37" s="32" t="s">
        <v>1675</v>
      </c>
      <c r="I37" s="32" t="s">
        <v>1567</v>
      </c>
      <c r="J37" s="106">
        <v>10.0</v>
      </c>
      <c r="K37" s="104">
        <f>IF($H37="","",SUMIFS('09 Guests'!$Y$7:$Y$300,'09 Guests'!$AD$7:$AD$300,$H37))</f>
        <v>0</v>
      </c>
      <c r="L37" s="104">
        <f t="shared" si="1"/>
        <v>10</v>
      </c>
      <c r="M37" s="104">
        <f>IF($H37="","",SUMIFS('09 Guests'!$Y$7:$Y$300,'09 Guests'!$AD$7:$AD$300,$H37,'09 Guests'!$F$7:$F$300,"Bride"))</f>
        <v>0</v>
      </c>
      <c r="N37" s="104">
        <f>IF($H37="","",SUMIFS('09 Guests'!$Y$7:$Y$300,'09 Guests'!$AD$7:$AD$300,$H37,'09 Guests'!$F$7:$F$300,"Groom"))</f>
        <v>0</v>
      </c>
      <c r="O37" s="32" t="str">
        <f t="shared" si="2"/>
        <v>Empty</v>
      </c>
      <c r="P37" s="32"/>
    </row>
    <row r="38" ht="16.5" customHeight="1">
      <c r="A38" s="1"/>
      <c r="B38" s="1"/>
      <c r="C38" s="1"/>
      <c r="D38" s="1"/>
      <c r="E38" s="1"/>
      <c r="F38" s="1"/>
      <c r="G38" s="1"/>
      <c r="H38" s="32" t="s">
        <v>1681</v>
      </c>
      <c r="I38" s="32" t="s">
        <v>1567</v>
      </c>
      <c r="J38" s="106">
        <v>10.0</v>
      </c>
      <c r="K38" s="104">
        <f>IF($H38="","",SUMIFS('09 Guests'!$Y$7:$Y$300,'09 Guests'!$AD$7:$AD$300,$H38))</f>
        <v>0</v>
      </c>
      <c r="L38" s="104">
        <f t="shared" si="1"/>
        <v>10</v>
      </c>
      <c r="M38" s="104">
        <f>IF($H38="","",SUMIFS('09 Guests'!$Y$7:$Y$300,'09 Guests'!$AD$7:$AD$300,$H38,'09 Guests'!$F$7:$F$300,"Bride"))</f>
        <v>0</v>
      </c>
      <c r="N38" s="104">
        <f>IF($H38="","",SUMIFS('09 Guests'!$Y$7:$Y$300,'09 Guests'!$AD$7:$AD$300,$H38,'09 Guests'!$F$7:$F$300,"Groom"))</f>
        <v>0</v>
      </c>
      <c r="O38" s="32" t="str">
        <f t="shared" si="2"/>
        <v>Empty</v>
      </c>
      <c r="P38" s="32"/>
    </row>
    <row r="39" ht="16.5" customHeight="1">
      <c r="A39" s="1"/>
      <c r="B39" s="1"/>
      <c r="C39" s="1"/>
      <c r="D39" s="1"/>
      <c r="E39" s="1"/>
      <c r="F39" s="1"/>
      <c r="G39" s="1"/>
      <c r="H39" s="32" t="s">
        <v>1687</v>
      </c>
      <c r="I39" s="32" t="s">
        <v>1567</v>
      </c>
      <c r="J39" s="106">
        <v>10.0</v>
      </c>
      <c r="K39" s="104">
        <f>IF($H39="","",SUMIFS('09 Guests'!$Y$7:$Y$300,'09 Guests'!$AD$7:$AD$300,$H39))</f>
        <v>0</v>
      </c>
      <c r="L39" s="104">
        <f t="shared" si="1"/>
        <v>10</v>
      </c>
      <c r="M39" s="104">
        <f>IF($H39="","",SUMIFS('09 Guests'!$Y$7:$Y$300,'09 Guests'!$AD$7:$AD$300,$H39,'09 Guests'!$F$7:$F$300,"Bride"))</f>
        <v>0</v>
      </c>
      <c r="N39" s="104">
        <f>IF($H39="","",SUMIFS('09 Guests'!$Y$7:$Y$300,'09 Guests'!$AD$7:$AD$300,$H39,'09 Guests'!$F$7:$F$300,"Groom"))</f>
        <v>0</v>
      </c>
      <c r="O39" s="32" t="str">
        <f t="shared" si="2"/>
        <v>Empty</v>
      </c>
      <c r="P39" s="32"/>
    </row>
    <row r="40" ht="16.5" customHeight="1">
      <c r="A40" s="1"/>
      <c r="B40" s="1"/>
      <c r="C40" s="1"/>
      <c r="D40" s="1"/>
      <c r="E40" s="1"/>
      <c r="F40" s="1"/>
      <c r="G40" s="1"/>
      <c r="H40" s="32" t="s">
        <v>1692</v>
      </c>
      <c r="I40" s="32" t="s">
        <v>1567</v>
      </c>
      <c r="J40" s="106">
        <v>10.0</v>
      </c>
      <c r="K40" s="104">
        <f>IF($H40="","",SUMIFS('09 Guests'!$Y$7:$Y$300,'09 Guests'!$AD$7:$AD$300,$H40))</f>
        <v>0</v>
      </c>
      <c r="L40" s="104">
        <f t="shared" si="1"/>
        <v>10</v>
      </c>
      <c r="M40" s="104">
        <f>IF($H40="","",SUMIFS('09 Guests'!$Y$7:$Y$300,'09 Guests'!$AD$7:$AD$300,$H40,'09 Guests'!$F$7:$F$300,"Bride"))</f>
        <v>0</v>
      </c>
      <c r="N40" s="104">
        <f>IF($H40="","",SUMIFS('09 Guests'!$Y$7:$Y$300,'09 Guests'!$AD$7:$AD$300,$H40,'09 Guests'!$F$7:$F$300,"Groom"))</f>
        <v>0</v>
      </c>
      <c r="O40" s="32" t="str">
        <f t="shared" si="2"/>
        <v>Empty</v>
      </c>
      <c r="P40" s="32"/>
    </row>
    <row r="41" ht="16.5" customHeight="1">
      <c r="A41" s="1"/>
      <c r="B41" s="1"/>
      <c r="C41" s="1"/>
      <c r="D41" s="1"/>
      <c r="E41" s="1"/>
      <c r="F41" s="1"/>
      <c r="G41" s="1"/>
      <c r="H41" s="32" t="s">
        <v>1698</v>
      </c>
      <c r="I41" s="32" t="s">
        <v>1567</v>
      </c>
      <c r="J41" s="106">
        <v>10.0</v>
      </c>
      <c r="K41" s="104">
        <f>IF($H41="","",SUMIFS('09 Guests'!$Y$7:$Y$300,'09 Guests'!$AD$7:$AD$300,$H41))</f>
        <v>0</v>
      </c>
      <c r="L41" s="104">
        <f t="shared" si="1"/>
        <v>10</v>
      </c>
      <c r="M41" s="104">
        <f>IF($H41="","",SUMIFS('09 Guests'!$Y$7:$Y$300,'09 Guests'!$AD$7:$AD$300,$H41,'09 Guests'!$F$7:$F$300,"Bride"))</f>
        <v>0</v>
      </c>
      <c r="N41" s="104">
        <f>IF($H41="","",SUMIFS('09 Guests'!$Y$7:$Y$300,'09 Guests'!$AD$7:$AD$300,$H41,'09 Guests'!$F$7:$F$300,"Groom"))</f>
        <v>0</v>
      </c>
      <c r="O41" s="32" t="str">
        <f t="shared" si="2"/>
        <v>Empty</v>
      </c>
      <c r="P41" s="32"/>
    </row>
    <row r="42" ht="16.5" customHeight="1">
      <c r="A42" s="1"/>
      <c r="B42" s="1"/>
      <c r="C42" s="1"/>
      <c r="D42" s="1"/>
      <c r="E42" s="1"/>
      <c r="F42" s="1"/>
      <c r="G42" s="1"/>
      <c r="H42" s="32" t="s">
        <v>1703</v>
      </c>
      <c r="I42" s="32" t="s">
        <v>1567</v>
      </c>
      <c r="J42" s="106">
        <v>10.0</v>
      </c>
      <c r="K42" s="104">
        <f>IF($H42="","",SUMIFS('09 Guests'!$Y$7:$Y$300,'09 Guests'!$AD$7:$AD$300,$H42))</f>
        <v>0</v>
      </c>
      <c r="L42" s="104">
        <f t="shared" si="1"/>
        <v>10</v>
      </c>
      <c r="M42" s="104">
        <f>IF($H42="","",SUMIFS('09 Guests'!$Y$7:$Y$300,'09 Guests'!$AD$7:$AD$300,$H42,'09 Guests'!$F$7:$F$300,"Bride"))</f>
        <v>0</v>
      </c>
      <c r="N42" s="104">
        <f>IF($H42="","",SUMIFS('09 Guests'!$Y$7:$Y$300,'09 Guests'!$AD$7:$AD$300,$H42,'09 Guests'!$F$7:$F$300,"Groom"))</f>
        <v>0</v>
      </c>
      <c r="O42" s="32" t="str">
        <f t="shared" si="2"/>
        <v>Empty</v>
      </c>
      <c r="P42" s="32"/>
    </row>
    <row r="43" ht="16.5" customHeight="1">
      <c r="A43" s="1"/>
      <c r="B43" s="1"/>
      <c r="C43" s="1"/>
      <c r="D43" s="1"/>
      <c r="E43" s="1"/>
      <c r="F43" s="1"/>
      <c r="G43" s="1"/>
      <c r="H43" s="32" t="s">
        <v>1709</v>
      </c>
      <c r="I43" s="32" t="s">
        <v>1567</v>
      </c>
      <c r="J43" s="106">
        <v>10.0</v>
      </c>
      <c r="K43" s="104">
        <f>IF($H43="","",SUMIFS('09 Guests'!$Y$7:$Y$300,'09 Guests'!$AD$7:$AD$300,$H43))</f>
        <v>0</v>
      </c>
      <c r="L43" s="104">
        <f t="shared" si="1"/>
        <v>10</v>
      </c>
      <c r="M43" s="104">
        <f>IF($H43="","",SUMIFS('09 Guests'!$Y$7:$Y$300,'09 Guests'!$AD$7:$AD$300,$H43,'09 Guests'!$F$7:$F$300,"Bride"))</f>
        <v>0</v>
      </c>
      <c r="N43" s="104">
        <f>IF($H43="","",SUMIFS('09 Guests'!$Y$7:$Y$300,'09 Guests'!$AD$7:$AD$300,$H43,'09 Guests'!$F$7:$F$300,"Groom"))</f>
        <v>0</v>
      </c>
      <c r="O43" s="32" t="str">
        <f t="shared" si="2"/>
        <v>Empty</v>
      </c>
      <c r="P43" s="32"/>
    </row>
    <row r="44" ht="16.5" customHeight="1">
      <c r="A44" s="1"/>
      <c r="B44" s="1"/>
      <c r="C44" s="1"/>
      <c r="D44" s="1"/>
      <c r="E44" s="1"/>
      <c r="F44" s="1"/>
      <c r="G44" s="1"/>
      <c r="H44" s="32" t="s">
        <v>1714</v>
      </c>
      <c r="I44" s="32" t="s">
        <v>1567</v>
      </c>
      <c r="J44" s="106">
        <v>10.0</v>
      </c>
      <c r="K44" s="104">
        <f>IF($H44="","",SUMIFS('09 Guests'!$Y$7:$Y$300,'09 Guests'!$AD$7:$AD$300,$H44))</f>
        <v>0</v>
      </c>
      <c r="L44" s="104">
        <f t="shared" si="1"/>
        <v>10</v>
      </c>
      <c r="M44" s="104">
        <f>IF($H44="","",SUMIFS('09 Guests'!$Y$7:$Y$300,'09 Guests'!$AD$7:$AD$300,$H44,'09 Guests'!$F$7:$F$300,"Bride"))</f>
        <v>0</v>
      </c>
      <c r="N44" s="104">
        <f>IF($H44="","",SUMIFS('09 Guests'!$Y$7:$Y$300,'09 Guests'!$AD$7:$AD$300,$H44,'09 Guests'!$F$7:$F$300,"Groom"))</f>
        <v>0</v>
      </c>
      <c r="O44" s="32" t="str">
        <f t="shared" si="2"/>
        <v>Empty</v>
      </c>
      <c r="P44" s="32"/>
    </row>
    <row r="45" ht="16.5" customHeight="1">
      <c r="A45" s="1"/>
      <c r="B45" s="1"/>
      <c r="C45" s="1"/>
      <c r="D45" s="1"/>
      <c r="E45" s="1"/>
      <c r="F45" s="1"/>
      <c r="G45" s="1"/>
      <c r="H45" s="32" t="s">
        <v>1720</v>
      </c>
      <c r="I45" s="32" t="s">
        <v>1567</v>
      </c>
      <c r="J45" s="106">
        <v>10.0</v>
      </c>
      <c r="K45" s="104">
        <f>IF($H45="","",SUMIFS('09 Guests'!$Y$7:$Y$300,'09 Guests'!$AD$7:$AD$300,$H45))</f>
        <v>0</v>
      </c>
      <c r="L45" s="104">
        <f t="shared" si="1"/>
        <v>10</v>
      </c>
      <c r="M45" s="104">
        <f>IF($H45="","",SUMIFS('09 Guests'!$Y$7:$Y$300,'09 Guests'!$AD$7:$AD$300,$H45,'09 Guests'!$F$7:$F$300,"Bride"))</f>
        <v>0</v>
      </c>
      <c r="N45" s="104">
        <f>IF($H45="","",SUMIFS('09 Guests'!$Y$7:$Y$300,'09 Guests'!$AD$7:$AD$300,$H45,'09 Guests'!$F$7:$F$300,"Groom"))</f>
        <v>0</v>
      </c>
      <c r="O45" s="32" t="str">
        <f t="shared" si="2"/>
        <v>Empty</v>
      </c>
      <c r="P45" s="32"/>
    </row>
    <row r="46" ht="16.5" customHeight="1">
      <c r="A46" s="1"/>
      <c r="B46" s="1"/>
      <c r="C46" s="1"/>
      <c r="D46" s="1"/>
      <c r="E46" s="1"/>
      <c r="F46" s="1"/>
      <c r="G46" s="1"/>
      <c r="H46" s="32" t="s">
        <v>1725</v>
      </c>
      <c r="I46" s="32" t="s">
        <v>1567</v>
      </c>
      <c r="J46" s="106">
        <v>10.0</v>
      </c>
      <c r="K46" s="104">
        <f>IF($H46="","",SUMIFS('09 Guests'!$Y$7:$Y$300,'09 Guests'!$AD$7:$AD$300,$H46))</f>
        <v>0</v>
      </c>
      <c r="L46" s="104">
        <f t="shared" si="1"/>
        <v>10</v>
      </c>
      <c r="M46" s="104">
        <f>IF($H46="","",SUMIFS('09 Guests'!$Y$7:$Y$300,'09 Guests'!$AD$7:$AD$300,$H46,'09 Guests'!$F$7:$F$300,"Bride"))</f>
        <v>0</v>
      </c>
      <c r="N46" s="104">
        <f>IF($H46="","",SUMIFS('09 Guests'!$Y$7:$Y$300,'09 Guests'!$AD$7:$AD$300,$H46,'09 Guests'!$F$7:$F$300,"Groom"))</f>
        <v>0</v>
      </c>
      <c r="O46" s="32" t="str">
        <f t="shared" si="2"/>
        <v>Empty</v>
      </c>
      <c r="P46" s="32"/>
    </row>
    <row r="47" ht="16.5" customHeight="1">
      <c r="A47" s="1"/>
      <c r="B47" s="1"/>
      <c r="C47" s="1"/>
      <c r="D47" s="1"/>
      <c r="E47" s="1"/>
      <c r="F47" s="1"/>
      <c r="G47" s="1"/>
      <c r="H47" s="32" t="s">
        <v>1730</v>
      </c>
      <c r="I47" s="32" t="s">
        <v>1567</v>
      </c>
      <c r="J47" s="106">
        <v>10.0</v>
      </c>
      <c r="K47" s="104">
        <f>IF($H47="","",SUMIFS('09 Guests'!$Y$7:$Y$300,'09 Guests'!$AD$7:$AD$300,$H47))</f>
        <v>0</v>
      </c>
      <c r="L47" s="104">
        <f t="shared" si="1"/>
        <v>10</v>
      </c>
      <c r="M47" s="104">
        <f>IF($H47="","",SUMIFS('09 Guests'!$Y$7:$Y$300,'09 Guests'!$AD$7:$AD$300,$H47,'09 Guests'!$F$7:$F$300,"Bride"))</f>
        <v>0</v>
      </c>
      <c r="N47" s="104">
        <f>IF($H47="","",SUMIFS('09 Guests'!$Y$7:$Y$300,'09 Guests'!$AD$7:$AD$300,$H47,'09 Guests'!$F$7:$F$300,"Groom"))</f>
        <v>0</v>
      </c>
      <c r="O47" s="32" t="str">
        <f t="shared" si="2"/>
        <v>Empty</v>
      </c>
      <c r="P47" s="32"/>
    </row>
    <row r="48" ht="16.5" customHeight="1">
      <c r="A48" s="1"/>
      <c r="B48" s="1"/>
      <c r="C48" s="1"/>
      <c r="D48" s="1"/>
      <c r="E48" s="1"/>
      <c r="F48" s="1"/>
      <c r="G48" s="1"/>
      <c r="H48" s="32" t="s">
        <v>1735</v>
      </c>
      <c r="I48" s="32" t="s">
        <v>1567</v>
      </c>
      <c r="J48" s="106">
        <v>10.0</v>
      </c>
      <c r="K48" s="104">
        <f>IF($H48="","",SUMIFS('09 Guests'!$Y$7:$Y$300,'09 Guests'!$AD$7:$AD$300,$H48))</f>
        <v>0</v>
      </c>
      <c r="L48" s="104">
        <f t="shared" si="1"/>
        <v>10</v>
      </c>
      <c r="M48" s="104">
        <f>IF($H48="","",SUMIFS('09 Guests'!$Y$7:$Y$300,'09 Guests'!$AD$7:$AD$300,$H48,'09 Guests'!$F$7:$F$300,"Bride"))</f>
        <v>0</v>
      </c>
      <c r="N48" s="104">
        <f>IF($H48="","",SUMIFS('09 Guests'!$Y$7:$Y$300,'09 Guests'!$AD$7:$AD$300,$H48,'09 Guests'!$F$7:$F$300,"Groom"))</f>
        <v>0</v>
      </c>
      <c r="O48" s="32" t="str">
        <f t="shared" si="2"/>
        <v>Empty</v>
      </c>
      <c r="P48" s="32"/>
    </row>
    <row r="49" ht="16.5" customHeight="1">
      <c r="A49" s="1"/>
      <c r="B49" s="1"/>
      <c r="C49" s="1"/>
      <c r="D49" s="1"/>
      <c r="E49" s="1"/>
      <c r="F49" s="1"/>
      <c r="G49" s="1"/>
      <c r="H49" s="32" t="s">
        <v>1740</v>
      </c>
      <c r="I49" s="32" t="s">
        <v>1567</v>
      </c>
      <c r="J49" s="106">
        <v>10.0</v>
      </c>
      <c r="K49" s="104">
        <f>IF($H49="","",SUMIFS('09 Guests'!$Y$7:$Y$300,'09 Guests'!$AD$7:$AD$300,$H49))</f>
        <v>0</v>
      </c>
      <c r="L49" s="104">
        <f t="shared" si="1"/>
        <v>10</v>
      </c>
      <c r="M49" s="104">
        <f>IF($H49="","",SUMIFS('09 Guests'!$Y$7:$Y$300,'09 Guests'!$AD$7:$AD$300,$H49,'09 Guests'!$F$7:$F$300,"Bride"))</f>
        <v>0</v>
      </c>
      <c r="N49" s="104">
        <f>IF($H49="","",SUMIFS('09 Guests'!$Y$7:$Y$300,'09 Guests'!$AD$7:$AD$300,$H49,'09 Guests'!$F$7:$F$300,"Groom"))</f>
        <v>0</v>
      </c>
      <c r="O49" s="32" t="str">
        <f t="shared" si="2"/>
        <v>Empty</v>
      </c>
      <c r="P49" s="32"/>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5">
    <cfRule type="cellIs" dxfId="2" priority="1" operator="greaterThan">
      <formula>0</formula>
    </cfRule>
  </conditionalFormatting>
  <conditionalFormatting sqref="H20:P49">
    <cfRule type="expression" dxfId="2" priority="2">
      <formula>$O20="OVER CAPACITY"</formula>
    </cfRule>
  </conditionalFormatting>
  <conditionalFormatting sqref="H20:P49">
    <cfRule type="expression" dxfId="13" priority="3">
      <formula>$O20="Empty"</formula>
    </cfRule>
  </conditionalFormatting>
  <dataValidations>
    <dataValidation type="list" allowBlank="1" sqref="I20:I49">
      <formula1>"Round,Rectangular,Head Table,Sweetheart,Cocktail,Family,VIP"</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6D3B"/>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25.86"/>
    <col customWidth="1" min="3" max="3" width="23.57"/>
    <col customWidth="1" min="4" max="5" width="16.14"/>
    <col customWidth="1" min="6" max="6" width="9.71"/>
    <col customWidth="1" min="7" max="7" width="32.14"/>
    <col customWidth="1" min="8" max="8" width="12.86"/>
    <col customWidth="1" min="9" max="9" width="23.57"/>
    <col customWidth="1" min="10" max="10" width="42.86"/>
    <col customWidth="1" min="11" max="11" width="13.86"/>
    <col customWidth="1" min="12" max="12" width="19.29"/>
    <col customWidth="1" min="13" max="13" width="12.86"/>
    <col customWidth="1" min="14" max="14" width="11.86"/>
    <col customWidth="1" min="15" max="15" width="27.86"/>
  </cols>
  <sheetData>
    <row r="1" ht="16.5" customHeight="1">
      <c r="A1" s="1"/>
      <c r="B1" s="1"/>
      <c r="C1" s="1"/>
      <c r="D1" s="1"/>
      <c r="E1" s="1"/>
      <c r="F1" s="1"/>
      <c r="G1" s="1"/>
      <c r="H1" s="1"/>
      <c r="I1" s="1"/>
      <c r="J1" s="1"/>
      <c r="K1" s="1"/>
      <c r="L1" s="1"/>
      <c r="M1" s="1"/>
      <c r="N1" s="1"/>
      <c r="O1" s="1"/>
    </row>
    <row r="2" ht="33.75" customHeight="1">
      <c r="A2" s="2"/>
      <c r="B2" s="2" t="s">
        <v>1743</v>
      </c>
      <c r="C2" s="2"/>
      <c r="D2" s="2"/>
      <c r="E2" s="2"/>
      <c r="F2" s="2"/>
      <c r="G2" s="2"/>
      <c r="H2" s="2"/>
      <c r="I2" s="2"/>
      <c r="J2" s="2"/>
      <c r="K2" s="2"/>
      <c r="L2" s="2"/>
      <c r="M2" s="2"/>
      <c r="N2" s="2"/>
      <c r="O2" s="2"/>
    </row>
    <row r="3" ht="15.75" customHeight="1">
      <c r="A3" s="3"/>
      <c r="B3" s="3" t="s">
        <v>1744</v>
      </c>
      <c r="C3" s="3"/>
      <c r="D3" s="3"/>
      <c r="E3" s="3"/>
      <c r="F3" s="3"/>
      <c r="G3" s="3"/>
      <c r="H3" s="3"/>
      <c r="I3" s="3"/>
      <c r="J3" s="3"/>
      <c r="K3" s="3"/>
      <c r="L3" s="3"/>
      <c r="M3" s="3"/>
      <c r="N3" s="3"/>
      <c r="O3" s="3"/>
    </row>
    <row r="4" ht="16.5" customHeight="1">
      <c r="A4" s="1"/>
      <c r="B4" s="1"/>
      <c r="C4" s="1"/>
      <c r="D4" s="1"/>
      <c r="E4" s="1"/>
      <c r="F4" s="1"/>
      <c r="G4" s="1"/>
      <c r="H4" s="1"/>
      <c r="I4" s="1"/>
      <c r="J4" s="1"/>
      <c r="K4" s="1"/>
      <c r="L4" s="1"/>
      <c r="M4" s="1"/>
      <c r="N4" s="1"/>
      <c r="O4" s="1"/>
    </row>
    <row r="5" ht="16.5" customHeight="1">
      <c r="A5" s="1"/>
      <c r="B5" s="1"/>
      <c r="C5" s="1"/>
      <c r="D5" s="1"/>
      <c r="E5" s="1"/>
      <c r="F5" s="1"/>
      <c r="G5" s="1"/>
      <c r="H5" s="1"/>
      <c r="I5" s="1"/>
      <c r="J5" s="1"/>
      <c r="K5" s="1"/>
      <c r="L5" s="1"/>
      <c r="M5" s="1"/>
      <c r="N5" s="1"/>
      <c r="O5" s="1"/>
    </row>
    <row r="6" ht="30.0" customHeight="1">
      <c r="A6" s="16"/>
      <c r="B6" s="17" t="s">
        <v>1745</v>
      </c>
      <c r="C6" s="17" t="s">
        <v>1746</v>
      </c>
      <c r="D6" s="17" t="s">
        <v>183</v>
      </c>
      <c r="E6" s="17" t="s">
        <v>184</v>
      </c>
      <c r="F6" s="17" t="s">
        <v>1383</v>
      </c>
      <c r="G6" s="17" t="s">
        <v>1747</v>
      </c>
      <c r="H6" s="17" t="s">
        <v>1748</v>
      </c>
      <c r="I6" s="17" t="s">
        <v>1749</v>
      </c>
      <c r="J6" s="17" t="s">
        <v>1750</v>
      </c>
      <c r="K6" s="17" t="s">
        <v>1751</v>
      </c>
      <c r="L6" s="17" t="s">
        <v>338</v>
      </c>
      <c r="M6" s="17" t="s">
        <v>1752</v>
      </c>
      <c r="N6" s="17" t="s">
        <v>1753</v>
      </c>
      <c r="O6" s="17" t="s">
        <v>50</v>
      </c>
    </row>
    <row r="7" ht="16.5" customHeight="1">
      <c r="A7" s="1"/>
      <c r="B7" s="32" t="s">
        <v>1256</v>
      </c>
      <c r="C7" s="32"/>
      <c r="D7" s="32"/>
      <c r="E7" s="32"/>
      <c r="F7" s="32" t="s">
        <v>1256</v>
      </c>
      <c r="G7" s="32"/>
      <c r="H7" s="32"/>
      <c r="I7" s="32"/>
      <c r="J7" s="32"/>
      <c r="K7" s="55"/>
      <c r="L7" s="32"/>
      <c r="M7" s="32"/>
      <c r="N7" s="32"/>
      <c r="O7" s="32"/>
    </row>
    <row r="8" ht="16.5" customHeight="1">
      <c r="A8" s="1"/>
      <c r="B8" s="32" t="s">
        <v>129</v>
      </c>
      <c r="C8" s="32"/>
      <c r="D8" s="32"/>
      <c r="E8" s="32"/>
      <c r="F8" s="32" t="s">
        <v>129</v>
      </c>
      <c r="G8" s="32"/>
      <c r="H8" s="32"/>
      <c r="I8" s="32"/>
      <c r="J8" s="32"/>
      <c r="K8" s="55"/>
      <c r="L8" s="32"/>
      <c r="M8" s="32"/>
      <c r="N8" s="32"/>
      <c r="O8" s="32"/>
    </row>
    <row r="9" ht="16.5" customHeight="1">
      <c r="A9" s="1"/>
      <c r="B9" s="32" t="s">
        <v>1754</v>
      </c>
      <c r="C9" s="32"/>
      <c r="D9" s="32"/>
      <c r="E9" s="32"/>
      <c r="F9" s="32" t="s">
        <v>1256</v>
      </c>
      <c r="G9" s="32"/>
      <c r="H9" s="32"/>
      <c r="I9" s="32"/>
      <c r="J9" s="32"/>
      <c r="K9" s="55"/>
      <c r="L9" s="32"/>
      <c r="M9" s="32"/>
      <c r="N9" s="32"/>
      <c r="O9" s="32"/>
    </row>
    <row r="10" ht="16.5" customHeight="1">
      <c r="A10" s="1"/>
      <c r="B10" s="32" t="s">
        <v>1755</v>
      </c>
      <c r="C10" s="32"/>
      <c r="D10" s="32"/>
      <c r="E10" s="32"/>
      <c r="F10" s="32" t="s">
        <v>1256</v>
      </c>
      <c r="G10" s="32"/>
      <c r="H10" s="32"/>
      <c r="I10" s="32"/>
      <c r="J10" s="32"/>
      <c r="K10" s="55"/>
      <c r="L10" s="32"/>
      <c r="M10" s="32"/>
      <c r="N10" s="32"/>
      <c r="O10" s="32"/>
    </row>
    <row r="11" ht="16.5" customHeight="1">
      <c r="A11" s="1"/>
      <c r="B11" s="32" t="s">
        <v>1756</v>
      </c>
      <c r="C11" s="32"/>
      <c r="D11" s="32"/>
      <c r="E11" s="32"/>
      <c r="F11" s="32" t="s">
        <v>129</v>
      </c>
      <c r="G11" s="32"/>
      <c r="H11" s="32"/>
      <c r="I11" s="32"/>
      <c r="J11" s="32"/>
      <c r="K11" s="55"/>
      <c r="L11" s="32"/>
      <c r="M11" s="32"/>
      <c r="N11" s="32"/>
      <c r="O11" s="32"/>
    </row>
    <row r="12" ht="16.5" customHeight="1">
      <c r="A12" s="1"/>
      <c r="B12" s="32" t="s">
        <v>1757</v>
      </c>
      <c r="C12" s="32"/>
      <c r="D12" s="32"/>
      <c r="E12" s="32"/>
      <c r="F12" s="32" t="s">
        <v>129</v>
      </c>
      <c r="G12" s="32"/>
      <c r="H12" s="32"/>
      <c r="I12" s="32"/>
      <c r="J12" s="32"/>
      <c r="K12" s="55"/>
      <c r="L12" s="32"/>
      <c r="M12" s="32"/>
      <c r="N12" s="32"/>
      <c r="O12" s="32"/>
    </row>
    <row r="13" ht="16.5" customHeight="1">
      <c r="A13" s="1"/>
      <c r="B13" s="32" t="s">
        <v>1758</v>
      </c>
      <c r="C13" s="32"/>
      <c r="D13" s="32"/>
      <c r="E13" s="32"/>
      <c r="F13" s="32" t="s">
        <v>1256</v>
      </c>
      <c r="G13" s="32"/>
      <c r="H13" s="32"/>
      <c r="I13" s="32"/>
      <c r="J13" s="32"/>
      <c r="K13" s="55"/>
      <c r="L13" s="32"/>
      <c r="M13" s="32"/>
      <c r="N13" s="32"/>
      <c r="O13" s="32"/>
    </row>
    <row r="14" ht="16.5" customHeight="1">
      <c r="A14" s="1"/>
      <c r="B14" s="32" t="s">
        <v>1759</v>
      </c>
      <c r="C14" s="32"/>
      <c r="D14" s="32"/>
      <c r="E14" s="32"/>
      <c r="F14" s="32" t="s">
        <v>129</v>
      </c>
      <c r="G14" s="32"/>
      <c r="H14" s="32"/>
      <c r="I14" s="32"/>
      <c r="J14" s="32"/>
      <c r="K14" s="55"/>
      <c r="L14" s="32"/>
      <c r="M14" s="32"/>
      <c r="N14" s="32"/>
      <c r="O14" s="32"/>
    </row>
    <row r="15" ht="16.5" customHeight="1">
      <c r="A15" s="1"/>
      <c r="B15" s="32" t="s">
        <v>1760</v>
      </c>
      <c r="C15" s="32"/>
      <c r="D15" s="32"/>
      <c r="E15" s="32"/>
      <c r="F15" s="32" t="s">
        <v>1256</v>
      </c>
      <c r="G15" s="32"/>
      <c r="H15" s="32"/>
      <c r="I15" s="32"/>
      <c r="J15" s="32"/>
      <c r="K15" s="55"/>
      <c r="L15" s="32"/>
      <c r="M15" s="32"/>
      <c r="N15" s="32"/>
      <c r="O15" s="32"/>
    </row>
    <row r="16" ht="16.5" customHeight="1">
      <c r="A16" s="1"/>
      <c r="B16" s="32" t="s">
        <v>1761</v>
      </c>
      <c r="C16" s="32"/>
      <c r="D16" s="32"/>
      <c r="E16" s="32"/>
      <c r="F16" s="32" t="s">
        <v>1256</v>
      </c>
      <c r="G16" s="32"/>
      <c r="H16" s="32"/>
      <c r="I16" s="32"/>
      <c r="J16" s="32"/>
      <c r="K16" s="55"/>
      <c r="L16" s="32"/>
      <c r="M16" s="32"/>
      <c r="N16" s="32"/>
      <c r="O16" s="32"/>
    </row>
    <row r="17" ht="16.5" customHeight="1">
      <c r="A17" s="1"/>
      <c r="B17" s="32" t="s">
        <v>1762</v>
      </c>
      <c r="C17" s="32"/>
      <c r="D17" s="32"/>
      <c r="E17" s="32"/>
      <c r="F17" s="32" t="s">
        <v>1256</v>
      </c>
      <c r="G17" s="32"/>
      <c r="H17" s="32"/>
      <c r="I17" s="32"/>
      <c r="J17" s="32"/>
      <c r="K17" s="55"/>
      <c r="L17" s="32"/>
      <c r="M17" s="32"/>
      <c r="N17" s="32"/>
      <c r="O17" s="32"/>
    </row>
    <row r="18" ht="16.5" customHeight="1">
      <c r="A18" s="1"/>
      <c r="B18" s="32" t="s">
        <v>1763</v>
      </c>
      <c r="C18" s="32"/>
      <c r="D18" s="32"/>
      <c r="E18" s="32"/>
      <c r="F18" s="32" t="s">
        <v>129</v>
      </c>
      <c r="G18" s="32"/>
      <c r="H18" s="32"/>
      <c r="I18" s="32"/>
      <c r="J18" s="32"/>
      <c r="K18" s="55"/>
      <c r="L18" s="32"/>
      <c r="M18" s="32"/>
      <c r="N18" s="32"/>
      <c r="O18" s="32"/>
    </row>
    <row r="19" ht="16.5" customHeight="1">
      <c r="A19" s="1"/>
      <c r="B19" s="32" t="s">
        <v>1764</v>
      </c>
      <c r="C19" s="32"/>
      <c r="D19" s="32"/>
      <c r="E19" s="32"/>
      <c r="F19" s="32" t="s">
        <v>129</v>
      </c>
      <c r="G19" s="32"/>
      <c r="H19" s="32"/>
      <c r="I19" s="32"/>
      <c r="J19" s="32"/>
      <c r="K19" s="55"/>
      <c r="L19" s="32"/>
      <c r="M19" s="32"/>
      <c r="N19" s="32"/>
      <c r="O19" s="32"/>
    </row>
    <row r="20" ht="16.5" customHeight="1">
      <c r="A20" s="1"/>
      <c r="B20" s="32" t="s">
        <v>1765</v>
      </c>
      <c r="C20" s="32"/>
      <c r="D20" s="32"/>
      <c r="E20" s="32"/>
      <c r="F20" s="32" t="s">
        <v>129</v>
      </c>
      <c r="G20" s="32"/>
      <c r="H20" s="32"/>
      <c r="I20" s="32"/>
      <c r="J20" s="32"/>
      <c r="K20" s="55"/>
      <c r="L20" s="32"/>
      <c r="M20" s="32"/>
      <c r="N20" s="32"/>
      <c r="O20" s="32"/>
    </row>
    <row r="21" ht="16.5" customHeight="1">
      <c r="A21" s="1"/>
      <c r="B21" s="32" t="s">
        <v>1766</v>
      </c>
      <c r="C21" s="32"/>
      <c r="D21" s="32"/>
      <c r="E21" s="32"/>
      <c r="F21" s="32" t="s">
        <v>1256</v>
      </c>
      <c r="G21" s="32"/>
      <c r="H21" s="32"/>
      <c r="I21" s="32"/>
      <c r="J21" s="32"/>
      <c r="K21" s="55"/>
      <c r="L21" s="32"/>
      <c r="M21" s="32"/>
      <c r="N21" s="32"/>
      <c r="O21" s="32"/>
    </row>
    <row r="22" ht="16.5" customHeight="1">
      <c r="A22" s="1"/>
      <c r="B22" s="32" t="s">
        <v>1767</v>
      </c>
      <c r="C22" s="32"/>
      <c r="D22" s="32"/>
      <c r="E22" s="32"/>
      <c r="F22" s="32" t="s">
        <v>129</v>
      </c>
      <c r="G22" s="32"/>
      <c r="H22" s="32"/>
      <c r="I22" s="32"/>
      <c r="J22" s="32"/>
      <c r="K22" s="55"/>
      <c r="L22" s="32"/>
      <c r="M22" s="32"/>
      <c r="N22" s="32"/>
      <c r="O22" s="32"/>
    </row>
    <row r="23" ht="16.5" customHeight="1">
      <c r="A23" s="1"/>
      <c r="B23" s="32" t="s">
        <v>1768</v>
      </c>
      <c r="C23" s="32"/>
      <c r="D23" s="32"/>
      <c r="E23" s="32"/>
      <c r="F23" s="32" t="s">
        <v>129</v>
      </c>
      <c r="G23" s="32"/>
      <c r="H23" s="32"/>
      <c r="I23" s="32"/>
      <c r="J23" s="32"/>
      <c r="K23" s="55"/>
      <c r="L23" s="32"/>
      <c r="M23" s="32"/>
      <c r="N23" s="32"/>
      <c r="O23" s="32"/>
    </row>
    <row r="24" ht="16.5" customHeight="1">
      <c r="A24" s="1"/>
      <c r="B24" s="32" t="s">
        <v>1769</v>
      </c>
      <c r="C24" s="32"/>
      <c r="D24" s="32"/>
      <c r="E24" s="32"/>
      <c r="F24" s="32" t="s">
        <v>1256</v>
      </c>
      <c r="G24" s="32"/>
      <c r="H24" s="32"/>
      <c r="I24" s="32"/>
      <c r="J24" s="32"/>
      <c r="K24" s="55"/>
      <c r="L24" s="32"/>
      <c r="M24" s="32"/>
      <c r="N24" s="32"/>
      <c r="O24" s="32"/>
    </row>
    <row r="25" ht="16.5" customHeight="1">
      <c r="A25" s="1"/>
      <c r="B25" s="32" t="s">
        <v>1770</v>
      </c>
      <c r="C25" s="32"/>
      <c r="D25" s="32"/>
      <c r="E25" s="32"/>
      <c r="F25" s="32" t="s">
        <v>1256</v>
      </c>
      <c r="G25" s="32"/>
      <c r="H25" s="32"/>
      <c r="I25" s="32"/>
      <c r="J25" s="32"/>
      <c r="K25" s="55"/>
      <c r="L25" s="32"/>
      <c r="M25" s="32"/>
      <c r="N25" s="32"/>
      <c r="O25" s="32"/>
    </row>
    <row r="26" ht="16.5" customHeight="1">
      <c r="A26" s="1"/>
      <c r="B26" s="32" t="s">
        <v>1771</v>
      </c>
      <c r="C26" s="32"/>
      <c r="D26" s="32"/>
      <c r="E26" s="32"/>
      <c r="F26" s="32" t="s">
        <v>129</v>
      </c>
      <c r="G26" s="32"/>
      <c r="H26" s="32"/>
      <c r="I26" s="32"/>
      <c r="J26" s="32"/>
      <c r="K26" s="55"/>
      <c r="L26" s="32"/>
      <c r="M26" s="32"/>
      <c r="N26" s="32"/>
      <c r="O26" s="32"/>
    </row>
    <row r="27" ht="16.5" customHeight="1">
      <c r="A27" s="1"/>
      <c r="B27" s="32" t="s">
        <v>676</v>
      </c>
      <c r="C27" s="32"/>
      <c r="D27" s="32"/>
      <c r="E27" s="32"/>
      <c r="F27" s="32" t="s">
        <v>129</v>
      </c>
      <c r="G27" s="32"/>
      <c r="H27" s="32"/>
      <c r="I27" s="32"/>
      <c r="J27" s="32"/>
      <c r="K27" s="55"/>
      <c r="L27" s="32"/>
      <c r="M27" s="32"/>
      <c r="N27" s="32"/>
      <c r="O27" s="32"/>
    </row>
    <row r="28" ht="16.5" customHeight="1">
      <c r="A28" s="1"/>
      <c r="B28" s="32" t="s">
        <v>1772</v>
      </c>
      <c r="C28" s="32"/>
      <c r="D28" s="32"/>
      <c r="E28" s="32"/>
      <c r="F28" s="32" t="s">
        <v>129</v>
      </c>
      <c r="G28" s="32"/>
      <c r="H28" s="32"/>
      <c r="I28" s="32"/>
      <c r="J28" s="32"/>
      <c r="K28" s="55"/>
      <c r="L28" s="32"/>
      <c r="M28" s="32"/>
      <c r="N28" s="32"/>
      <c r="O28" s="32"/>
    </row>
    <row r="29" ht="16.5" customHeight="1">
      <c r="A29" s="1"/>
      <c r="B29" s="32" t="s">
        <v>1773</v>
      </c>
      <c r="C29" s="32"/>
      <c r="D29" s="32"/>
      <c r="E29" s="32"/>
      <c r="F29" s="32" t="s">
        <v>1256</v>
      </c>
      <c r="G29" s="32"/>
      <c r="H29" s="32"/>
      <c r="I29" s="32"/>
      <c r="J29" s="32"/>
      <c r="K29" s="55"/>
      <c r="L29" s="32"/>
      <c r="M29" s="32"/>
      <c r="N29" s="32"/>
      <c r="O29" s="32"/>
    </row>
    <row r="30" ht="16.5" customHeight="1">
      <c r="A30" s="1"/>
      <c r="B30" s="32" t="s">
        <v>1774</v>
      </c>
      <c r="C30" s="32"/>
      <c r="D30" s="32"/>
      <c r="E30" s="32"/>
      <c r="F30" s="32" t="s">
        <v>129</v>
      </c>
      <c r="G30" s="32"/>
      <c r="H30" s="32"/>
      <c r="I30" s="32"/>
      <c r="J30" s="32"/>
      <c r="K30" s="55"/>
      <c r="L30" s="32"/>
      <c r="M30" s="32"/>
      <c r="N30" s="32"/>
      <c r="O30" s="32"/>
    </row>
    <row r="31" ht="16.5" customHeight="1">
      <c r="A31" s="1"/>
      <c r="B31" s="32" t="s">
        <v>1775</v>
      </c>
      <c r="C31" s="32"/>
      <c r="D31" s="32"/>
      <c r="E31" s="32"/>
      <c r="F31" s="32" t="s">
        <v>1256</v>
      </c>
      <c r="G31" s="32"/>
      <c r="H31" s="32"/>
      <c r="I31" s="32"/>
      <c r="J31" s="32"/>
      <c r="K31" s="55"/>
      <c r="L31" s="32"/>
      <c r="M31" s="32"/>
      <c r="N31" s="32"/>
      <c r="O31" s="32"/>
    </row>
    <row r="32" ht="16.5" customHeight="1">
      <c r="A32" s="1"/>
      <c r="B32" s="32" t="s">
        <v>1776</v>
      </c>
      <c r="C32" s="32"/>
      <c r="D32" s="32"/>
      <c r="E32" s="32"/>
      <c r="F32" s="32" t="s">
        <v>129</v>
      </c>
      <c r="G32" s="32"/>
      <c r="H32" s="32"/>
      <c r="I32" s="32"/>
      <c r="J32" s="32"/>
      <c r="K32" s="55"/>
      <c r="L32" s="32"/>
      <c r="M32" s="32"/>
      <c r="N32" s="32"/>
      <c r="O32" s="32"/>
    </row>
    <row r="33" ht="16.5" customHeight="1">
      <c r="A33" s="1"/>
      <c r="B33" s="32" t="s">
        <v>1777</v>
      </c>
      <c r="C33" s="32"/>
      <c r="D33" s="32"/>
      <c r="E33" s="32"/>
      <c r="F33" s="32" t="s">
        <v>129</v>
      </c>
      <c r="G33" s="32"/>
      <c r="H33" s="32"/>
      <c r="I33" s="32"/>
      <c r="J33" s="32"/>
      <c r="K33" s="55"/>
      <c r="L33" s="32"/>
      <c r="M33" s="32"/>
      <c r="N33" s="32"/>
      <c r="O33" s="32"/>
    </row>
    <row r="34" ht="16.5" customHeight="1">
      <c r="A34" s="1"/>
      <c r="B34" s="32" t="s">
        <v>1778</v>
      </c>
      <c r="C34" s="32"/>
      <c r="D34" s="32"/>
      <c r="E34" s="32"/>
      <c r="F34" s="32" t="s">
        <v>1256</v>
      </c>
      <c r="G34" s="32"/>
      <c r="H34" s="32"/>
      <c r="I34" s="32"/>
      <c r="J34" s="32"/>
      <c r="K34" s="55"/>
      <c r="L34" s="32"/>
      <c r="M34" s="32"/>
      <c r="N34" s="32"/>
      <c r="O34" s="32"/>
    </row>
    <row r="35" ht="16.5" customHeight="1">
      <c r="A35" s="1"/>
      <c r="B35" s="32"/>
      <c r="C35" s="32"/>
      <c r="D35" s="32"/>
      <c r="E35" s="32"/>
      <c r="F35" s="32"/>
      <c r="G35" s="32"/>
      <c r="H35" s="32"/>
      <c r="I35" s="32"/>
      <c r="J35" s="32"/>
      <c r="K35" s="55"/>
      <c r="L35" s="32"/>
      <c r="M35" s="32"/>
      <c r="N35" s="32"/>
      <c r="O35" s="32"/>
    </row>
    <row r="36" ht="16.5" customHeight="1">
      <c r="A36" s="1"/>
      <c r="B36" s="32"/>
      <c r="C36" s="32"/>
      <c r="D36" s="32"/>
      <c r="E36" s="32"/>
      <c r="F36" s="32"/>
      <c r="G36" s="32"/>
      <c r="H36" s="32"/>
      <c r="I36" s="32"/>
      <c r="J36" s="32"/>
      <c r="K36" s="55"/>
      <c r="L36" s="32"/>
      <c r="M36" s="32"/>
      <c r="N36" s="32"/>
      <c r="O36" s="32"/>
    </row>
    <row r="37" ht="16.5" customHeight="1">
      <c r="A37" s="1"/>
      <c r="B37" s="32"/>
      <c r="C37" s="32"/>
      <c r="D37" s="32"/>
      <c r="E37" s="32"/>
      <c r="F37" s="32"/>
      <c r="G37" s="32"/>
      <c r="H37" s="32"/>
      <c r="I37" s="32"/>
      <c r="J37" s="32"/>
      <c r="K37" s="55"/>
      <c r="L37" s="32"/>
      <c r="M37" s="32"/>
      <c r="N37" s="32"/>
      <c r="O37" s="32"/>
    </row>
    <row r="38" ht="16.5" customHeight="1">
      <c r="A38" s="1"/>
      <c r="B38" s="32"/>
      <c r="C38" s="32"/>
      <c r="D38" s="32"/>
      <c r="E38" s="32"/>
      <c r="F38" s="32"/>
      <c r="G38" s="32"/>
      <c r="H38" s="32"/>
      <c r="I38" s="32"/>
      <c r="J38" s="32"/>
      <c r="K38" s="55"/>
      <c r="L38" s="32"/>
      <c r="M38" s="32"/>
      <c r="N38" s="32"/>
      <c r="O38" s="32"/>
    </row>
    <row r="39" ht="16.5" customHeight="1">
      <c r="A39" s="1"/>
      <c r="B39" s="32"/>
      <c r="C39" s="32"/>
      <c r="D39" s="32"/>
      <c r="E39" s="32"/>
      <c r="F39" s="32"/>
      <c r="G39" s="32"/>
      <c r="H39" s="32"/>
      <c r="I39" s="32"/>
      <c r="J39" s="32"/>
      <c r="K39" s="55"/>
      <c r="L39" s="32"/>
      <c r="M39" s="32"/>
      <c r="N39" s="32"/>
      <c r="O39" s="32"/>
    </row>
    <row r="40" ht="16.5" customHeight="1">
      <c r="A40" s="1"/>
      <c r="B40" s="32"/>
      <c r="C40" s="32"/>
      <c r="D40" s="32"/>
      <c r="E40" s="32"/>
      <c r="F40" s="32"/>
      <c r="G40" s="32"/>
      <c r="H40" s="32"/>
      <c r="I40" s="32"/>
      <c r="J40" s="32"/>
      <c r="K40" s="55"/>
      <c r="L40" s="32"/>
      <c r="M40" s="32"/>
      <c r="N40" s="32"/>
      <c r="O40" s="32"/>
    </row>
    <row r="41" ht="16.5" customHeight="1">
      <c r="A41" s="1"/>
      <c r="B41" s="32"/>
      <c r="C41" s="32"/>
      <c r="D41" s="32"/>
      <c r="E41" s="32"/>
      <c r="F41" s="32"/>
      <c r="G41" s="32"/>
      <c r="H41" s="32"/>
      <c r="I41" s="32"/>
      <c r="J41" s="32"/>
      <c r="K41" s="55"/>
      <c r="L41" s="32"/>
      <c r="M41" s="32"/>
      <c r="N41" s="32"/>
      <c r="O41" s="32"/>
    </row>
    <row r="42" ht="16.5" customHeight="1">
      <c r="A42" s="1"/>
      <c r="B42" s="32"/>
      <c r="C42" s="32"/>
      <c r="D42" s="32"/>
      <c r="E42" s="32"/>
      <c r="F42" s="32"/>
      <c r="G42" s="32"/>
      <c r="H42" s="32"/>
      <c r="I42" s="32"/>
      <c r="J42" s="32"/>
      <c r="K42" s="55"/>
      <c r="L42" s="32"/>
      <c r="M42" s="32"/>
      <c r="N42" s="32"/>
      <c r="O42" s="32"/>
    </row>
    <row r="43" ht="16.5" customHeight="1">
      <c r="A43" s="1"/>
      <c r="B43" s="32"/>
      <c r="C43" s="32"/>
      <c r="D43" s="32"/>
      <c r="E43" s="32"/>
      <c r="F43" s="32"/>
      <c r="G43" s="32"/>
      <c r="H43" s="32"/>
      <c r="I43" s="32"/>
      <c r="J43" s="32"/>
      <c r="K43" s="55"/>
      <c r="L43" s="32"/>
      <c r="M43" s="32"/>
      <c r="N43" s="32"/>
      <c r="O43" s="32"/>
    </row>
    <row r="44" ht="16.5" customHeight="1">
      <c r="A44" s="1"/>
      <c r="B44" s="32"/>
      <c r="C44" s="32"/>
      <c r="D44" s="32"/>
      <c r="E44" s="32"/>
      <c r="F44" s="32"/>
      <c r="G44" s="32"/>
      <c r="H44" s="32"/>
      <c r="I44" s="32"/>
      <c r="J44" s="32"/>
      <c r="K44" s="55"/>
      <c r="L44" s="32"/>
      <c r="M44" s="32"/>
      <c r="N44" s="32"/>
      <c r="O44" s="32"/>
    </row>
    <row r="45" ht="16.5" customHeight="1">
      <c r="A45" s="1"/>
      <c r="B45" s="32"/>
      <c r="C45" s="32"/>
      <c r="D45" s="32"/>
      <c r="E45" s="32"/>
      <c r="F45" s="32"/>
      <c r="G45" s="32"/>
      <c r="H45" s="32"/>
      <c r="I45" s="32"/>
      <c r="J45" s="32"/>
      <c r="K45" s="55"/>
      <c r="L45" s="32"/>
      <c r="M45" s="32"/>
      <c r="N45" s="32"/>
      <c r="O45" s="32"/>
    </row>
    <row r="46" ht="16.5" customHeight="1">
      <c r="A46" s="1"/>
      <c r="B46" s="32"/>
      <c r="C46" s="32"/>
      <c r="D46" s="32"/>
      <c r="E46" s="32"/>
      <c r="F46" s="32"/>
      <c r="G46" s="32"/>
      <c r="H46" s="32"/>
      <c r="I46" s="32"/>
      <c r="J46" s="32"/>
      <c r="K46" s="55"/>
      <c r="L46" s="32"/>
      <c r="M46" s="32"/>
      <c r="N46" s="32"/>
      <c r="O46" s="32"/>
    </row>
    <row r="47" ht="16.5" customHeight="1">
      <c r="A47" s="1"/>
      <c r="B47" s="32"/>
      <c r="C47" s="32"/>
      <c r="D47" s="32"/>
      <c r="E47" s="32"/>
      <c r="F47" s="32"/>
      <c r="G47" s="32"/>
      <c r="H47" s="32"/>
      <c r="I47" s="32"/>
      <c r="J47" s="32"/>
      <c r="K47" s="55"/>
      <c r="L47" s="32"/>
      <c r="M47" s="32"/>
      <c r="N47" s="32"/>
      <c r="O47" s="32"/>
    </row>
    <row r="48" ht="16.5" customHeight="1">
      <c r="A48" s="1"/>
      <c r="B48" s="32"/>
      <c r="C48" s="32"/>
      <c r="D48" s="32"/>
      <c r="E48" s="32"/>
      <c r="F48" s="32"/>
      <c r="G48" s="32"/>
      <c r="H48" s="32"/>
      <c r="I48" s="32"/>
      <c r="J48" s="32"/>
      <c r="K48" s="55"/>
      <c r="L48" s="32"/>
      <c r="M48" s="32"/>
      <c r="N48" s="32"/>
      <c r="O48" s="32"/>
    </row>
    <row r="49" ht="16.5" customHeight="1">
      <c r="A49" s="1"/>
      <c r="B49" s="32"/>
      <c r="C49" s="32"/>
      <c r="D49" s="32"/>
      <c r="E49" s="32"/>
      <c r="F49" s="32"/>
      <c r="G49" s="32"/>
      <c r="H49" s="32"/>
      <c r="I49" s="32"/>
      <c r="J49" s="32"/>
      <c r="K49" s="55"/>
      <c r="L49" s="32"/>
      <c r="M49" s="32"/>
      <c r="N49" s="32"/>
      <c r="O49" s="32"/>
    </row>
    <row r="50" ht="16.5" customHeight="1">
      <c r="A50" s="1"/>
      <c r="B50" s="32"/>
      <c r="C50" s="32"/>
      <c r="D50" s="32"/>
      <c r="E50" s="32"/>
      <c r="F50" s="32"/>
      <c r="G50" s="32"/>
      <c r="H50" s="32"/>
      <c r="I50" s="32"/>
      <c r="J50" s="32"/>
      <c r="K50" s="55"/>
      <c r="L50" s="32"/>
      <c r="M50" s="32"/>
      <c r="N50" s="32"/>
      <c r="O50" s="32"/>
    </row>
    <row r="51" ht="16.5" customHeight="1">
      <c r="A51" s="1"/>
      <c r="B51" s="32"/>
      <c r="C51" s="32"/>
      <c r="D51" s="32"/>
      <c r="E51" s="32"/>
      <c r="F51" s="32"/>
      <c r="G51" s="32"/>
      <c r="H51" s="32"/>
      <c r="I51" s="32"/>
      <c r="J51" s="32"/>
      <c r="K51" s="55"/>
      <c r="L51" s="32"/>
      <c r="M51" s="32"/>
      <c r="N51" s="32"/>
      <c r="O51" s="32"/>
    </row>
    <row r="52" ht="16.5" customHeight="1">
      <c r="A52" s="1"/>
      <c r="B52" s="32"/>
      <c r="C52" s="32"/>
      <c r="D52" s="32"/>
      <c r="E52" s="32"/>
      <c r="F52" s="32"/>
      <c r="G52" s="32"/>
      <c r="H52" s="32"/>
      <c r="I52" s="32"/>
      <c r="J52" s="32"/>
      <c r="K52" s="55"/>
      <c r="L52" s="32"/>
      <c r="M52" s="32"/>
      <c r="N52" s="32"/>
      <c r="O52" s="32"/>
    </row>
    <row r="53" ht="16.5" customHeight="1">
      <c r="A53" s="1"/>
      <c r="B53" s="32"/>
      <c r="C53" s="32"/>
      <c r="D53" s="32"/>
      <c r="E53" s="32"/>
      <c r="F53" s="32"/>
      <c r="G53" s="32"/>
      <c r="H53" s="32"/>
      <c r="I53" s="32"/>
      <c r="J53" s="32"/>
      <c r="K53" s="55"/>
      <c r="L53" s="32"/>
      <c r="M53" s="32"/>
      <c r="N53" s="32"/>
      <c r="O53" s="32"/>
    </row>
    <row r="54" ht="16.5" customHeight="1">
      <c r="A54" s="1"/>
      <c r="B54" s="32"/>
      <c r="C54" s="32"/>
      <c r="D54" s="32"/>
      <c r="E54" s="32"/>
      <c r="F54" s="32"/>
      <c r="G54" s="32"/>
      <c r="H54" s="32"/>
      <c r="I54" s="32"/>
      <c r="J54" s="32"/>
      <c r="K54" s="55"/>
      <c r="L54" s="32"/>
      <c r="M54" s="32"/>
      <c r="N54" s="32"/>
      <c r="O54" s="32"/>
    </row>
    <row r="55" ht="16.5" customHeight="1">
      <c r="A55" s="1"/>
      <c r="B55" s="32"/>
      <c r="C55" s="32"/>
      <c r="D55" s="32"/>
      <c r="E55" s="32"/>
      <c r="F55" s="32"/>
      <c r="G55" s="32"/>
      <c r="H55" s="32"/>
      <c r="I55" s="32"/>
      <c r="J55" s="32"/>
      <c r="K55" s="55"/>
      <c r="L55" s="32"/>
      <c r="M55" s="32"/>
      <c r="N55" s="32"/>
      <c r="O55" s="32"/>
    </row>
    <row r="56" ht="16.5" customHeight="1">
      <c r="A56" s="1"/>
      <c r="B56" s="32"/>
      <c r="C56" s="32"/>
      <c r="D56" s="32"/>
      <c r="E56" s="32"/>
      <c r="F56" s="32"/>
      <c r="G56" s="32"/>
      <c r="H56" s="32"/>
      <c r="I56" s="32"/>
      <c r="J56" s="32"/>
      <c r="K56" s="55"/>
      <c r="L56" s="32"/>
      <c r="M56" s="32"/>
      <c r="N56" s="32"/>
      <c r="O56" s="32"/>
    </row>
    <row r="57" ht="16.5" customHeight="1">
      <c r="A57" s="1"/>
      <c r="B57" s="32"/>
      <c r="C57" s="32"/>
      <c r="D57" s="32"/>
      <c r="E57" s="32"/>
      <c r="F57" s="32"/>
      <c r="G57" s="32"/>
      <c r="H57" s="32"/>
      <c r="I57" s="32"/>
      <c r="J57" s="32"/>
      <c r="K57" s="55"/>
      <c r="L57" s="32"/>
      <c r="M57" s="32"/>
      <c r="N57" s="32"/>
      <c r="O57" s="32"/>
    </row>
    <row r="58" ht="16.5" customHeight="1">
      <c r="A58" s="1"/>
      <c r="B58" s="32"/>
      <c r="C58" s="32"/>
      <c r="D58" s="32"/>
      <c r="E58" s="32"/>
      <c r="F58" s="32"/>
      <c r="G58" s="32"/>
      <c r="H58" s="32"/>
      <c r="I58" s="32"/>
      <c r="J58" s="32"/>
      <c r="K58" s="55"/>
      <c r="L58" s="32"/>
      <c r="M58" s="32"/>
      <c r="N58" s="32"/>
      <c r="O58" s="32"/>
    </row>
    <row r="59" ht="16.5" customHeight="1">
      <c r="A59" s="1"/>
      <c r="B59" s="32"/>
      <c r="C59" s="32"/>
      <c r="D59" s="32"/>
      <c r="E59" s="32"/>
      <c r="F59" s="32"/>
      <c r="G59" s="32"/>
      <c r="H59" s="32"/>
      <c r="I59" s="32"/>
      <c r="J59" s="32"/>
      <c r="K59" s="55"/>
      <c r="L59" s="32"/>
      <c r="M59" s="32"/>
      <c r="N59" s="32"/>
      <c r="O59" s="32"/>
    </row>
    <row r="60" ht="16.5" customHeight="1">
      <c r="A60" s="1"/>
      <c r="B60" s="32"/>
      <c r="C60" s="32"/>
      <c r="D60" s="32"/>
      <c r="E60" s="32"/>
      <c r="F60" s="32"/>
      <c r="G60" s="32"/>
      <c r="H60" s="32"/>
      <c r="I60" s="32"/>
      <c r="J60" s="32"/>
      <c r="K60" s="55"/>
      <c r="L60" s="32"/>
      <c r="M60" s="32"/>
      <c r="N60" s="32"/>
      <c r="O60" s="3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O$60"/>
  <conditionalFormatting sqref="C7:C60">
    <cfRule type="expression" dxfId="6" priority="1">
      <formula>AND($B7&lt;&gt;"",$C7="")</formula>
    </cfRule>
  </conditionalFormatting>
  <dataValidations>
    <dataValidation type="list" allowBlank="1" sqref="F7:F60">
      <formula1>"Bride,Groom,Both"</formula1>
    </dataValidation>
    <dataValidation type="list" allowBlank="1" sqref="H7:H60 M7:N60">
      <formula1>"Yes,No,N/A"</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36.43"/>
    <col customWidth="1" min="4" max="4" width="11.86"/>
    <col customWidth="1" min="5" max="5" width="25.86"/>
    <col customWidth="1" min="6" max="10" width="12.86"/>
    <col customWidth="1" min="11" max="12" width="14.57"/>
    <col customWidth="1" min="13" max="13" width="15.0"/>
    <col customWidth="1" min="14" max="14" width="32.14"/>
    <col customWidth="1" min="15" max="16" width="13.86"/>
  </cols>
  <sheetData>
    <row r="1" ht="16.5" customHeight="1">
      <c r="A1" s="1"/>
      <c r="B1" s="1"/>
      <c r="C1" s="1"/>
      <c r="D1" s="1"/>
      <c r="E1" s="1"/>
      <c r="F1" s="1"/>
      <c r="G1" s="1"/>
      <c r="H1" s="1"/>
      <c r="I1" s="1"/>
      <c r="J1" s="1"/>
      <c r="K1" s="1"/>
      <c r="L1" s="1"/>
      <c r="M1" s="1"/>
      <c r="N1" s="1"/>
      <c r="O1" s="1"/>
      <c r="P1" s="1"/>
    </row>
    <row r="2" ht="33.75" customHeight="1">
      <c r="A2" s="2"/>
      <c r="B2" s="2" t="s">
        <v>1779</v>
      </c>
      <c r="C2" s="2"/>
      <c r="D2" s="2"/>
      <c r="E2" s="2"/>
      <c r="F2" s="2"/>
      <c r="G2" s="2"/>
      <c r="H2" s="2"/>
      <c r="I2" s="2"/>
      <c r="J2" s="2"/>
      <c r="K2" s="2"/>
      <c r="L2" s="2"/>
      <c r="M2" s="2"/>
      <c r="N2" s="2"/>
      <c r="O2" s="12"/>
      <c r="P2" s="12"/>
    </row>
    <row r="3" ht="15.75" customHeight="1">
      <c r="A3" s="3"/>
      <c r="B3" s="3" t="s">
        <v>1780</v>
      </c>
      <c r="C3" s="3"/>
      <c r="D3" s="3"/>
      <c r="E3" s="3"/>
      <c r="F3" s="3"/>
      <c r="G3" s="3"/>
      <c r="H3" s="3"/>
      <c r="I3" s="3"/>
      <c r="J3" s="3"/>
      <c r="K3" s="3"/>
      <c r="L3" s="3"/>
      <c r="M3" s="3"/>
      <c r="N3" s="3"/>
      <c r="O3" s="3"/>
      <c r="P3" s="3"/>
    </row>
    <row r="4" ht="16.5" customHeight="1">
      <c r="A4" s="1"/>
      <c r="B4" s="1"/>
      <c r="C4" s="1"/>
      <c r="D4" s="1"/>
      <c r="E4" s="1"/>
      <c r="F4" s="1"/>
      <c r="G4" s="1"/>
      <c r="H4" s="1"/>
      <c r="I4" s="1"/>
      <c r="J4" s="1"/>
      <c r="K4" s="1"/>
      <c r="L4" s="1"/>
      <c r="M4" s="1"/>
      <c r="N4" s="1"/>
      <c r="O4" s="1"/>
      <c r="P4" s="1"/>
    </row>
    <row r="5" ht="21.75" customHeight="1">
      <c r="A5" s="5"/>
      <c r="B5" s="8" t="s">
        <v>1781</v>
      </c>
      <c r="C5" s="8"/>
      <c r="D5" s="8"/>
      <c r="E5" s="8"/>
      <c r="F5" s="8"/>
      <c r="G5" s="8"/>
      <c r="H5" s="8"/>
      <c r="I5" s="8"/>
      <c r="J5" s="8"/>
      <c r="K5" s="8"/>
      <c r="L5" s="8"/>
      <c r="M5" s="8"/>
      <c r="N5" s="8"/>
      <c r="O5" s="5"/>
      <c r="P5" s="5"/>
    </row>
    <row r="6" ht="30.0" customHeight="1">
      <c r="A6" s="16"/>
      <c r="B6" s="17" t="s">
        <v>1782</v>
      </c>
      <c r="C6" s="17" t="s">
        <v>1783</v>
      </c>
      <c r="D6" s="17" t="s">
        <v>1784</v>
      </c>
      <c r="E6" s="17" t="s">
        <v>1785</v>
      </c>
      <c r="F6" s="17" t="s">
        <v>1786</v>
      </c>
      <c r="G6" s="17" t="s">
        <v>1787</v>
      </c>
      <c r="H6" s="17" t="s">
        <v>1788</v>
      </c>
      <c r="I6" s="17" t="s">
        <v>1789</v>
      </c>
      <c r="J6" s="17" t="s">
        <v>1790</v>
      </c>
      <c r="K6" s="17" t="s">
        <v>1233</v>
      </c>
      <c r="L6" s="17" t="s">
        <v>77</v>
      </c>
      <c r="M6" s="17" t="s">
        <v>88</v>
      </c>
      <c r="N6" s="17" t="s">
        <v>50</v>
      </c>
      <c r="O6" s="16"/>
      <c r="P6" s="16"/>
    </row>
    <row r="7" ht="16.5" customHeight="1">
      <c r="A7" s="1"/>
      <c r="B7" s="32" t="s">
        <v>1256</v>
      </c>
      <c r="C7" s="32" t="s">
        <v>394</v>
      </c>
      <c r="D7" s="32" t="s">
        <v>128</v>
      </c>
      <c r="E7" s="60"/>
      <c r="F7" s="24"/>
      <c r="G7" s="24"/>
      <c r="H7" s="24"/>
      <c r="I7" s="32"/>
      <c r="J7" s="24"/>
      <c r="K7" s="38"/>
      <c r="L7" s="107"/>
      <c r="M7" s="32" t="s">
        <v>117</v>
      </c>
      <c r="N7" s="32"/>
      <c r="O7" s="1"/>
      <c r="P7" s="1"/>
    </row>
    <row r="8" ht="16.5" customHeight="1">
      <c r="A8" s="1"/>
      <c r="B8" s="32" t="s">
        <v>1256</v>
      </c>
      <c r="C8" s="32" t="s">
        <v>1791</v>
      </c>
      <c r="D8" s="32" t="s">
        <v>128</v>
      </c>
      <c r="E8" s="60"/>
      <c r="F8" s="24"/>
      <c r="G8" s="24"/>
      <c r="H8" s="24"/>
      <c r="I8" s="32"/>
      <c r="J8" s="24"/>
      <c r="K8" s="38"/>
      <c r="L8" s="107"/>
      <c r="M8" s="32" t="s">
        <v>117</v>
      </c>
      <c r="N8" s="32"/>
      <c r="O8" s="1"/>
      <c r="P8" s="1"/>
    </row>
    <row r="9" ht="16.5" customHeight="1">
      <c r="A9" s="1"/>
      <c r="B9" s="32" t="s">
        <v>1256</v>
      </c>
      <c r="C9" s="32" t="s">
        <v>399</v>
      </c>
      <c r="D9" s="32" t="s">
        <v>240</v>
      </c>
      <c r="E9" s="60"/>
      <c r="F9" s="24"/>
      <c r="G9" s="24"/>
      <c r="H9" s="24"/>
      <c r="I9" s="32"/>
      <c r="J9" s="24"/>
      <c r="K9" s="38"/>
      <c r="L9" s="107"/>
      <c r="M9" s="32" t="s">
        <v>117</v>
      </c>
      <c r="N9" s="32"/>
      <c r="O9" s="1"/>
      <c r="P9" s="1"/>
    </row>
    <row r="10" ht="16.5" customHeight="1">
      <c r="A10" s="1"/>
      <c r="B10" s="32" t="s">
        <v>1256</v>
      </c>
      <c r="C10" s="32" t="s">
        <v>404</v>
      </c>
      <c r="D10" s="32" t="s">
        <v>128</v>
      </c>
      <c r="E10" s="60"/>
      <c r="F10" s="24"/>
      <c r="G10" s="24"/>
      <c r="H10" s="24"/>
      <c r="I10" s="32"/>
      <c r="J10" s="24"/>
      <c r="K10" s="38"/>
      <c r="L10" s="107"/>
      <c r="M10" s="32" t="s">
        <v>117</v>
      </c>
      <c r="N10" s="32"/>
      <c r="O10" s="1"/>
      <c r="P10" s="1"/>
    </row>
    <row r="11" ht="16.5" customHeight="1">
      <c r="A11" s="1"/>
      <c r="B11" s="32" t="s">
        <v>1256</v>
      </c>
      <c r="C11" s="32" t="s">
        <v>407</v>
      </c>
      <c r="D11" s="32" t="s">
        <v>240</v>
      </c>
      <c r="E11" s="60"/>
      <c r="F11" s="24"/>
      <c r="G11" s="24"/>
      <c r="H11" s="24"/>
      <c r="I11" s="32"/>
      <c r="J11" s="24"/>
      <c r="K11" s="38"/>
      <c r="L11" s="107"/>
      <c r="M11" s="32" t="s">
        <v>117</v>
      </c>
      <c r="N11" s="32"/>
      <c r="O11" s="1"/>
      <c r="P11" s="1"/>
    </row>
    <row r="12" ht="16.5" customHeight="1">
      <c r="A12" s="1"/>
      <c r="B12" s="32" t="s">
        <v>1256</v>
      </c>
      <c r="C12" s="32" t="s">
        <v>1792</v>
      </c>
      <c r="D12" s="32" t="s">
        <v>128</v>
      </c>
      <c r="E12" s="60"/>
      <c r="F12" s="24"/>
      <c r="G12" s="24"/>
      <c r="H12" s="24"/>
      <c r="I12" s="32"/>
      <c r="J12" s="24"/>
      <c r="K12" s="38"/>
      <c r="L12" s="107"/>
      <c r="M12" s="32" t="s">
        <v>117</v>
      </c>
      <c r="N12" s="32"/>
      <c r="O12" s="1"/>
      <c r="P12" s="1"/>
    </row>
    <row r="13" ht="16.5" customHeight="1">
      <c r="A13" s="1"/>
      <c r="B13" s="32" t="s">
        <v>1256</v>
      </c>
      <c r="C13" s="32" t="s">
        <v>1793</v>
      </c>
      <c r="D13" s="32" t="s">
        <v>128</v>
      </c>
      <c r="E13" s="60"/>
      <c r="F13" s="24"/>
      <c r="G13" s="24"/>
      <c r="H13" s="24"/>
      <c r="I13" s="32"/>
      <c r="J13" s="24"/>
      <c r="K13" s="38"/>
      <c r="L13" s="107"/>
      <c r="M13" s="32" t="s">
        <v>117</v>
      </c>
      <c r="N13" s="32"/>
      <c r="O13" s="1"/>
      <c r="P13" s="1"/>
    </row>
    <row r="14" ht="16.5" customHeight="1">
      <c r="A14" s="1"/>
      <c r="B14" s="32" t="s">
        <v>129</v>
      </c>
      <c r="C14" s="32" t="s">
        <v>435</v>
      </c>
      <c r="D14" s="32" t="s">
        <v>128</v>
      </c>
      <c r="E14" s="60"/>
      <c r="F14" s="24"/>
      <c r="G14" s="24"/>
      <c r="H14" s="24"/>
      <c r="I14" s="32"/>
      <c r="J14" s="24"/>
      <c r="K14" s="38"/>
      <c r="L14" s="107"/>
      <c r="M14" s="32" t="s">
        <v>117</v>
      </c>
      <c r="N14" s="32"/>
      <c r="O14" s="1"/>
      <c r="P14" s="1"/>
    </row>
    <row r="15" ht="16.5" customHeight="1">
      <c r="A15" s="1"/>
      <c r="B15" s="32" t="s">
        <v>129</v>
      </c>
      <c r="C15" s="32" t="s">
        <v>437</v>
      </c>
      <c r="D15" s="32" t="s">
        <v>128</v>
      </c>
      <c r="E15" s="60"/>
      <c r="F15" s="24"/>
      <c r="G15" s="24"/>
      <c r="H15" s="24"/>
      <c r="I15" s="32"/>
      <c r="J15" s="24"/>
      <c r="K15" s="38"/>
      <c r="L15" s="107"/>
      <c r="M15" s="32" t="s">
        <v>117</v>
      </c>
      <c r="N15" s="32"/>
      <c r="O15" s="1"/>
      <c r="P15" s="1"/>
    </row>
    <row r="16" ht="16.5" customHeight="1">
      <c r="A16" s="1"/>
      <c r="B16" s="32" t="s">
        <v>129</v>
      </c>
      <c r="C16" s="32" t="s">
        <v>439</v>
      </c>
      <c r="D16" s="32" t="s">
        <v>128</v>
      </c>
      <c r="E16" s="60"/>
      <c r="F16" s="24"/>
      <c r="G16" s="24"/>
      <c r="H16" s="24"/>
      <c r="I16" s="32"/>
      <c r="J16" s="24"/>
      <c r="K16" s="38"/>
      <c r="L16" s="107"/>
      <c r="M16" s="32" t="s">
        <v>117</v>
      </c>
      <c r="N16" s="32"/>
      <c r="O16" s="1"/>
      <c r="P16" s="1"/>
    </row>
    <row r="17" ht="16.5" customHeight="1">
      <c r="A17" s="1"/>
      <c r="B17" s="32" t="s">
        <v>129</v>
      </c>
      <c r="C17" s="32" t="s">
        <v>441</v>
      </c>
      <c r="D17" s="32" t="s">
        <v>128</v>
      </c>
      <c r="E17" s="60"/>
      <c r="F17" s="24"/>
      <c r="G17" s="24"/>
      <c r="H17" s="24"/>
      <c r="I17" s="32"/>
      <c r="J17" s="24"/>
      <c r="K17" s="38"/>
      <c r="L17" s="107"/>
      <c r="M17" s="32" t="s">
        <v>117</v>
      </c>
      <c r="N17" s="32"/>
      <c r="O17" s="1"/>
      <c r="P17" s="1"/>
    </row>
    <row r="18" ht="16.5" customHeight="1">
      <c r="A18" s="1"/>
      <c r="B18" s="32" t="s">
        <v>129</v>
      </c>
      <c r="C18" s="32" t="s">
        <v>443</v>
      </c>
      <c r="D18" s="32" t="s">
        <v>128</v>
      </c>
      <c r="E18" s="60"/>
      <c r="F18" s="24"/>
      <c r="G18" s="24"/>
      <c r="H18" s="24"/>
      <c r="I18" s="32"/>
      <c r="J18" s="24"/>
      <c r="K18" s="38"/>
      <c r="L18" s="107"/>
      <c r="M18" s="32" t="s">
        <v>117</v>
      </c>
      <c r="N18" s="32"/>
      <c r="O18" s="1"/>
      <c r="P18" s="1"/>
    </row>
    <row r="19" ht="16.5" customHeight="1">
      <c r="A19" s="1"/>
      <c r="B19" s="32" t="s">
        <v>129</v>
      </c>
      <c r="C19" s="32" t="s">
        <v>1794</v>
      </c>
      <c r="D19" s="32" t="s">
        <v>128</v>
      </c>
      <c r="E19" s="60"/>
      <c r="F19" s="24"/>
      <c r="G19" s="24"/>
      <c r="H19" s="24"/>
      <c r="I19" s="32"/>
      <c r="J19" s="24"/>
      <c r="K19" s="38"/>
      <c r="L19" s="107"/>
      <c r="M19" s="32" t="s">
        <v>117</v>
      </c>
      <c r="N19" s="32"/>
      <c r="O19" s="1"/>
      <c r="P19" s="1"/>
    </row>
    <row r="20" ht="16.5" customHeight="1">
      <c r="A20" s="1"/>
      <c r="B20" s="32" t="s">
        <v>129</v>
      </c>
      <c r="C20" s="32" t="s">
        <v>1795</v>
      </c>
      <c r="D20" s="32" t="s">
        <v>240</v>
      </c>
      <c r="E20" s="60"/>
      <c r="F20" s="24"/>
      <c r="G20" s="24"/>
      <c r="H20" s="24"/>
      <c r="I20" s="32"/>
      <c r="J20" s="24"/>
      <c r="K20" s="38"/>
      <c r="L20" s="107"/>
      <c r="M20" s="32" t="s">
        <v>117</v>
      </c>
      <c r="N20" s="32"/>
      <c r="O20" s="1"/>
      <c r="P20" s="1"/>
    </row>
    <row r="21" ht="16.5" customHeight="1">
      <c r="A21" s="1"/>
      <c r="B21" s="32" t="s">
        <v>129</v>
      </c>
      <c r="C21" s="32" t="s">
        <v>447</v>
      </c>
      <c r="D21" s="32" t="s">
        <v>240</v>
      </c>
      <c r="E21" s="60"/>
      <c r="F21" s="24"/>
      <c r="G21" s="24"/>
      <c r="H21" s="24"/>
      <c r="I21" s="32"/>
      <c r="J21" s="24"/>
      <c r="K21" s="38"/>
      <c r="L21" s="107"/>
      <c r="M21" s="32" t="s">
        <v>117</v>
      </c>
      <c r="N21" s="32"/>
      <c r="O21" s="1"/>
      <c r="P21" s="1"/>
    </row>
    <row r="22" ht="16.5" customHeight="1">
      <c r="A22" s="1"/>
      <c r="B22" s="32" t="s">
        <v>1760</v>
      </c>
      <c r="C22" s="32" t="s">
        <v>1796</v>
      </c>
      <c r="D22" s="32" t="s">
        <v>128</v>
      </c>
      <c r="E22" s="60"/>
      <c r="F22" s="24"/>
      <c r="G22" s="24"/>
      <c r="H22" s="24"/>
      <c r="I22" s="32"/>
      <c r="J22" s="24"/>
      <c r="K22" s="38"/>
      <c r="L22" s="107"/>
      <c r="M22" s="32" t="s">
        <v>117</v>
      </c>
      <c r="N22" s="32"/>
      <c r="O22" s="1"/>
      <c r="P22" s="1"/>
    </row>
    <row r="23" ht="16.5" customHeight="1">
      <c r="A23" s="1"/>
      <c r="B23" s="32" t="s">
        <v>1761</v>
      </c>
      <c r="C23" s="32" t="s">
        <v>1796</v>
      </c>
      <c r="D23" s="32" t="s">
        <v>128</v>
      </c>
      <c r="E23" s="60"/>
      <c r="F23" s="24"/>
      <c r="G23" s="24"/>
      <c r="H23" s="24"/>
      <c r="I23" s="32"/>
      <c r="J23" s="24"/>
      <c r="K23" s="38"/>
      <c r="L23" s="107"/>
      <c r="M23" s="32" t="s">
        <v>117</v>
      </c>
      <c r="N23" s="32"/>
      <c r="O23" s="1"/>
      <c r="P23" s="1"/>
    </row>
    <row r="24" ht="16.5" customHeight="1">
      <c r="A24" s="1"/>
      <c r="B24" s="32" t="s">
        <v>1762</v>
      </c>
      <c r="C24" s="32" t="s">
        <v>1796</v>
      </c>
      <c r="D24" s="32" t="s">
        <v>128</v>
      </c>
      <c r="E24" s="60"/>
      <c r="F24" s="24"/>
      <c r="G24" s="24"/>
      <c r="H24" s="24"/>
      <c r="I24" s="32"/>
      <c r="J24" s="24"/>
      <c r="K24" s="38"/>
      <c r="L24" s="107"/>
      <c r="M24" s="32" t="s">
        <v>117</v>
      </c>
      <c r="N24" s="32"/>
      <c r="O24" s="1"/>
      <c r="P24" s="1"/>
    </row>
    <row r="25" ht="16.5" customHeight="1">
      <c r="A25" s="1"/>
      <c r="B25" s="32" t="s">
        <v>1763</v>
      </c>
      <c r="C25" s="32" t="s">
        <v>1796</v>
      </c>
      <c r="D25" s="32" t="s">
        <v>128</v>
      </c>
      <c r="E25" s="60"/>
      <c r="F25" s="24"/>
      <c r="G25" s="24"/>
      <c r="H25" s="24"/>
      <c r="I25" s="32"/>
      <c r="J25" s="24"/>
      <c r="K25" s="38"/>
      <c r="L25" s="107"/>
      <c r="M25" s="32" t="s">
        <v>117</v>
      </c>
      <c r="N25" s="32"/>
      <c r="O25" s="1"/>
      <c r="P25" s="1"/>
    </row>
    <row r="26" ht="16.5" customHeight="1">
      <c r="A26" s="1"/>
      <c r="B26" s="32" t="s">
        <v>1764</v>
      </c>
      <c r="C26" s="32" t="s">
        <v>1796</v>
      </c>
      <c r="D26" s="32" t="s">
        <v>128</v>
      </c>
      <c r="E26" s="60"/>
      <c r="F26" s="24"/>
      <c r="G26" s="24"/>
      <c r="H26" s="24"/>
      <c r="I26" s="32"/>
      <c r="J26" s="24"/>
      <c r="K26" s="38"/>
      <c r="L26" s="107"/>
      <c r="M26" s="32" t="s">
        <v>117</v>
      </c>
      <c r="N26" s="32"/>
      <c r="O26" s="1"/>
      <c r="P26" s="1"/>
    </row>
    <row r="27" ht="16.5" customHeight="1">
      <c r="A27" s="1"/>
      <c r="B27" s="32" t="s">
        <v>1765</v>
      </c>
      <c r="C27" s="32" t="s">
        <v>1796</v>
      </c>
      <c r="D27" s="32" t="s">
        <v>128</v>
      </c>
      <c r="E27" s="60"/>
      <c r="F27" s="24"/>
      <c r="G27" s="24"/>
      <c r="H27" s="24"/>
      <c r="I27" s="32"/>
      <c r="J27" s="24"/>
      <c r="K27" s="38"/>
      <c r="L27" s="107"/>
      <c r="M27" s="32" t="s">
        <v>117</v>
      </c>
      <c r="N27" s="32"/>
      <c r="O27" s="1"/>
      <c r="P27" s="1"/>
    </row>
    <row r="28" ht="16.5" customHeight="1">
      <c r="A28" s="1"/>
      <c r="B28" s="32" t="s">
        <v>1766</v>
      </c>
      <c r="C28" s="32" t="s">
        <v>1796</v>
      </c>
      <c r="D28" s="32" t="s">
        <v>240</v>
      </c>
      <c r="E28" s="60"/>
      <c r="F28" s="24"/>
      <c r="G28" s="24"/>
      <c r="H28" s="24"/>
      <c r="I28" s="32"/>
      <c r="J28" s="24"/>
      <c r="K28" s="38"/>
      <c r="L28" s="107"/>
      <c r="M28" s="32" t="s">
        <v>117</v>
      </c>
      <c r="N28" s="32"/>
      <c r="O28" s="1"/>
      <c r="P28" s="1"/>
    </row>
    <row r="29" ht="16.5" customHeight="1">
      <c r="A29" s="1"/>
      <c r="B29" s="32" t="s">
        <v>1767</v>
      </c>
      <c r="C29" s="32" t="s">
        <v>1796</v>
      </c>
      <c r="D29" s="32" t="s">
        <v>240</v>
      </c>
      <c r="E29" s="60"/>
      <c r="F29" s="24"/>
      <c r="G29" s="24"/>
      <c r="H29" s="24"/>
      <c r="I29" s="32"/>
      <c r="J29" s="24"/>
      <c r="K29" s="38"/>
      <c r="L29" s="107"/>
      <c r="M29" s="32" t="s">
        <v>117</v>
      </c>
      <c r="N29" s="32"/>
      <c r="O29" s="1"/>
      <c r="P29" s="1"/>
    </row>
    <row r="30" ht="16.5" customHeight="1">
      <c r="A30" s="1"/>
      <c r="B30" s="32" t="s">
        <v>1755</v>
      </c>
      <c r="C30" s="32" t="s">
        <v>1797</v>
      </c>
      <c r="D30" s="32" t="s">
        <v>128</v>
      </c>
      <c r="E30" s="60"/>
      <c r="F30" s="24"/>
      <c r="G30" s="24"/>
      <c r="H30" s="24"/>
      <c r="I30" s="32"/>
      <c r="J30" s="24"/>
      <c r="K30" s="38"/>
      <c r="L30" s="107"/>
      <c r="M30" s="32" t="s">
        <v>117</v>
      </c>
      <c r="N30" s="32"/>
      <c r="O30" s="1"/>
      <c r="P30" s="1"/>
    </row>
    <row r="31" ht="16.5" customHeight="1">
      <c r="A31" s="1"/>
      <c r="B31" s="32" t="s">
        <v>1757</v>
      </c>
      <c r="C31" s="32" t="s">
        <v>1797</v>
      </c>
      <c r="D31" s="32" t="s">
        <v>128</v>
      </c>
      <c r="E31" s="60"/>
      <c r="F31" s="24"/>
      <c r="G31" s="24"/>
      <c r="H31" s="24"/>
      <c r="I31" s="32"/>
      <c r="J31" s="24"/>
      <c r="K31" s="38"/>
      <c r="L31" s="107"/>
      <c r="M31" s="32" t="s">
        <v>117</v>
      </c>
      <c r="N31" s="32"/>
      <c r="O31" s="1"/>
      <c r="P31" s="1"/>
    </row>
    <row r="32" ht="16.5" customHeight="1">
      <c r="A32" s="1"/>
      <c r="B32" s="32" t="s">
        <v>1754</v>
      </c>
      <c r="C32" s="32" t="s">
        <v>1798</v>
      </c>
      <c r="D32" s="32" t="s">
        <v>128</v>
      </c>
      <c r="E32" s="60"/>
      <c r="F32" s="24"/>
      <c r="G32" s="24"/>
      <c r="H32" s="24"/>
      <c r="I32" s="32"/>
      <c r="J32" s="24"/>
      <c r="K32" s="38"/>
      <c r="L32" s="107"/>
      <c r="M32" s="32" t="s">
        <v>117</v>
      </c>
      <c r="N32" s="32"/>
      <c r="O32" s="1"/>
      <c r="P32" s="1"/>
    </row>
    <row r="33" ht="16.5" customHeight="1">
      <c r="A33" s="1"/>
      <c r="B33" s="32" t="s">
        <v>1756</v>
      </c>
      <c r="C33" s="32" t="s">
        <v>1798</v>
      </c>
      <c r="D33" s="32" t="s">
        <v>128</v>
      </c>
      <c r="E33" s="60"/>
      <c r="F33" s="24"/>
      <c r="G33" s="24"/>
      <c r="H33" s="24"/>
      <c r="I33" s="32"/>
      <c r="J33" s="24"/>
      <c r="K33" s="38"/>
      <c r="L33" s="107"/>
      <c r="M33" s="32" t="s">
        <v>117</v>
      </c>
      <c r="N33" s="32"/>
      <c r="O33" s="1"/>
      <c r="P33" s="1"/>
    </row>
    <row r="34" ht="16.5" customHeight="1">
      <c r="A34" s="1"/>
      <c r="B34" s="32"/>
      <c r="C34" s="32"/>
      <c r="D34" s="32"/>
      <c r="E34" s="60"/>
      <c r="F34" s="24"/>
      <c r="G34" s="24"/>
      <c r="H34" s="24"/>
      <c r="I34" s="32"/>
      <c r="J34" s="24"/>
      <c r="K34" s="38"/>
      <c r="L34" s="107"/>
      <c r="M34" s="32"/>
      <c r="N34" s="32"/>
      <c r="O34" s="1"/>
      <c r="P34" s="1"/>
    </row>
    <row r="35" ht="16.5" customHeight="1">
      <c r="A35" s="1"/>
      <c r="B35" s="32"/>
      <c r="C35" s="32"/>
      <c r="D35" s="32"/>
      <c r="E35" s="60"/>
      <c r="F35" s="24"/>
      <c r="G35" s="24"/>
      <c r="H35" s="24"/>
      <c r="I35" s="32"/>
      <c r="J35" s="24"/>
      <c r="K35" s="38"/>
      <c r="L35" s="107"/>
      <c r="M35" s="32"/>
      <c r="N35" s="32"/>
      <c r="O35" s="1"/>
      <c r="P35" s="1"/>
    </row>
    <row r="36" ht="16.5" customHeight="1">
      <c r="A36" s="1"/>
      <c r="B36" s="32"/>
      <c r="C36" s="32"/>
      <c r="D36" s="32"/>
      <c r="E36" s="60"/>
      <c r="F36" s="24"/>
      <c r="G36" s="24"/>
      <c r="H36" s="24"/>
      <c r="I36" s="32"/>
      <c r="J36" s="24"/>
      <c r="K36" s="38"/>
      <c r="L36" s="107"/>
      <c r="M36" s="32"/>
      <c r="N36" s="32"/>
      <c r="O36" s="1"/>
      <c r="P36" s="1"/>
    </row>
    <row r="37" ht="16.5" customHeight="1">
      <c r="A37" s="1"/>
      <c r="B37" s="32"/>
      <c r="C37" s="32"/>
      <c r="D37" s="32"/>
      <c r="E37" s="60"/>
      <c r="F37" s="24"/>
      <c r="G37" s="24"/>
      <c r="H37" s="24"/>
      <c r="I37" s="32"/>
      <c r="J37" s="24"/>
      <c r="K37" s="38"/>
      <c r="L37" s="107"/>
      <c r="M37" s="32"/>
      <c r="N37" s="32"/>
      <c r="O37" s="1"/>
      <c r="P37" s="1"/>
    </row>
    <row r="38" ht="16.5" customHeight="1">
      <c r="A38" s="1"/>
      <c r="B38" s="32"/>
      <c r="C38" s="32"/>
      <c r="D38" s="32"/>
      <c r="E38" s="60"/>
      <c r="F38" s="24"/>
      <c r="G38" s="24"/>
      <c r="H38" s="24"/>
      <c r="I38" s="32"/>
      <c r="J38" s="24"/>
      <c r="K38" s="38"/>
      <c r="L38" s="107"/>
      <c r="M38" s="32"/>
      <c r="N38" s="32"/>
      <c r="O38" s="1"/>
      <c r="P38" s="1"/>
    </row>
    <row r="39" ht="16.5" customHeight="1">
      <c r="A39" s="1"/>
      <c r="B39" s="32"/>
      <c r="C39" s="32"/>
      <c r="D39" s="32"/>
      <c r="E39" s="60"/>
      <c r="F39" s="32"/>
      <c r="G39" s="32"/>
      <c r="H39" s="32"/>
      <c r="I39" s="32"/>
      <c r="J39" s="32"/>
      <c r="K39" s="32"/>
      <c r="L39" s="60"/>
      <c r="M39" s="32"/>
      <c r="N39" s="32"/>
      <c r="O39" s="1"/>
      <c r="P39" s="1"/>
    </row>
    <row r="40" ht="16.5" customHeight="1">
      <c r="A40" s="1"/>
      <c r="B40" s="32"/>
      <c r="C40" s="32"/>
      <c r="D40" s="32"/>
      <c r="E40" s="60"/>
      <c r="F40" s="32"/>
      <c r="G40" s="32"/>
      <c r="H40" s="32"/>
      <c r="I40" s="32"/>
      <c r="J40" s="32"/>
      <c r="K40" s="32"/>
      <c r="L40" s="60"/>
      <c r="M40" s="32"/>
      <c r="N40" s="32"/>
      <c r="O40" s="1"/>
      <c r="P40" s="1"/>
    </row>
    <row r="41" ht="21.75" customHeight="1">
      <c r="A41" s="5"/>
      <c r="B41" s="8" t="s">
        <v>1809</v>
      </c>
      <c r="C41" s="8"/>
      <c r="D41" s="61"/>
      <c r="E41" s="61"/>
      <c r="F41" s="108">
        <f>SUM(F43:F60)</f>
        <v>0</v>
      </c>
      <c r="G41" s="8"/>
      <c r="H41" s="8"/>
      <c r="I41" s="61"/>
      <c r="J41" s="8"/>
      <c r="K41" s="8"/>
      <c r="L41" s="61"/>
      <c r="M41" s="61"/>
      <c r="N41" s="8"/>
      <c r="O41" s="5"/>
      <c r="P41" s="5"/>
    </row>
    <row r="42" ht="30.0" customHeight="1">
      <c r="A42" s="16"/>
      <c r="B42" s="17" t="s">
        <v>1783</v>
      </c>
      <c r="C42" s="17" t="s">
        <v>1812</v>
      </c>
      <c r="D42" s="17" t="s">
        <v>1813</v>
      </c>
      <c r="E42" s="17" t="s">
        <v>1814</v>
      </c>
      <c r="F42" s="17" t="s">
        <v>1815</v>
      </c>
      <c r="G42" s="17" t="s">
        <v>190</v>
      </c>
      <c r="H42" s="17" t="s">
        <v>1817</v>
      </c>
      <c r="I42" s="17" t="s">
        <v>1818</v>
      </c>
      <c r="J42" s="17" t="s">
        <v>1819</v>
      </c>
      <c r="K42" s="17" t="s">
        <v>1820</v>
      </c>
      <c r="L42" s="17" t="s">
        <v>1821</v>
      </c>
      <c r="M42" s="17" t="s">
        <v>1822</v>
      </c>
      <c r="N42" s="17" t="s">
        <v>50</v>
      </c>
      <c r="O42" s="16"/>
      <c r="P42" s="16"/>
    </row>
    <row r="43" ht="16.5" customHeight="1">
      <c r="A43" s="1"/>
      <c r="B43" s="32" t="s">
        <v>454</v>
      </c>
      <c r="C43" s="32"/>
      <c r="D43" s="32"/>
      <c r="E43" s="32"/>
      <c r="F43" s="38"/>
      <c r="G43" s="38"/>
      <c r="H43" s="32"/>
      <c r="I43" s="32"/>
      <c r="J43" s="24"/>
      <c r="K43" s="24"/>
      <c r="L43" s="32" t="s">
        <v>1824</v>
      </c>
      <c r="M43" s="32"/>
      <c r="N43" s="32"/>
      <c r="O43" s="1"/>
      <c r="P43" s="1"/>
    </row>
    <row r="44" ht="16.5" customHeight="1">
      <c r="A44" s="1"/>
      <c r="B44" s="32" t="s">
        <v>456</v>
      </c>
      <c r="C44" s="32"/>
      <c r="D44" s="32"/>
      <c r="E44" s="32"/>
      <c r="F44" s="38"/>
      <c r="G44" s="38"/>
      <c r="H44" s="32"/>
      <c r="I44" s="32"/>
      <c r="J44" s="24"/>
      <c r="K44" s="24"/>
      <c r="L44" s="32" t="s">
        <v>1824</v>
      </c>
      <c r="M44" s="32"/>
      <c r="N44" s="32"/>
      <c r="O44" s="1"/>
      <c r="P44" s="1"/>
    </row>
    <row r="45" ht="16.5" customHeight="1">
      <c r="A45" s="1"/>
      <c r="B45" s="32" t="s">
        <v>466</v>
      </c>
      <c r="C45" s="32"/>
      <c r="D45" s="32"/>
      <c r="E45" s="32"/>
      <c r="F45" s="38"/>
      <c r="G45" s="38"/>
      <c r="H45" s="32"/>
      <c r="I45" s="32"/>
      <c r="J45" s="24"/>
      <c r="K45" s="24"/>
      <c r="L45" s="32" t="s">
        <v>1824</v>
      </c>
      <c r="M45" s="32"/>
      <c r="N45" s="32"/>
      <c r="O45" s="1"/>
      <c r="P45" s="1"/>
    </row>
    <row r="46" ht="16.5" customHeight="1">
      <c r="A46" s="1"/>
      <c r="B46" s="32" t="s">
        <v>1827</v>
      </c>
      <c r="C46" s="32"/>
      <c r="D46" s="32"/>
      <c r="E46" s="32"/>
      <c r="F46" s="38"/>
      <c r="G46" s="38"/>
      <c r="H46" s="32"/>
      <c r="I46" s="32"/>
      <c r="J46" s="24"/>
      <c r="K46" s="24"/>
      <c r="L46" s="32" t="s">
        <v>1824</v>
      </c>
      <c r="M46" s="32"/>
      <c r="N46" s="32"/>
      <c r="O46" s="1"/>
      <c r="P46" s="1"/>
    </row>
    <row r="47" ht="16.5" customHeight="1">
      <c r="A47" s="1"/>
      <c r="B47" s="32" t="s">
        <v>1829</v>
      </c>
      <c r="C47" s="32"/>
      <c r="D47" s="32"/>
      <c r="E47" s="32"/>
      <c r="F47" s="38"/>
      <c r="G47" s="38"/>
      <c r="H47" s="32"/>
      <c r="I47" s="32"/>
      <c r="J47" s="24"/>
      <c r="K47" s="24"/>
      <c r="L47" s="32" t="s">
        <v>1824</v>
      </c>
      <c r="M47" s="32"/>
      <c r="N47" s="32"/>
      <c r="O47" s="1"/>
      <c r="P47" s="1"/>
    </row>
    <row r="48" ht="16.5" customHeight="1">
      <c r="A48" s="1"/>
      <c r="B48" s="32" t="s">
        <v>1831</v>
      </c>
      <c r="C48" s="32"/>
      <c r="D48" s="32"/>
      <c r="E48" s="32"/>
      <c r="F48" s="38"/>
      <c r="G48" s="38"/>
      <c r="H48" s="32"/>
      <c r="I48" s="32"/>
      <c r="J48" s="24"/>
      <c r="K48" s="24"/>
      <c r="L48" s="32" t="s">
        <v>1824</v>
      </c>
      <c r="M48" s="32"/>
      <c r="N48" s="32"/>
      <c r="O48" s="1"/>
      <c r="P48" s="1"/>
    </row>
    <row r="49" ht="16.5" customHeight="1">
      <c r="A49" s="1"/>
      <c r="B49" s="32" t="s">
        <v>477</v>
      </c>
      <c r="C49" s="32"/>
      <c r="D49" s="32"/>
      <c r="E49" s="32"/>
      <c r="F49" s="38"/>
      <c r="G49" s="38"/>
      <c r="H49" s="32"/>
      <c r="I49" s="32"/>
      <c r="J49" s="24"/>
      <c r="K49" s="24"/>
      <c r="L49" s="32" t="s">
        <v>1824</v>
      </c>
      <c r="M49" s="32"/>
      <c r="N49" s="32"/>
      <c r="O49" s="1"/>
      <c r="P49" s="1"/>
    </row>
    <row r="50" ht="16.5" customHeight="1">
      <c r="A50" s="1"/>
      <c r="B50" s="32" t="s">
        <v>1834</v>
      </c>
      <c r="C50" s="32"/>
      <c r="D50" s="32"/>
      <c r="E50" s="32"/>
      <c r="F50" s="38"/>
      <c r="G50" s="38"/>
      <c r="H50" s="32"/>
      <c r="I50" s="32"/>
      <c r="J50" s="24"/>
      <c r="K50" s="24"/>
      <c r="L50" s="32" t="s">
        <v>1824</v>
      </c>
      <c r="M50" s="32"/>
      <c r="N50" s="32"/>
      <c r="O50" s="1"/>
      <c r="P50" s="1"/>
    </row>
    <row r="51" ht="16.5" customHeight="1">
      <c r="A51" s="1"/>
      <c r="B51" s="32" t="s">
        <v>1836</v>
      </c>
      <c r="C51" s="32"/>
      <c r="D51" s="32"/>
      <c r="E51" s="32"/>
      <c r="F51" s="38"/>
      <c r="G51" s="38"/>
      <c r="H51" s="32"/>
      <c r="I51" s="32"/>
      <c r="J51" s="24"/>
      <c r="K51" s="24"/>
      <c r="L51" s="32" t="s">
        <v>1824</v>
      </c>
      <c r="M51" s="32"/>
      <c r="N51" s="32"/>
      <c r="O51" s="1"/>
      <c r="P51" s="1"/>
    </row>
    <row r="52" ht="16.5" customHeight="1">
      <c r="A52" s="1"/>
      <c r="B52" s="32" t="s">
        <v>1837</v>
      </c>
      <c r="C52" s="32"/>
      <c r="D52" s="32"/>
      <c r="E52" s="32"/>
      <c r="F52" s="38"/>
      <c r="G52" s="38"/>
      <c r="H52" s="32"/>
      <c r="I52" s="32"/>
      <c r="J52" s="24"/>
      <c r="K52" s="24"/>
      <c r="L52" s="32" t="s">
        <v>1824</v>
      </c>
      <c r="M52" s="32"/>
      <c r="N52" s="32"/>
      <c r="O52" s="1"/>
      <c r="P52" s="1"/>
    </row>
    <row r="53" ht="16.5" customHeight="1">
      <c r="A53" s="1"/>
      <c r="B53" s="32" t="s">
        <v>1838</v>
      </c>
      <c r="C53" s="32"/>
      <c r="D53" s="32"/>
      <c r="E53" s="32"/>
      <c r="F53" s="38"/>
      <c r="G53" s="38"/>
      <c r="H53" s="32"/>
      <c r="I53" s="32"/>
      <c r="J53" s="24"/>
      <c r="K53" s="24"/>
      <c r="L53" s="32" t="s">
        <v>1824</v>
      </c>
      <c r="M53" s="32"/>
      <c r="N53" s="32"/>
      <c r="O53" s="1"/>
      <c r="P53" s="1"/>
    </row>
    <row r="54" ht="16.5" customHeight="1">
      <c r="A54" s="1"/>
      <c r="B54" s="32" t="s">
        <v>1840</v>
      </c>
      <c r="C54" s="32"/>
      <c r="D54" s="32"/>
      <c r="E54" s="32"/>
      <c r="F54" s="38"/>
      <c r="G54" s="38"/>
      <c r="H54" s="32"/>
      <c r="I54" s="32"/>
      <c r="J54" s="24"/>
      <c r="K54" s="24"/>
      <c r="L54" s="32" t="s">
        <v>1824</v>
      </c>
      <c r="M54" s="32"/>
      <c r="N54" s="32"/>
      <c r="O54" s="1"/>
      <c r="P54" s="1"/>
    </row>
    <row r="55" ht="16.5" customHeight="1">
      <c r="A55" s="1"/>
      <c r="B55" s="32" t="s">
        <v>1842</v>
      </c>
      <c r="C55" s="32"/>
      <c r="D55" s="32"/>
      <c r="E55" s="32"/>
      <c r="F55" s="38"/>
      <c r="G55" s="38"/>
      <c r="H55" s="32"/>
      <c r="I55" s="32"/>
      <c r="J55" s="24"/>
      <c r="K55" s="24"/>
      <c r="L55" s="32" t="s">
        <v>1824</v>
      </c>
      <c r="M55" s="32"/>
      <c r="N55" s="32"/>
      <c r="O55" s="1"/>
      <c r="P55" s="1"/>
    </row>
    <row r="56" ht="16.5" customHeight="1">
      <c r="A56" s="1"/>
      <c r="B56" s="32"/>
      <c r="C56" s="32"/>
      <c r="D56" s="32"/>
      <c r="E56" s="32"/>
      <c r="F56" s="38"/>
      <c r="G56" s="38"/>
      <c r="H56" s="32"/>
      <c r="I56" s="32"/>
      <c r="J56" s="24"/>
      <c r="K56" s="24"/>
      <c r="L56" s="32"/>
      <c r="M56" s="32"/>
      <c r="N56" s="32"/>
      <c r="O56" s="1"/>
      <c r="P56" s="1"/>
    </row>
    <row r="57" ht="16.5" customHeight="1">
      <c r="A57" s="1"/>
      <c r="B57" s="32"/>
      <c r="C57" s="32"/>
      <c r="D57" s="32"/>
      <c r="E57" s="32"/>
      <c r="F57" s="38"/>
      <c r="G57" s="38"/>
      <c r="H57" s="32"/>
      <c r="I57" s="32"/>
      <c r="J57" s="24"/>
      <c r="K57" s="24"/>
      <c r="L57" s="32"/>
      <c r="M57" s="32"/>
      <c r="N57" s="32"/>
      <c r="O57" s="1"/>
      <c r="P57" s="1"/>
    </row>
    <row r="58" ht="16.5" customHeight="1">
      <c r="A58" s="1"/>
      <c r="B58" s="32"/>
      <c r="C58" s="32"/>
      <c r="D58" s="32"/>
      <c r="E58" s="32"/>
      <c r="F58" s="38"/>
      <c r="G58" s="38"/>
      <c r="H58" s="32"/>
      <c r="I58" s="32"/>
      <c r="J58" s="24"/>
      <c r="K58" s="24"/>
      <c r="L58" s="32"/>
      <c r="M58" s="32"/>
      <c r="N58" s="32"/>
      <c r="O58" s="1"/>
      <c r="P58" s="1"/>
    </row>
    <row r="59" ht="16.5" customHeight="1">
      <c r="A59" s="1"/>
      <c r="B59" s="32"/>
      <c r="C59" s="32"/>
      <c r="D59" s="32"/>
      <c r="E59" s="32"/>
      <c r="F59" s="38"/>
      <c r="G59" s="38"/>
      <c r="H59" s="32"/>
      <c r="I59" s="32"/>
      <c r="J59" s="24"/>
      <c r="K59" s="24"/>
      <c r="L59" s="32"/>
      <c r="M59" s="32"/>
      <c r="N59" s="32"/>
      <c r="O59" s="1"/>
      <c r="P59" s="1"/>
    </row>
    <row r="60" ht="16.5" customHeight="1">
      <c r="A60" s="1"/>
      <c r="B60" s="32"/>
      <c r="C60" s="32"/>
      <c r="D60" s="32"/>
      <c r="E60" s="32"/>
      <c r="F60" s="38"/>
      <c r="G60" s="38"/>
      <c r="H60" s="32"/>
      <c r="I60" s="32"/>
      <c r="J60" s="24"/>
      <c r="K60" s="24"/>
      <c r="L60" s="32"/>
      <c r="M60" s="32"/>
      <c r="N60" s="32"/>
      <c r="O60" s="1"/>
      <c r="P60" s="1"/>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N60">
    <cfRule type="expression" dxfId="11" priority="1" stopIfTrue="1">
      <formula>$D7="Not Applicable"</formula>
    </cfRule>
  </conditionalFormatting>
  <conditionalFormatting sqref="B7:N38">
    <cfRule type="expression" dxfId="3" priority="2">
      <formula>$M7="Completed"</formula>
    </cfRule>
  </conditionalFormatting>
  <conditionalFormatting sqref="B43:N60">
    <cfRule type="expression" dxfId="6" priority="3">
      <formula>AND($E43="Rented",$L43&lt;&gt;"Yes")</formula>
    </cfRule>
  </conditionalFormatting>
  <dataValidations>
    <dataValidation type="list" allowBlank="1" sqref="M7:M38">
      <formula1>"Not Started,In Progress,Waiting,Completed,Cancelled"</formula1>
    </dataValidation>
    <dataValidation type="list" allowBlank="1" sqref="I7:I38">
      <formula1>"Yes,No,Done"</formula1>
    </dataValidation>
    <dataValidation type="list" allowBlank="1" sqref="E43:E60">
      <formula1>"Purchased,Rented,Borrowed,Family Owned,Gift"</formula1>
    </dataValidation>
    <dataValidation type="list" allowBlank="1" sqref="L43:M60">
      <formula1>"Yes,No,N/A"</formula1>
    </dataValidation>
    <dataValidation type="list" allowBlank="1" sqref="D7:D38">
      <formula1>"Required,Optional,Not Applicable,Completed"</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42.86"/>
    <col customWidth="1" min="4" max="4" width="11.86"/>
    <col customWidth="1" min="5" max="5" width="25.86"/>
    <col customWidth="1" min="6" max="6" width="12.86"/>
    <col customWidth="1" min="7" max="7" width="11.86"/>
    <col customWidth="1" min="8" max="8" width="21.43"/>
    <col customWidth="1" min="9" max="9" width="11.86"/>
    <col customWidth="1" min="10" max="10" width="14.57"/>
    <col customWidth="1" min="11" max="11" width="9.71"/>
    <col customWidth="1" min="12" max="12" width="13.86"/>
    <col customWidth="1" min="13" max="13" width="30.0"/>
  </cols>
  <sheetData>
    <row r="1" ht="16.5" customHeight="1">
      <c r="A1" s="1"/>
      <c r="B1" s="1"/>
      <c r="C1" s="1"/>
      <c r="D1" s="1"/>
      <c r="E1" s="1"/>
      <c r="F1" s="1"/>
      <c r="G1" s="1"/>
      <c r="H1" s="1"/>
      <c r="I1" s="1"/>
      <c r="J1" s="1"/>
      <c r="K1" s="1"/>
      <c r="L1" s="1"/>
      <c r="M1" s="1"/>
    </row>
    <row r="2" ht="33.75" customHeight="1">
      <c r="A2" s="2"/>
      <c r="B2" s="2" t="s">
        <v>1799</v>
      </c>
      <c r="C2" s="2"/>
      <c r="D2" s="2"/>
      <c r="E2" s="2"/>
      <c r="F2" s="2"/>
      <c r="G2" s="2"/>
      <c r="H2" s="2"/>
      <c r="I2" s="2"/>
      <c r="J2" s="2"/>
      <c r="K2" s="2"/>
      <c r="L2" s="2"/>
      <c r="M2" s="2"/>
    </row>
    <row r="3" ht="15.75" customHeight="1">
      <c r="A3" s="3"/>
      <c r="B3" s="3" t="s">
        <v>1800</v>
      </c>
      <c r="C3" s="3"/>
      <c r="D3" s="3"/>
      <c r="E3" s="3"/>
      <c r="F3" s="3"/>
      <c r="G3" s="3"/>
      <c r="H3" s="3"/>
      <c r="I3" s="3"/>
      <c r="J3" s="3"/>
      <c r="K3" s="3"/>
      <c r="L3" s="3"/>
      <c r="M3" s="3"/>
    </row>
    <row r="4" ht="16.5" customHeight="1">
      <c r="A4" s="1"/>
      <c r="B4" s="1"/>
      <c r="C4" s="1"/>
      <c r="D4" s="1"/>
      <c r="E4" s="1"/>
      <c r="F4" s="1"/>
      <c r="G4" s="1"/>
      <c r="H4" s="1"/>
      <c r="I4" s="1"/>
      <c r="J4" s="1"/>
      <c r="K4" s="1"/>
      <c r="L4" s="1"/>
      <c r="M4" s="1"/>
    </row>
    <row r="5" ht="16.5" customHeight="1">
      <c r="A5" s="1"/>
      <c r="B5" s="1"/>
      <c r="C5" s="1"/>
      <c r="D5" s="1"/>
      <c r="E5" s="1"/>
      <c r="F5" s="1"/>
      <c r="G5" s="1"/>
      <c r="H5" s="1"/>
      <c r="I5" s="1"/>
      <c r="J5" s="1"/>
      <c r="K5" s="1"/>
      <c r="L5" s="1"/>
      <c r="M5" s="1"/>
    </row>
    <row r="6" ht="30.0" customHeight="1">
      <c r="A6" s="16"/>
      <c r="B6" s="17" t="s">
        <v>1782</v>
      </c>
      <c r="C6" s="17" t="s">
        <v>1801</v>
      </c>
      <c r="D6" s="17" t="s">
        <v>1784</v>
      </c>
      <c r="E6" s="17" t="s">
        <v>1802</v>
      </c>
      <c r="F6" s="17" t="s">
        <v>1221</v>
      </c>
      <c r="G6" s="17" t="s">
        <v>1803</v>
      </c>
      <c r="H6" s="17" t="s">
        <v>1804</v>
      </c>
      <c r="I6" s="17" t="s">
        <v>1805</v>
      </c>
      <c r="J6" s="17" t="s">
        <v>1233</v>
      </c>
      <c r="K6" s="17" t="s">
        <v>1806</v>
      </c>
      <c r="L6" s="17" t="s">
        <v>88</v>
      </c>
      <c r="M6" s="17" t="s">
        <v>50</v>
      </c>
    </row>
    <row r="7" ht="16.5" customHeight="1">
      <c r="A7" s="1"/>
      <c r="B7" s="32" t="s">
        <v>1256</v>
      </c>
      <c r="C7" s="32" t="s">
        <v>1807</v>
      </c>
      <c r="D7" s="32" t="s">
        <v>240</v>
      </c>
      <c r="E7" s="32"/>
      <c r="F7" s="24">
        <f>WeddingDate-180</f>
        <v>46453</v>
      </c>
      <c r="G7" s="55"/>
      <c r="H7" s="32"/>
      <c r="I7" s="32"/>
      <c r="J7" s="38"/>
      <c r="K7" s="32"/>
      <c r="L7" s="32" t="s">
        <v>117</v>
      </c>
      <c r="M7" s="32"/>
    </row>
    <row r="8" ht="16.5" customHeight="1">
      <c r="A8" s="1"/>
      <c r="B8" s="32" t="s">
        <v>1256</v>
      </c>
      <c r="C8" s="32" t="s">
        <v>1808</v>
      </c>
      <c r="D8" s="32" t="s">
        <v>128</v>
      </c>
      <c r="E8" s="32"/>
      <c r="F8" s="24">
        <f>WeddingDate-150</f>
        <v>46483</v>
      </c>
      <c r="G8" s="55"/>
      <c r="H8" s="32"/>
      <c r="I8" s="32"/>
      <c r="J8" s="38"/>
      <c r="K8" s="32"/>
      <c r="L8" s="32" t="s">
        <v>117</v>
      </c>
      <c r="M8" s="32"/>
    </row>
    <row r="9" ht="16.5" customHeight="1">
      <c r="A9" s="1"/>
      <c r="B9" s="32" t="s">
        <v>1256</v>
      </c>
      <c r="C9" s="32" t="s">
        <v>1810</v>
      </c>
      <c r="D9" s="32" t="s">
        <v>128</v>
      </c>
      <c r="E9" s="32"/>
      <c r="F9" s="24">
        <f>WeddingDate-120</f>
        <v>46513</v>
      </c>
      <c r="G9" s="55"/>
      <c r="H9" s="32"/>
      <c r="I9" s="32"/>
      <c r="J9" s="38"/>
      <c r="K9" s="32"/>
      <c r="L9" s="32" t="s">
        <v>117</v>
      </c>
      <c r="M9" s="32"/>
    </row>
    <row r="10" ht="16.5" customHeight="1">
      <c r="A10" s="1"/>
      <c r="B10" s="32" t="s">
        <v>1256</v>
      </c>
      <c r="C10" s="32" t="s">
        <v>1811</v>
      </c>
      <c r="D10" s="32" t="s">
        <v>240</v>
      </c>
      <c r="E10" s="32"/>
      <c r="F10" s="24">
        <f>WeddingDate-110</f>
        <v>46523</v>
      </c>
      <c r="G10" s="55"/>
      <c r="H10" s="32"/>
      <c r="I10" s="32"/>
      <c r="J10" s="38"/>
      <c r="K10" s="32"/>
      <c r="L10" s="32" t="s">
        <v>117</v>
      </c>
      <c r="M10" s="32"/>
    </row>
    <row r="11" ht="16.5" customHeight="1">
      <c r="A11" s="1"/>
      <c r="B11" s="32" t="s">
        <v>1256</v>
      </c>
      <c r="C11" s="32" t="s">
        <v>1816</v>
      </c>
      <c r="D11" s="32" t="s">
        <v>128</v>
      </c>
      <c r="E11" s="32"/>
      <c r="F11" s="24">
        <f>WeddingDate-100</f>
        <v>46533</v>
      </c>
      <c r="G11" s="55"/>
      <c r="H11" s="32"/>
      <c r="I11" s="32"/>
      <c r="J11" s="38"/>
      <c r="K11" s="32"/>
      <c r="L11" s="32" t="s">
        <v>117</v>
      </c>
      <c r="M11" s="32"/>
    </row>
    <row r="12" ht="16.5" customHeight="1">
      <c r="A12" s="1"/>
      <c r="B12" s="32" t="s">
        <v>1256</v>
      </c>
      <c r="C12" s="32" t="s">
        <v>1823</v>
      </c>
      <c r="D12" s="32" t="s">
        <v>128</v>
      </c>
      <c r="E12" s="32"/>
      <c r="F12" s="24">
        <f>WeddingDate-90</f>
        <v>46543</v>
      </c>
      <c r="G12" s="55"/>
      <c r="H12" s="32"/>
      <c r="I12" s="32"/>
      <c r="J12" s="38"/>
      <c r="K12" s="32"/>
      <c r="L12" s="32" t="s">
        <v>117</v>
      </c>
      <c r="M12" s="32"/>
    </row>
    <row r="13" ht="16.5" customHeight="1">
      <c r="A13" s="1"/>
      <c r="B13" s="32" t="s">
        <v>1256</v>
      </c>
      <c r="C13" s="32" t="s">
        <v>1825</v>
      </c>
      <c r="D13" s="32" t="s">
        <v>240</v>
      </c>
      <c r="E13" s="32"/>
      <c r="F13" s="24">
        <f>WeddingDate-70</f>
        <v>46563</v>
      </c>
      <c r="G13" s="55"/>
      <c r="H13" s="32"/>
      <c r="I13" s="32"/>
      <c r="J13" s="38"/>
      <c r="K13" s="32"/>
      <c r="L13" s="32" t="s">
        <v>117</v>
      </c>
      <c r="M13" s="32"/>
    </row>
    <row r="14" ht="16.5" customHeight="1">
      <c r="A14" s="1"/>
      <c r="B14" s="32" t="s">
        <v>1256</v>
      </c>
      <c r="C14" s="32" t="s">
        <v>1826</v>
      </c>
      <c r="D14" s="32" t="s">
        <v>128</v>
      </c>
      <c r="E14" s="32"/>
      <c r="F14" s="24">
        <f>WeddingDate-45</f>
        <v>46588</v>
      </c>
      <c r="G14" s="55"/>
      <c r="H14" s="32"/>
      <c r="I14" s="32"/>
      <c r="J14" s="38"/>
      <c r="K14" s="32"/>
      <c r="L14" s="32" t="s">
        <v>117</v>
      </c>
      <c r="M14" s="32"/>
    </row>
    <row r="15" ht="16.5" customHeight="1">
      <c r="A15" s="1"/>
      <c r="B15" s="32" t="s">
        <v>1256</v>
      </c>
      <c r="C15" s="32" t="s">
        <v>1828</v>
      </c>
      <c r="D15" s="32" t="s">
        <v>240</v>
      </c>
      <c r="E15" s="32"/>
      <c r="F15" s="24">
        <f>WeddingDate-30</f>
        <v>46603</v>
      </c>
      <c r="G15" s="55"/>
      <c r="H15" s="32"/>
      <c r="I15" s="32"/>
      <c r="J15" s="38"/>
      <c r="K15" s="32"/>
      <c r="L15" s="32" t="s">
        <v>117</v>
      </c>
      <c r="M15" s="32"/>
    </row>
    <row r="16" ht="16.5" customHeight="1">
      <c r="A16" s="1"/>
      <c r="B16" s="32" t="s">
        <v>1256</v>
      </c>
      <c r="C16" s="32" t="s">
        <v>1830</v>
      </c>
      <c r="D16" s="32" t="s">
        <v>128</v>
      </c>
      <c r="E16" s="32"/>
      <c r="F16" s="24">
        <f>WeddingDate-14</f>
        <v>46619</v>
      </c>
      <c r="G16" s="55"/>
      <c r="H16" s="32"/>
      <c r="I16" s="32"/>
      <c r="J16" s="38"/>
      <c r="K16" s="32"/>
      <c r="L16" s="32" t="s">
        <v>117</v>
      </c>
      <c r="M16" s="32"/>
    </row>
    <row r="17" ht="16.5" customHeight="1">
      <c r="A17" s="1"/>
      <c r="B17" s="32" t="s">
        <v>1256</v>
      </c>
      <c r="C17" s="32" t="s">
        <v>1832</v>
      </c>
      <c r="D17" s="32" t="s">
        <v>128</v>
      </c>
      <c r="E17" s="32"/>
      <c r="F17" s="24">
        <f>WeddingDate-7</f>
        <v>46626</v>
      </c>
      <c r="G17" s="55"/>
      <c r="H17" s="32"/>
      <c r="I17" s="32"/>
      <c r="J17" s="38"/>
      <c r="K17" s="32"/>
      <c r="L17" s="32" t="s">
        <v>117</v>
      </c>
      <c r="M17" s="32"/>
    </row>
    <row r="18" ht="16.5" customHeight="1">
      <c r="A18" s="1"/>
      <c r="B18" s="32" t="s">
        <v>1256</v>
      </c>
      <c r="C18" s="32" t="s">
        <v>1833</v>
      </c>
      <c r="D18" s="32" t="s">
        <v>128</v>
      </c>
      <c r="E18" s="32"/>
      <c r="F18" s="24">
        <f>WeddingDate-3</f>
        <v>46630</v>
      </c>
      <c r="G18" s="55"/>
      <c r="H18" s="32"/>
      <c r="I18" s="32"/>
      <c r="J18" s="38"/>
      <c r="K18" s="32"/>
      <c r="L18" s="32" t="s">
        <v>117</v>
      </c>
      <c r="M18" s="32"/>
    </row>
    <row r="19" ht="16.5" customHeight="1">
      <c r="A19" s="1"/>
      <c r="B19" s="32" t="s">
        <v>1256</v>
      </c>
      <c r="C19" s="32" t="s">
        <v>1835</v>
      </c>
      <c r="D19" s="32" t="s">
        <v>128</v>
      </c>
      <c r="E19" s="32"/>
      <c r="F19" s="24">
        <f>WeddingDate-0</f>
        <v>46633</v>
      </c>
      <c r="G19" s="55"/>
      <c r="H19" s="32"/>
      <c r="I19" s="32"/>
      <c r="J19" s="38"/>
      <c r="K19" s="32"/>
      <c r="L19" s="32" t="s">
        <v>117</v>
      </c>
      <c r="M19" s="32"/>
    </row>
    <row r="20" ht="16.5" customHeight="1">
      <c r="A20" s="1"/>
      <c r="B20" s="32" t="s">
        <v>129</v>
      </c>
      <c r="C20" s="32" t="s">
        <v>453</v>
      </c>
      <c r="D20" s="32" t="s">
        <v>240</v>
      </c>
      <c r="E20" s="32"/>
      <c r="F20" s="24">
        <f>WeddingDate-30</f>
        <v>46603</v>
      </c>
      <c r="G20" s="55"/>
      <c r="H20" s="32"/>
      <c r="I20" s="32"/>
      <c r="J20" s="38"/>
      <c r="K20" s="32"/>
      <c r="L20" s="32" t="s">
        <v>117</v>
      </c>
      <c r="M20" s="32"/>
    </row>
    <row r="21" ht="16.5" customHeight="1">
      <c r="A21" s="1"/>
      <c r="B21" s="32" t="s">
        <v>129</v>
      </c>
      <c r="C21" s="32" t="s">
        <v>1839</v>
      </c>
      <c r="D21" s="32" t="s">
        <v>240</v>
      </c>
      <c r="E21" s="32"/>
      <c r="F21" s="24">
        <f>WeddingDate-21</f>
        <v>46612</v>
      </c>
      <c r="G21" s="55"/>
      <c r="H21" s="32"/>
      <c r="I21" s="32"/>
      <c r="J21" s="38"/>
      <c r="K21" s="32"/>
      <c r="L21" s="32" t="s">
        <v>117</v>
      </c>
      <c r="M21" s="32"/>
    </row>
    <row r="22" ht="16.5" customHeight="1">
      <c r="A22" s="1"/>
      <c r="B22" s="32" t="s">
        <v>129</v>
      </c>
      <c r="C22" s="32" t="s">
        <v>1841</v>
      </c>
      <c r="D22" s="32" t="s">
        <v>128</v>
      </c>
      <c r="E22" s="32"/>
      <c r="F22" s="24">
        <f>WeddingDate-5</f>
        <v>46628</v>
      </c>
      <c r="G22" s="55"/>
      <c r="H22" s="32"/>
      <c r="I22" s="32"/>
      <c r="J22" s="38"/>
      <c r="K22" s="32"/>
      <c r="L22" s="32" t="s">
        <v>117</v>
      </c>
      <c r="M22" s="32"/>
    </row>
    <row r="23" ht="16.5" customHeight="1">
      <c r="A23" s="1"/>
      <c r="B23" s="32" t="s">
        <v>129</v>
      </c>
      <c r="C23" s="32" t="s">
        <v>1843</v>
      </c>
      <c r="D23" s="32" t="s">
        <v>128</v>
      </c>
      <c r="E23" s="32"/>
      <c r="F23" s="24">
        <f>WeddingDate-1</f>
        <v>46632</v>
      </c>
      <c r="G23" s="55"/>
      <c r="H23" s="32"/>
      <c r="I23" s="32"/>
      <c r="J23" s="38"/>
      <c r="K23" s="32"/>
      <c r="L23" s="32" t="s">
        <v>117</v>
      </c>
      <c r="M23" s="32"/>
    </row>
    <row r="24" ht="16.5" customHeight="1">
      <c r="A24" s="1"/>
      <c r="B24" s="32" t="s">
        <v>129</v>
      </c>
      <c r="C24" s="32" t="s">
        <v>1844</v>
      </c>
      <c r="D24" s="32" t="s">
        <v>128</v>
      </c>
      <c r="E24" s="32"/>
      <c r="F24" s="24">
        <f>WeddingDate-0</f>
        <v>46633</v>
      </c>
      <c r="G24" s="55"/>
      <c r="H24" s="32"/>
      <c r="I24" s="32"/>
      <c r="J24" s="38"/>
      <c r="K24" s="32"/>
      <c r="L24" s="32" t="s">
        <v>117</v>
      </c>
      <c r="M24" s="32"/>
    </row>
    <row r="25" ht="16.5" customHeight="1">
      <c r="A25" s="1"/>
      <c r="B25" s="32" t="s">
        <v>1845</v>
      </c>
      <c r="C25" s="32" t="s">
        <v>1846</v>
      </c>
      <c r="D25" s="32" t="s">
        <v>240</v>
      </c>
      <c r="E25" s="32"/>
      <c r="F25" s="24">
        <f>WeddingDate-45</f>
        <v>46588</v>
      </c>
      <c r="G25" s="55"/>
      <c r="H25" s="32"/>
      <c r="I25" s="32"/>
      <c r="J25" s="38"/>
      <c r="K25" s="32"/>
      <c r="L25" s="32" t="s">
        <v>117</v>
      </c>
      <c r="M25" s="32"/>
    </row>
    <row r="26" ht="16.5" customHeight="1">
      <c r="A26" s="1"/>
      <c r="B26" s="32" t="s">
        <v>1845</v>
      </c>
      <c r="C26" s="32" t="s">
        <v>1847</v>
      </c>
      <c r="D26" s="32" t="s">
        <v>128</v>
      </c>
      <c r="E26" s="32"/>
      <c r="F26" s="24">
        <f>WeddingDate-0</f>
        <v>46633</v>
      </c>
      <c r="G26" s="55"/>
      <c r="H26" s="32"/>
      <c r="I26" s="32"/>
      <c r="J26" s="38"/>
      <c r="K26" s="32"/>
      <c r="L26" s="32" t="s">
        <v>117</v>
      </c>
      <c r="M26" s="32"/>
    </row>
    <row r="27" ht="16.5" customHeight="1">
      <c r="A27" s="1"/>
      <c r="B27" s="32" t="s">
        <v>1755</v>
      </c>
      <c r="C27" s="32" t="s">
        <v>1847</v>
      </c>
      <c r="D27" s="32" t="s">
        <v>128</v>
      </c>
      <c r="E27" s="32"/>
      <c r="F27" s="24">
        <f>WeddingDate-0</f>
        <v>46633</v>
      </c>
      <c r="G27" s="55"/>
      <c r="H27" s="32"/>
      <c r="I27" s="32"/>
      <c r="J27" s="38"/>
      <c r="K27" s="32"/>
      <c r="L27" s="32" t="s">
        <v>117</v>
      </c>
      <c r="M27" s="32"/>
    </row>
    <row r="28" ht="16.5" customHeight="1">
      <c r="A28" s="1"/>
      <c r="B28" s="32" t="s">
        <v>1757</v>
      </c>
      <c r="C28" s="32" t="s">
        <v>1847</v>
      </c>
      <c r="D28" s="32" t="s">
        <v>128</v>
      </c>
      <c r="E28" s="32"/>
      <c r="F28" s="24">
        <f>WeddingDate-0</f>
        <v>46633</v>
      </c>
      <c r="G28" s="55"/>
      <c r="H28" s="32"/>
      <c r="I28" s="32"/>
      <c r="J28" s="38"/>
      <c r="K28" s="32"/>
      <c r="L28" s="32" t="s">
        <v>117</v>
      </c>
      <c r="M28" s="32"/>
    </row>
    <row r="29" ht="16.5" customHeight="1">
      <c r="A29" s="1"/>
      <c r="B29" s="32"/>
      <c r="C29" s="32"/>
      <c r="D29" s="32"/>
      <c r="E29" s="32"/>
      <c r="F29" s="24"/>
      <c r="G29" s="55"/>
      <c r="H29" s="32"/>
      <c r="I29" s="32"/>
      <c r="J29" s="38"/>
      <c r="K29" s="32"/>
      <c r="L29" s="32"/>
      <c r="M29" s="32"/>
    </row>
    <row r="30" ht="16.5" customHeight="1">
      <c r="A30" s="1"/>
      <c r="B30" s="32"/>
      <c r="C30" s="32"/>
      <c r="D30" s="32"/>
      <c r="E30" s="32"/>
      <c r="F30" s="24"/>
      <c r="G30" s="55"/>
      <c r="H30" s="32"/>
      <c r="I30" s="32"/>
      <c r="J30" s="38"/>
      <c r="K30" s="32"/>
      <c r="L30" s="32"/>
      <c r="M30" s="32"/>
    </row>
    <row r="31" ht="16.5" customHeight="1">
      <c r="A31" s="1"/>
      <c r="B31" s="32"/>
      <c r="C31" s="32"/>
      <c r="D31" s="32"/>
      <c r="E31" s="32"/>
      <c r="F31" s="24"/>
      <c r="G31" s="55"/>
      <c r="H31" s="32"/>
      <c r="I31" s="32"/>
      <c r="J31" s="38"/>
      <c r="K31" s="32"/>
      <c r="L31" s="32"/>
      <c r="M31" s="32"/>
    </row>
    <row r="32" ht="16.5" customHeight="1">
      <c r="A32" s="1"/>
      <c r="B32" s="32"/>
      <c r="C32" s="32"/>
      <c r="D32" s="32"/>
      <c r="E32" s="32"/>
      <c r="F32" s="24"/>
      <c r="G32" s="55"/>
      <c r="H32" s="32"/>
      <c r="I32" s="32"/>
      <c r="J32" s="38"/>
      <c r="K32" s="32"/>
      <c r="L32" s="32"/>
      <c r="M32" s="32"/>
    </row>
    <row r="33" ht="16.5" customHeight="1">
      <c r="A33" s="1"/>
      <c r="B33" s="32"/>
      <c r="C33" s="32"/>
      <c r="D33" s="32"/>
      <c r="E33" s="32"/>
      <c r="F33" s="24"/>
      <c r="G33" s="55"/>
      <c r="H33" s="32"/>
      <c r="I33" s="32"/>
      <c r="J33" s="38"/>
      <c r="K33" s="32"/>
      <c r="L33" s="32"/>
      <c r="M33" s="32"/>
    </row>
    <row r="34" ht="16.5" customHeight="1">
      <c r="A34" s="1"/>
      <c r="B34" s="32"/>
      <c r="C34" s="32"/>
      <c r="D34" s="32"/>
      <c r="E34" s="32"/>
      <c r="F34" s="24"/>
      <c r="G34" s="55"/>
      <c r="H34" s="32"/>
      <c r="I34" s="32"/>
      <c r="J34" s="38"/>
      <c r="K34" s="32"/>
      <c r="L34" s="32"/>
      <c r="M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M$34"/>
  <conditionalFormatting sqref="B7:M34">
    <cfRule type="expression" dxfId="11" priority="1" stopIfTrue="1">
      <formula>$D7="Not Applicable"</formula>
    </cfRule>
  </conditionalFormatting>
  <conditionalFormatting sqref="B7:M34">
    <cfRule type="expression" dxfId="3" priority="2">
      <formula>$L7="Completed"</formula>
    </cfRule>
  </conditionalFormatting>
  <conditionalFormatting sqref="B7:M34">
    <cfRule type="expression" dxfId="6" priority="3">
      <formula>AND($L7&lt;&gt;"Completed",$F7&lt;&gt;"",$F7&lt;TODAY())</formula>
    </cfRule>
  </conditionalFormatting>
  <dataValidations>
    <dataValidation type="list" allowBlank="1" sqref="L7:L34">
      <formula1>"Not Started,In Progress,Waiting,Completed,Cancelled"</formula1>
    </dataValidation>
    <dataValidation type="list" allowBlank="1" sqref="D7:D34">
      <formula1>"Required,Optional,Not Applicable"</formula1>
    </dataValidation>
    <dataValidation type="list" allowBlank="1" sqref="K7:K34">
      <formula1>"Yes,No"</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7.43"/>
    <col customWidth="1" min="3" max="3" width="47.14"/>
    <col customWidth="1" min="4" max="4" width="12.86"/>
    <col customWidth="1" min="5" max="5" width="10.71"/>
    <col customWidth="1" min="6" max="7" width="21.43"/>
    <col customWidth="1" min="8" max="8" width="47.14"/>
    <col customWidth="1" min="9" max="9" width="21.43"/>
    <col customWidth="1" min="10" max="10" width="11.86"/>
    <col customWidth="1" min="11" max="11" width="13.86"/>
    <col customWidth="1" min="12" max="12" width="36.43"/>
    <col customWidth="1" min="13" max="14" width="13.86"/>
  </cols>
  <sheetData>
    <row r="1" ht="16.5" customHeight="1">
      <c r="A1" s="1"/>
      <c r="B1" s="1"/>
      <c r="C1" s="1"/>
      <c r="D1" s="1"/>
      <c r="E1" s="1"/>
      <c r="F1" s="1"/>
      <c r="G1" s="1"/>
      <c r="H1" s="1"/>
      <c r="I1" s="1"/>
      <c r="J1" s="1"/>
      <c r="K1" s="1"/>
      <c r="L1" s="1"/>
      <c r="M1" s="1"/>
      <c r="N1" s="1"/>
    </row>
    <row r="2" ht="33.75" customHeight="1">
      <c r="A2" s="2"/>
      <c r="B2" s="2" t="s">
        <v>1848</v>
      </c>
      <c r="C2" s="2"/>
      <c r="D2" s="2"/>
      <c r="E2" s="2"/>
      <c r="F2" s="2"/>
      <c r="G2" s="2"/>
      <c r="H2" s="2"/>
      <c r="I2" s="2"/>
      <c r="J2" s="2"/>
      <c r="K2" s="2"/>
      <c r="L2" s="2"/>
      <c r="M2" s="12"/>
      <c r="N2" s="12"/>
    </row>
    <row r="3" ht="15.75" customHeight="1">
      <c r="A3" s="3"/>
      <c r="B3" s="3" t="s">
        <v>1849</v>
      </c>
      <c r="C3" s="3"/>
      <c r="D3" s="3"/>
      <c r="E3" s="3"/>
      <c r="F3" s="3"/>
      <c r="G3" s="3"/>
      <c r="H3" s="3"/>
      <c r="I3" s="3"/>
      <c r="J3" s="3"/>
      <c r="K3" s="3"/>
      <c r="L3" s="3"/>
      <c r="M3" s="3"/>
      <c r="N3" s="3"/>
    </row>
    <row r="4" ht="16.5" customHeight="1">
      <c r="A4" s="1"/>
      <c r="B4" s="1"/>
      <c r="C4" s="1"/>
      <c r="D4" s="1"/>
      <c r="E4" s="1"/>
      <c r="F4" s="1"/>
      <c r="G4" s="1"/>
      <c r="H4" s="1"/>
      <c r="I4" s="1"/>
      <c r="J4" s="1"/>
      <c r="K4" s="1"/>
      <c r="L4" s="1"/>
      <c r="M4" s="1"/>
      <c r="N4" s="1"/>
    </row>
    <row r="5" ht="21.75" customHeight="1">
      <c r="A5" s="5"/>
      <c r="B5" s="8" t="s">
        <v>1850</v>
      </c>
      <c r="C5" s="8"/>
      <c r="D5" s="8"/>
      <c r="E5" s="8"/>
      <c r="F5" s="8"/>
      <c r="G5" s="8"/>
      <c r="H5" s="8"/>
      <c r="I5" s="8"/>
      <c r="J5" s="8" t="str">
        <f>"Active minutes: "&amp;SUMIFS(J7:J30,D7:D30,"Required")</f>
        <v>Active minutes: 93</v>
      </c>
      <c r="K5" s="8"/>
      <c r="L5" s="8"/>
      <c r="M5" s="5"/>
      <c r="N5" s="5"/>
    </row>
    <row r="6" ht="30.0" customHeight="1">
      <c r="A6" s="16"/>
      <c r="B6" s="17" t="s">
        <v>1851</v>
      </c>
      <c r="C6" s="17" t="s">
        <v>1852</v>
      </c>
      <c r="D6" s="17" t="s">
        <v>62</v>
      </c>
      <c r="E6" s="17" t="s">
        <v>1803</v>
      </c>
      <c r="F6" s="17" t="s">
        <v>1804</v>
      </c>
      <c r="G6" s="17" t="s">
        <v>1853</v>
      </c>
      <c r="H6" s="17" t="s">
        <v>1854</v>
      </c>
      <c r="I6" s="17" t="s">
        <v>66</v>
      </c>
      <c r="J6" s="17" t="s">
        <v>1855</v>
      </c>
      <c r="K6" s="17" t="s">
        <v>88</v>
      </c>
      <c r="L6" s="17" t="s">
        <v>50</v>
      </c>
      <c r="M6" s="16"/>
      <c r="N6" s="16"/>
    </row>
    <row r="7" ht="16.5" customHeight="1">
      <c r="A7" s="1"/>
      <c r="B7" s="32">
        <v>1.0</v>
      </c>
      <c r="C7" s="32" t="s">
        <v>1856</v>
      </c>
      <c r="D7" s="32" t="s">
        <v>128</v>
      </c>
      <c r="E7" s="55"/>
      <c r="F7" s="32" t="s">
        <v>65</v>
      </c>
      <c r="G7" s="32" t="s">
        <v>360</v>
      </c>
      <c r="H7" s="32" t="s">
        <v>1857</v>
      </c>
      <c r="I7" s="32"/>
      <c r="J7" s="32">
        <v>10.0</v>
      </c>
      <c r="K7" s="32" t="s">
        <v>117</v>
      </c>
      <c r="L7" s="32"/>
      <c r="M7" s="1"/>
      <c r="N7" s="1"/>
    </row>
    <row r="8" ht="16.5" customHeight="1">
      <c r="A8" s="1"/>
      <c r="B8" s="32">
        <v>2.0</v>
      </c>
      <c r="C8" s="32" t="s">
        <v>1858</v>
      </c>
      <c r="D8" s="32" t="s">
        <v>128</v>
      </c>
      <c r="E8" s="55"/>
      <c r="F8" s="32" t="s">
        <v>65</v>
      </c>
      <c r="G8" s="32" t="s">
        <v>66</v>
      </c>
      <c r="H8" s="32" t="s">
        <v>1859</v>
      </c>
      <c r="I8" s="32"/>
      <c r="J8" s="32">
        <v>5.0</v>
      </c>
      <c r="K8" s="32" t="s">
        <v>117</v>
      </c>
      <c r="L8" s="32"/>
      <c r="M8" s="1"/>
      <c r="N8" s="1"/>
    </row>
    <row r="9" ht="16.5" customHeight="1">
      <c r="A9" s="1"/>
      <c r="B9" s="32">
        <v>3.0</v>
      </c>
      <c r="C9" s="32" t="s">
        <v>1860</v>
      </c>
      <c r="D9" s="32" t="s">
        <v>128</v>
      </c>
      <c r="E9" s="55"/>
      <c r="F9" s="32" t="s">
        <v>1861</v>
      </c>
      <c r="G9" s="32" t="s">
        <v>129</v>
      </c>
      <c r="H9" s="32" t="s">
        <v>1862</v>
      </c>
      <c r="I9" s="32"/>
      <c r="J9" s="32">
        <v>2.0</v>
      </c>
      <c r="K9" s="32" t="s">
        <v>117</v>
      </c>
      <c r="L9" s="32"/>
      <c r="M9" s="1"/>
      <c r="N9" s="1"/>
    </row>
    <row r="10" ht="16.5" customHeight="1">
      <c r="A10" s="1"/>
      <c r="B10" s="32">
        <v>4.0</v>
      </c>
      <c r="C10" s="32" t="s">
        <v>1863</v>
      </c>
      <c r="D10" s="32" t="s">
        <v>128</v>
      </c>
      <c r="E10" s="55"/>
      <c r="F10" s="32" t="s">
        <v>65</v>
      </c>
      <c r="G10" s="32" t="s">
        <v>395</v>
      </c>
      <c r="H10" s="32" t="s">
        <v>1864</v>
      </c>
      <c r="I10" s="32"/>
      <c r="J10" s="32">
        <v>3.0</v>
      </c>
      <c r="K10" s="32" t="s">
        <v>117</v>
      </c>
      <c r="L10" s="32"/>
      <c r="M10" s="1"/>
      <c r="N10" s="1"/>
    </row>
    <row r="11" ht="16.5" customHeight="1">
      <c r="A11" s="1"/>
      <c r="B11" s="32">
        <v>5.0</v>
      </c>
      <c r="C11" s="32" t="s">
        <v>1865</v>
      </c>
      <c r="D11" s="32" t="s">
        <v>128</v>
      </c>
      <c r="E11" s="55"/>
      <c r="F11" s="32" t="s">
        <v>1861</v>
      </c>
      <c r="G11" s="32" t="s">
        <v>66</v>
      </c>
      <c r="H11" s="32" t="s">
        <v>1866</v>
      </c>
      <c r="I11" s="32"/>
      <c r="J11" s="32">
        <v>2.0</v>
      </c>
      <c r="K11" s="32" t="s">
        <v>117</v>
      </c>
      <c r="L11" s="32"/>
      <c r="M11" s="1"/>
      <c r="N11" s="1"/>
    </row>
    <row r="12" ht="16.5" customHeight="1">
      <c r="A12" s="1"/>
      <c r="B12" s="32">
        <v>6.0</v>
      </c>
      <c r="C12" s="32" t="s">
        <v>1867</v>
      </c>
      <c r="D12" s="32" t="s">
        <v>128</v>
      </c>
      <c r="E12" s="55"/>
      <c r="F12" s="32" t="s">
        <v>1861</v>
      </c>
      <c r="G12" s="32" t="s">
        <v>66</v>
      </c>
      <c r="H12" s="32" t="s">
        <v>1869</v>
      </c>
      <c r="I12" s="32"/>
      <c r="J12" s="32">
        <v>5.0</v>
      </c>
      <c r="K12" s="32" t="s">
        <v>117</v>
      </c>
      <c r="L12" s="32"/>
      <c r="M12" s="1"/>
      <c r="N12" s="1"/>
    </row>
    <row r="13" ht="16.5" customHeight="1">
      <c r="A13" s="1"/>
      <c r="B13" s="32">
        <v>7.0</v>
      </c>
      <c r="C13" s="32" t="s">
        <v>1871</v>
      </c>
      <c r="D13" s="32" t="s">
        <v>128</v>
      </c>
      <c r="E13" s="55"/>
      <c r="F13" s="32" t="s">
        <v>1861</v>
      </c>
      <c r="G13" s="32" t="s">
        <v>66</v>
      </c>
      <c r="H13" s="32" t="s">
        <v>1872</v>
      </c>
      <c r="I13" s="32"/>
      <c r="J13" s="32">
        <v>3.0</v>
      </c>
      <c r="K13" s="32" t="s">
        <v>117</v>
      </c>
      <c r="L13" s="32"/>
      <c r="M13" s="1"/>
      <c r="N13" s="1"/>
    </row>
    <row r="14" ht="16.5" customHeight="1">
      <c r="A14" s="1"/>
      <c r="B14" s="32">
        <v>8.0</v>
      </c>
      <c r="C14" s="32" t="s">
        <v>1873</v>
      </c>
      <c r="D14" s="32" t="s">
        <v>128</v>
      </c>
      <c r="E14" s="55"/>
      <c r="F14" s="32" t="s">
        <v>1861</v>
      </c>
      <c r="G14" s="32" t="s">
        <v>1038</v>
      </c>
      <c r="H14" s="32" t="s">
        <v>1874</v>
      </c>
      <c r="I14" s="32"/>
      <c r="J14" s="32">
        <v>3.0</v>
      </c>
      <c r="K14" s="32" t="s">
        <v>117</v>
      </c>
      <c r="L14" s="32"/>
      <c r="M14" s="1"/>
      <c r="N14" s="1"/>
    </row>
    <row r="15" ht="16.5" customHeight="1">
      <c r="A15" s="1"/>
      <c r="B15" s="32">
        <v>9.0</v>
      </c>
      <c r="C15" s="32" t="s">
        <v>1880</v>
      </c>
      <c r="D15" s="32" t="s">
        <v>128</v>
      </c>
      <c r="E15" s="55"/>
      <c r="F15" s="32" t="s">
        <v>1861</v>
      </c>
      <c r="G15" s="32" t="s">
        <v>66</v>
      </c>
      <c r="H15" s="32" t="s">
        <v>1883</v>
      </c>
      <c r="I15" s="32"/>
      <c r="J15" s="32">
        <v>2.0</v>
      </c>
      <c r="K15" s="32" t="s">
        <v>117</v>
      </c>
      <c r="L15" s="32"/>
      <c r="M15" s="1"/>
      <c r="N15" s="1"/>
    </row>
    <row r="16" ht="16.5" customHeight="1">
      <c r="A16" s="1"/>
      <c r="B16" s="32">
        <v>10.0</v>
      </c>
      <c r="C16" s="32" t="s">
        <v>1885</v>
      </c>
      <c r="D16" s="32" t="s">
        <v>128</v>
      </c>
      <c r="E16" s="55"/>
      <c r="F16" s="32" t="s">
        <v>1861</v>
      </c>
      <c r="G16" s="32" t="s">
        <v>66</v>
      </c>
      <c r="H16" s="32" t="s">
        <v>1886</v>
      </c>
      <c r="I16" s="32"/>
      <c r="J16" s="32">
        <v>2.0</v>
      </c>
      <c r="K16" s="32" t="s">
        <v>117</v>
      </c>
      <c r="L16" s="32"/>
      <c r="M16" s="1"/>
      <c r="N16" s="1"/>
    </row>
    <row r="17" ht="16.5" customHeight="1">
      <c r="A17" s="1"/>
      <c r="B17" s="32">
        <v>11.0</v>
      </c>
      <c r="C17" s="32" t="s">
        <v>1888</v>
      </c>
      <c r="D17" s="32" t="s">
        <v>128</v>
      </c>
      <c r="E17" s="55"/>
      <c r="F17" s="32" t="s">
        <v>1861</v>
      </c>
      <c r="G17" s="32" t="s">
        <v>66</v>
      </c>
      <c r="H17" s="32" t="s">
        <v>1889</v>
      </c>
      <c r="I17" s="32"/>
      <c r="J17" s="32">
        <v>4.0</v>
      </c>
      <c r="K17" s="32" t="s">
        <v>117</v>
      </c>
      <c r="L17" s="32"/>
      <c r="M17" s="1"/>
      <c r="N17" s="1"/>
    </row>
    <row r="18" ht="16.5" customHeight="1">
      <c r="A18" s="1"/>
      <c r="B18" s="32">
        <v>12.0</v>
      </c>
      <c r="C18" s="32" t="s">
        <v>1891</v>
      </c>
      <c r="D18" s="32" t="s">
        <v>128</v>
      </c>
      <c r="E18" s="55"/>
      <c r="F18" s="32" t="s">
        <v>1861</v>
      </c>
      <c r="G18" s="32" t="s">
        <v>129</v>
      </c>
      <c r="H18" s="32" t="s">
        <v>1892</v>
      </c>
      <c r="I18" s="32"/>
      <c r="J18" s="32">
        <v>2.0</v>
      </c>
      <c r="K18" s="32" t="s">
        <v>117</v>
      </c>
      <c r="L18" s="32"/>
      <c r="M18" s="1"/>
      <c r="N18" s="1"/>
    </row>
    <row r="19" ht="16.5" customHeight="1">
      <c r="A19" s="1"/>
      <c r="B19" s="32">
        <v>13.0</v>
      </c>
      <c r="C19" s="32" t="s">
        <v>1894</v>
      </c>
      <c r="D19" s="32" t="s">
        <v>128</v>
      </c>
      <c r="E19" s="55"/>
      <c r="F19" s="32" t="s">
        <v>1861</v>
      </c>
      <c r="G19" s="32" t="s">
        <v>66</v>
      </c>
      <c r="H19" s="32" t="s">
        <v>1896</v>
      </c>
      <c r="I19" s="32"/>
      <c r="J19" s="32">
        <v>3.0</v>
      </c>
      <c r="K19" s="32" t="s">
        <v>117</v>
      </c>
      <c r="L19" s="32"/>
      <c r="M19" s="1"/>
      <c r="N19" s="1"/>
    </row>
    <row r="20" ht="16.5" customHeight="1">
      <c r="A20" s="1"/>
      <c r="B20" s="32">
        <v>14.0</v>
      </c>
      <c r="C20" s="32" t="s">
        <v>1898</v>
      </c>
      <c r="D20" s="32" t="s">
        <v>128</v>
      </c>
      <c r="E20" s="55"/>
      <c r="F20" s="32" t="s">
        <v>1861</v>
      </c>
      <c r="G20" s="32" t="s">
        <v>395</v>
      </c>
      <c r="H20" s="32" t="s">
        <v>1900</v>
      </c>
      <c r="I20" s="32"/>
      <c r="J20" s="32">
        <v>3.0</v>
      </c>
      <c r="K20" s="32" t="s">
        <v>117</v>
      </c>
      <c r="L20" s="32"/>
      <c r="M20" s="1"/>
      <c r="N20" s="1"/>
    </row>
    <row r="21" ht="16.5" customHeight="1">
      <c r="A21" s="1"/>
      <c r="B21" s="32">
        <v>15.0</v>
      </c>
      <c r="C21" s="32" t="s">
        <v>1901</v>
      </c>
      <c r="D21" s="32" t="s">
        <v>128</v>
      </c>
      <c r="E21" s="55"/>
      <c r="F21" s="32" t="s">
        <v>1861</v>
      </c>
      <c r="G21" s="32" t="s">
        <v>1038</v>
      </c>
      <c r="H21" s="32" t="s">
        <v>1902</v>
      </c>
      <c r="I21" s="32"/>
      <c r="J21" s="32">
        <v>3.0</v>
      </c>
      <c r="K21" s="32" t="s">
        <v>117</v>
      </c>
      <c r="L21" s="32"/>
      <c r="M21" s="1"/>
      <c r="N21" s="1"/>
    </row>
    <row r="22" ht="16.5" customHeight="1">
      <c r="A22" s="1"/>
      <c r="B22" s="32">
        <v>16.0</v>
      </c>
      <c r="C22" s="32" t="s">
        <v>1903</v>
      </c>
      <c r="D22" s="32" t="s">
        <v>128</v>
      </c>
      <c r="E22" s="55"/>
      <c r="F22" s="32" t="s">
        <v>1904</v>
      </c>
      <c r="G22" s="32" t="s">
        <v>66</v>
      </c>
      <c r="H22" s="32" t="s">
        <v>1906</v>
      </c>
      <c r="I22" s="32"/>
      <c r="J22" s="32">
        <v>10.0</v>
      </c>
      <c r="K22" s="32" t="s">
        <v>117</v>
      </c>
      <c r="L22" s="32"/>
      <c r="M22" s="1"/>
      <c r="N22" s="1"/>
    </row>
    <row r="23" ht="16.5" customHeight="1">
      <c r="A23" s="1"/>
      <c r="B23" s="32">
        <v>17.0</v>
      </c>
      <c r="C23" s="32" t="s">
        <v>1907</v>
      </c>
      <c r="D23" s="32" t="s">
        <v>128</v>
      </c>
      <c r="E23" s="55"/>
      <c r="F23" s="32" t="s">
        <v>1904</v>
      </c>
      <c r="G23" s="32" t="s">
        <v>360</v>
      </c>
      <c r="H23" s="32" t="s">
        <v>1908</v>
      </c>
      <c r="I23" s="32"/>
      <c r="J23" s="32">
        <v>3.0</v>
      </c>
      <c r="K23" s="32" t="s">
        <v>117</v>
      </c>
      <c r="L23" s="32"/>
      <c r="M23" s="1"/>
      <c r="N23" s="1"/>
    </row>
    <row r="24" ht="16.5" customHeight="1">
      <c r="A24" s="1"/>
      <c r="B24" s="32">
        <v>18.0</v>
      </c>
      <c r="C24" s="32" t="s">
        <v>1910</v>
      </c>
      <c r="D24" s="32" t="s">
        <v>128</v>
      </c>
      <c r="E24" s="55"/>
      <c r="F24" s="32" t="s">
        <v>65</v>
      </c>
      <c r="G24" s="32" t="s">
        <v>1038</v>
      </c>
      <c r="H24" s="32" t="s">
        <v>1862</v>
      </c>
      <c r="I24" s="32"/>
      <c r="J24" s="32">
        <v>5.0</v>
      </c>
      <c r="K24" s="32" t="s">
        <v>117</v>
      </c>
      <c r="L24" s="32"/>
      <c r="M24" s="1"/>
      <c r="N24" s="1"/>
    </row>
    <row r="25" ht="16.5" customHeight="1">
      <c r="A25" s="1"/>
      <c r="B25" s="32">
        <v>19.0</v>
      </c>
      <c r="C25" s="32" t="s">
        <v>1912</v>
      </c>
      <c r="D25" s="32" t="s">
        <v>128</v>
      </c>
      <c r="E25" s="55"/>
      <c r="F25" s="32" t="s">
        <v>65</v>
      </c>
      <c r="G25" s="32" t="s">
        <v>66</v>
      </c>
      <c r="H25" s="32" t="s">
        <v>1913</v>
      </c>
      <c r="I25" s="32"/>
      <c r="J25" s="32">
        <v>20.0</v>
      </c>
      <c r="K25" s="32" t="s">
        <v>117</v>
      </c>
      <c r="L25" s="32"/>
      <c r="M25" s="1"/>
      <c r="N25" s="1"/>
    </row>
    <row r="26" ht="16.5" customHeight="1">
      <c r="A26" s="1"/>
      <c r="B26" s="32">
        <v>20.0</v>
      </c>
      <c r="C26" s="32" t="s">
        <v>1915</v>
      </c>
      <c r="D26" s="32" t="s">
        <v>240</v>
      </c>
      <c r="E26" s="55"/>
      <c r="F26" s="32" t="s">
        <v>1916</v>
      </c>
      <c r="G26" s="32" t="s">
        <v>1038</v>
      </c>
      <c r="H26" s="32" t="s">
        <v>1917</v>
      </c>
      <c r="I26" s="32"/>
      <c r="J26" s="32">
        <v>45.0</v>
      </c>
      <c r="K26" s="32" t="s">
        <v>117</v>
      </c>
      <c r="L26" s="32"/>
      <c r="M26" s="1"/>
      <c r="N26" s="1"/>
    </row>
    <row r="27" ht="16.5" customHeight="1">
      <c r="A27" s="1"/>
      <c r="B27" s="32">
        <v>21.0</v>
      </c>
      <c r="C27" s="32" t="s">
        <v>1919</v>
      </c>
      <c r="D27" s="32" t="s">
        <v>240</v>
      </c>
      <c r="E27" s="55"/>
      <c r="F27" s="32" t="s">
        <v>65</v>
      </c>
      <c r="G27" s="32" t="s">
        <v>66</v>
      </c>
      <c r="H27" s="32" t="s">
        <v>1920</v>
      </c>
      <c r="I27" s="32"/>
      <c r="J27" s="32">
        <v>30.0</v>
      </c>
      <c r="K27" s="32" t="s">
        <v>117</v>
      </c>
      <c r="L27" s="32"/>
      <c r="M27" s="1"/>
      <c r="N27" s="1"/>
    </row>
    <row r="28" ht="16.5" customHeight="1">
      <c r="A28" s="1"/>
      <c r="B28" s="32">
        <v>22.0</v>
      </c>
      <c r="C28" s="32" t="s">
        <v>1922</v>
      </c>
      <c r="D28" s="32" t="s">
        <v>240</v>
      </c>
      <c r="E28" s="55"/>
      <c r="F28" s="32" t="s">
        <v>65</v>
      </c>
      <c r="G28" s="32" t="s">
        <v>1038</v>
      </c>
      <c r="H28" s="32" t="s">
        <v>1923</v>
      </c>
      <c r="I28" s="32"/>
      <c r="J28" s="32">
        <v>5.0</v>
      </c>
      <c r="K28" s="32" t="s">
        <v>117</v>
      </c>
      <c r="L28" s="32"/>
      <c r="M28" s="1"/>
      <c r="N28" s="1"/>
    </row>
    <row r="29" ht="16.5" customHeight="1">
      <c r="A29" s="1"/>
      <c r="B29" s="32">
        <v>23.0</v>
      </c>
      <c r="C29" s="32" t="s">
        <v>1925</v>
      </c>
      <c r="D29" s="32" t="s">
        <v>240</v>
      </c>
      <c r="E29" s="55"/>
      <c r="F29" s="32" t="s">
        <v>65</v>
      </c>
      <c r="G29" s="32" t="s">
        <v>66</v>
      </c>
      <c r="H29" s="32" t="s">
        <v>1926</v>
      </c>
      <c r="I29" s="32"/>
      <c r="J29" s="32">
        <v>10.0</v>
      </c>
      <c r="K29" s="32" t="s">
        <v>117</v>
      </c>
      <c r="L29" s="32"/>
      <c r="M29" s="1"/>
      <c r="N29" s="1"/>
    </row>
    <row r="30" ht="16.5" customHeight="1">
      <c r="A30" s="1"/>
      <c r="B30" s="32">
        <v>24.0</v>
      </c>
      <c r="C30" s="32" t="s">
        <v>1928</v>
      </c>
      <c r="D30" s="32" t="s">
        <v>128</v>
      </c>
      <c r="E30" s="55"/>
      <c r="F30" s="32" t="s">
        <v>65</v>
      </c>
      <c r="G30" s="32" t="s">
        <v>1038</v>
      </c>
      <c r="H30" s="32" t="s">
        <v>1862</v>
      </c>
      <c r="I30" s="32"/>
      <c r="J30" s="32">
        <v>3.0</v>
      </c>
      <c r="K30" s="32" t="s">
        <v>117</v>
      </c>
      <c r="L30" s="32"/>
      <c r="M30" s="1"/>
      <c r="N30" s="1"/>
    </row>
    <row r="31" ht="16.5" customHeight="1">
      <c r="A31" s="1"/>
      <c r="B31" s="32"/>
      <c r="C31" s="32"/>
      <c r="D31" s="32"/>
      <c r="E31" s="55"/>
      <c r="F31" s="32"/>
      <c r="G31" s="32"/>
      <c r="H31" s="32"/>
      <c r="I31" s="32"/>
      <c r="J31" s="32"/>
      <c r="K31" s="32"/>
      <c r="L31" s="32"/>
      <c r="M31" s="1"/>
      <c r="N31" s="1"/>
    </row>
    <row r="32" ht="16.5" customHeight="1">
      <c r="A32" s="1"/>
      <c r="B32" s="32"/>
      <c r="C32" s="32"/>
      <c r="D32" s="32"/>
      <c r="E32" s="55"/>
      <c r="F32" s="32"/>
      <c r="G32" s="32"/>
      <c r="H32" s="32"/>
      <c r="I32" s="32"/>
      <c r="J32" s="32"/>
      <c r="K32" s="32"/>
      <c r="L32" s="32"/>
      <c r="M32" s="1"/>
      <c r="N32" s="1"/>
    </row>
    <row r="33" ht="16.5" customHeight="1">
      <c r="A33" s="1"/>
      <c r="B33" s="32"/>
      <c r="C33" s="32"/>
      <c r="D33" s="32"/>
      <c r="E33" s="55"/>
      <c r="F33" s="32"/>
      <c r="G33" s="32"/>
      <c r="H33" s="32"/>
      <c r="I33" s="32"/>
      <c r="J33" s="32"/>
      <c r="K33" s="32"/>
      <c r="L33" s="32"/>
      <c r="M33" s="1"/>
      <c r="N33" s="1"/>
    </row>
    <row r="34" ht="16.5" customHeight="1">
      <c r="A34" s="1"/>
      <c r="B34" s="32"/>
      <c r="C34" s="32"/>
      <c r="D34" s="32"/>
      <c r="E34" s="32"/>
      <c r="F34" s="32"/>
      <c r="G34" s="32"/>
      <c r="H34" s="32"/>
      <c r="I34" s="32"/>
      <c r="J34" s="32"/>
      <c r="K34" s="32"/>
      <c r="L34" s="32"/>
      <c r="M34" s="1"/>
      <c r="N34" s="1"/>
    </row>
    <row r="35" ht="16.5" customHeight="1">
      <c r="A35" s="1"/>
      <c r="B35" s="32"/>
      <c r="C35" s="32"/>
      <c r="D35" s="32"/>
      <c r="E35" s="32"/>
      <c r="F35" s="32"/>
      <c r="G35" s="32"/>
      <c r="H35" s="32"/>
      <c r="I35" s="32"/>
      <c r="J35" s="32"/>
      <c r="K35" s="32"/>
      <c r="L35" s="32"/>
      <c r="M35" s="1"/>
      <c r="N35" s="1"/>
    </row>
    <row r="36" ht="21.75" customHeight="1">
      <c r="A36" s="5"/>
      <c r="B36" s="61" t="s">
        <v>1933</v>
      </c>
      <c r="C36" s="8"/>
      <c r="D36" s="61"/>
      <c r="E36" s="8"/>
      <c r="F36" s="8"/>
      <c r="G36" s="8"/>
      <c r="H36" s="8"/>
      <c r="I36" s="8"/>
      <c r="J36" s="61"/>
      <c r="K36" s="61"/>
      <c r="L36" s="8"/>
      <c r="M36" s="5"/>
      <c r="N36" s="5"/>
    </row>
    <row r="37" ht="30.0" customHeight="1">
      <c r="A37" s="16"/>
      <c r="B37" s="17" t="s">
        <v>460</v>
      </c>
      <c r="C37" s="17" t="s">
        <v>1935</v>
      </c>
      <c r="D37" s="17" t="s">
        <v>62</v>
      </c>
      <c r="E37" s="17" t="s">
        <v>1818</v>
      </c>
      <c r="F37" s="17" t="s">
        <v>1936</v>
      </c>
      <c r="G37" s="17" t="s">
        <v>1937</v>
      </c>
      <c r="H37" s="17" t="s">
        <v>1938</v>
      </c>
      <c r="I37" s="17" t="s">
        <v>1939</v>
      </c>
      <c r="J37" s="17" t="s">
        <v>88</v>
      </c>
      <c r="K37" s="17" t="s">
        <v>1940</v>
      </c>
      <c r="L37" s="17" t="s">
        <v>50</v>
      </c>
      <c r="M37" s="16"/>
      <c r="N37" s="16"/>
    </row>
    <row r="38" ht="16.5" customHeight="1">
      <c r="A38" s="1"/>
      <c r="B38" s="32">
        <v>1.0</v>
      </c>
      <c r="C38" s="32" t="s">
        <v>1941</v>
      </c>
      <c r="D38" s="32" t="s">
        <v>128</v>
      </c>
      <c r="E38" s="32" t="s">
        <v>1038</v>
      </c>
      <c r="F38" s="32" t="s">
        <v>1942</v>
      </c>
      <c r="G38" s="32" t="s">
        <v>1943</v>
      </c>
      <c r="H38" s="24">
        <f>WeddingDate-200</f>
        <v>46433</v>
      </c>
      <c r="I38" s="24"/>
      <c r="J38" s="32" t="s">
        <v>117</v>
      </c>
      <c r="K38" s="32" t="s">
        <v>1944</v>
      </c>
      <c r="L38" s="32"/>
      <c r="M38" s="1"/>
      <c r="N38" s="1"/>
    </row>
    <row r="39" ht="16.5" customHeight="1">
      <c r="A39" s="1"/>
      <c r="B39" s="32">
        <v>2.0</v>
      </c>
      <c r="C39" s="32" t="s">
        <v>1945</v>
      </c>
      <c r="D39" s="32" t="s">
        <v>128</v>
      </c>
      <c r="E39" s="32" t="s">
        <v>1038</v>
      </c>
      <c r="F39" s="32" t="s">
        <v>1862</v>
      </c>
      <c r="G39" s="32" t="s">
        <v>1946</v>
      </c>
      <c r="H39" s="24">
        <f>WeddingDate-200</f>
        <v>46433</v>
      </c>
      <c r="I39" s="24"/>
      <c r="J39" s="32" t="s">
        <v>117</v>
      </c>
      <c r="K39" s="32" t="s">
        <v>1944</v>
      </c>
      <c r="L39" s="32"/>
      <c r="M39" s="1"/>
      <c r="N39" s="1"/>
    </row>
    <row r="40" ht="16.5" customHeight="1">
      <c r="A40" s="1"/>
      <c r="B40" s="32">
        <v>3.0</v>
      </c>
      <c r="C40" s="32" t="s">
        <v>1947</v>
      </c>
      <c r="D40" s="32" t="s">
        <v>128</v>
      </c>
      <c r="E40" s="32" t="s">
        <v>1038</v>
      </c>
      <c r="F40" s="32" t="s">
        <v>1948</v>
      </c>
      <c r="G40" s="32" t="s">
        <v>1949</v>
      </c>
      <c r="H40" s="24">
        <f>WeddingDate-90</f>
        <v>46543</v>
      </c>
      <c r="I40" s="24"/>
      <c r="J40" s="32" t="s">
        <v>117</v>
      </c>
      <c r="K40" s="32" t="s">
        <v>1944</v>
      </c>
      <c r="L40" s="32"/>
      <c r="M40" s="1"/>
      <c r="N40" s="1"/>
    </row>
    <row r="41" ht="16.5" customHeight="1">
      <c r="A41" s="1"/>
      <c r="B41" s="32">
        <v>4.0</v>
      </c>
      <c r="C41" s="32" t="s">
        <v>1951</v>
      </c>
      <c r="D41" s="32" t="s">
        <v>128</v>
      </c>
      <c r="E41" s="32" t="s">
        <v>1038</v>
      </c>
      <c r="F41" s="32" t="s">
        <v>1952</v>
      </c>
      <c r="G41" s="32" t="s">
        <v>1949</v>
      </c>
      <c r="H41" s="24">
        <f>WeddingDate-90</f>
        <v>46543</v>
      </c>
      <c r="I41" s="24"/>
      <c r="J41" s="32" t="s">
        <v>117</v>
      </c>
      <c r="K41" s="32" t="s">
        <v>1240</v>
      </c>
      <c r="L41" s="32"/>
      <c r="M41" s="1"/>
      <c r="N41" s="1"/>
    </row>
    <row r="42" ht="16.5" customHeight="1">
      <c r="A42" s="1"/>
      <c r="B42" s="32">
        <v>5.0</v>
      </c>
      <c r="C42" s="32" t="s">
        <v>1954</v>
      </c>
      <c r="D42" s="32" t="s">
        <v>128</v>
      </c>
      <c r="E42" s="32" t="s">
        <v>1038</v>
      </c>
      <c r="F42" s="32" t="s">
        <v>1862</v>
      </c>
      <c r="G42" s="32" t="s">
        <v>1946</v>
      </c>
      <c r="H42" s="24">
        <f>WeddingDate-90</f>
        <v>46543</v>
      </c>
      <c r="I42" s="24"/>
      <c r="J42" s="32" t="s">
        <v>117</v>
      </c>
      <c r="K42" s="32" t="s">
        <v>1944</v>
      </c>
      <c r="L42" s="32"/>
      <c r="M42" s="1"/>
      <c r="N42" s="1"/>
    </row>
    <row r="43" ht="16.5" customHeight="1">
      <c r="A43" s="1"/>
      <c r="B43" s="32">
        <v>6.0</v>
      </c>
      <c r="C43" s="32" t="s">
        <v>1957</v>
      </c>
      <c r="D43" s="32" t="s">
        <v>128</v>
      </c>
      <c r="E43" s="32" t="s">
        <v>1038</v>
      </c>
      <c r="F43" s="32" t="s">
        <v>1958</v>
      </c>
      <c r="G43" s="32" t="s">
        <v>1946</v>
      </c>
      <c r="H43" s="24">
        <f>WeddingDate-85</f>
        <v>46548</v>
      </c>
      <c r="I43" s="24"/>
      <c r="J43" s="32" t="s">
        <v>117</v>
      </c>
      <c r="K43" s="32" t="s">
        <v>1240</v>
      </c>
      <c r="L43" s="32"/>
      <c r="M43" s="1"/>
      <c r="N43" s="1"/>
    </row>
    <row r="44" ht="16.5" customHeight="1">
      <c r="A44" s="1"/>
      <c r="B44" s="32">
        <v>7.0</v>
      </c>
      <c r="C44" s="32" t="s">
        <v>1960</v>
      </c>
      <c r="D44" s="32" t="s">
        <v>128</v>
      </c>
      <c r="E44" s="32" t="s">
        <v>1038</v>
      </c>
      <c r="F44" s="32" t="s">
        <v>1961</v>
      </c>
      <c r="G44" s="32" t="s">
        <v>1862</v>
      </c>
      <c r="H44" s="24">
        <f>WeddingDate-80</f>
        <v>46553</v>
      </c>
      <c r="I44" s="24"/>
      <c r="J44" s="32" t="s">
        <v>117</v>
      </c>
      <c r="K44" s="32" t="s">
        <v>1944</v>
      </c>
      <c r="L44" s="32"/>
      <c r="M44" s="1"/>
      <c r="N44" s="1"/>
    </row>
    <row r="45" ht="16.5" customHeight="1">
      <c r="A45" s="1"/>
      <c r="B45" s="32">
        <v>8.0</v>
      </c>
      <c r="C45" s="32" t="s">
        <v>1963</v>
      </c>
      <c r="D45" s="32" t="s">
        <v>128</v>
      </c>
      <c r="E45" s="32" t="s">
        <v>1038</v>
      </c>
      <c r="F45" s="32" t="s">
        <v>1964</v>
      </c>
      <c r="G45" s="32" t="s">
        <v>1862</v>
      </c>
      <c r="H45" s="24">
        <f>WeddingDate-80</f>
        <v>46553</v>
      </c>
      <c r="I45" s="24"/>
      <c r="J45" s="32" t="s">
        <v>117</v>
      </c>
      <c r="K45" s="32" t="s">
        <v>1240</v>
      </c>
      <c r="L45" s="32"/>
      <c r="M45" s="1"/>
      <c r="N45" s="1"/>
    </row>
    <row r="46" ht="16.5" customHeight="1">
      <c r="A46" s="1"/>
      <c r="B46" s="32">
        <v>9.0</v>
      </c>
      <c r="C46" s="32" t="s">
        <v>1966</v>
      </c>
      <c r="D46" s="32" t="s">
        <v>128</v>
      </c>
      <c r="E46" s="32" t="s">
        <v>1038</v>
      </c>
      <c r="F46" s="32" t="s">
        <v>1967</v>
      </c>
      <c r="G46" s="32" t="s">
        <v>1968</v>
      </c>
      <c r="H46" s="24">
        <f>WeddingDate-75</f>
        <v>46558</v>
      </c>
      <c r="I46" s="24"/>
      <c r="J46" s="32" t="s">
        <v>117</v>
      </c>
      <c r="K46" s="32" t="s">
        <v>1944</v>
      </c>
      <c r="L46" s="32"/>
      <c r="M46" s="1"/>
      <c r="N46" s="1"/>
    </row>
    <row r="47" ht="16.5" customHeight="1">
      <c r="A47" s="1"/>
      <c r="B47" s="32">
        <v>10.0</v>
      </c>
      <c r="C47" s="32" t="s">
        <v>1971</v>
      </c>
      <c r="D47" s="32" t="s">
        <v>128</v>
      </c>
      <c r="E47" s="32" t="s">
        <v>1038</v>
      </c>
      <c r="F47" s="32" t="s">
        <v>1972</v>
      </c>
      <c r="G47" s="32" t="s">
        <v>1973</v>
      </c>
      <c r="H47" s="24">
        <f>WeddingDate-120</f>
        <v>46513</v>
      </c>
      <c r="I47" s="24"/>
      <c r="J47" s="32" t="s">
        <v>117</v>
      </c>
      <c r="K47" s="32" t="s">
        <v>1944</v>
      </c>
      <c r="L47" s="32"/>
      <c r="M47" s="1"/>
      <c r="N47" s="1"/>
    </row>
    <row r="48" ht="16.5" customHeight="1">
      <c r="A48" s="1"/>
      <c r="B48" s="32">
        <v>11.0</v>
      </c>
      <c r="C48" s="32" t="s">
        <v>1975</v>
      </c>
      <c r="D48" s="32" t="s">
        <v>128</v>
      </c>
      <c r="E48" s="32" t="s">
        <v>1038</v>
      </c>
      <c r="F48" s="32" t="s">
        <v>1976</v>
      </c>
      <c r="G48" s="32" t="s">
        <v>1978</v>
      </c>
      <c r="H48" s="24">
        <f>WeddingDate-150</f>
        <v>46483</v>
      </c>
      <c r="I48" s="24"/>
      <c r="J48" s="32" t="s">
        <v>117</v>
      </c>
      <c r="K48" s="32" t="s">
        <v>1944</v>
      </c>
      <c r="L48" s="32"/>
      <c r="M48" s="1"/>
      <c r="N48" s="1"/>
    </row>
    <row r="49" ht="16.5" customHeight="1">
      <c r="A49" s="1"/>
      <c r="B49" s="32">
        <v>12.0</v>
      </c>
      <c r="C49" s="32" t="s">
        <v>1979</v>
      </c>
      <c r="D49" s="32" t="s">
        <v>128</v>
      </c>
      <c r="E49" s="32" t="s">
        <v>1038</v>
      </c>
      <c r="F49" s="32" t="s">
        <v>1862</v>
      </c>
      <c r="G49" s="32" t="s">
        <v>1946</v>
      </c>
      <c r="H49" s="24">
        <f>WeddingDate-150</f>
        <v>46483</v>
      </c>
      <c r="I49" s="24"/>
      <c r="J49" s="32" t="s">
        <v>117</v>
      </c>
      <c r="K49" s="32" t="s">
        <v>1944</v>
      </c>
      <c r="L49" s="32"/>
      <c r="M49" s="1"/>
      <c r="N49" s="1"/>
    </row>
    <row r="50" ht="16.5" customHeight="1">
      <c r="A50" s="1"/>
      <c r="B50" s="32">
        <v>13.0</v>
      </c>
      <c r="C50" s="32" t="s">
        <v>1981</v>
      </c>
      <c r="D50" s="32" t="s">
        <v>128</v>
      </c>
      <c r="E50" s="32" t="s">
        <v>1038</v>
      </c>
      <c r="F50" s="32" t="s">
        <v>1862</v>
      </c>
      <c r="G50" s="32" t="s">
        <v>1983</v>
      </c>
      <c r="H50" s="24">
        <f>WeddingDate-150</f>
        <v>46483</v>
      </c>
      <c r="I50" s="24"/>
      <c r="J50" s="32" t="s">
        <v>117</v>
      </c>
      <c r="K50" s="32" t="s">
        <v>1944</v>
      </c>
      <c r="L50" s="32"/>
      <c r="M50" s="1"/>
      <c r="N50" s="1"/>
    </row>
    <row r="51" ht="16.5" customHeight="1">
      <c r="A51" s="1"/>
      <c r="B51" s="32">
        <v>14.0</v>
      </c>
      <c r="C51" s="32" t="s">
        <v>1984</v>
      </c>
      <c r="D51" s="32" t="s">
        <v>128</v>
      </c>
      <c r="E51" s="32" t="s">
        <v>1038</v>
      </c>
      <c r="F51" s="32" t="s">
        <v>1986</v>
      </c>
      <c r="G51" s="32" t="s">
        <v>1862</v>
      </c>
      <c r="H51" s="24">
        <f>WeddingDate-7</f>
        <v>46626</v>
      </c>
      <c r="I51" s="24"/>
      <c r="J51" s="32" t="s">
        <v>117</v>
      </c>
      <c r="K51" s="32" t="s">
        <v>1240</v>
      </c>
      <c r="L51" s="32"/>
      <c r="M51" s="1"/>
      <c r="N51" s="1"/>
    </row>
    <row r="52" ht="16.5" customHeight="1">
      <c r="A52" s="1"/>
      <c r="B52" s="32">
        <v>15.0</v>
      </c>
      <c r="C52" s="32" t="s">
        <v>1987</v>
      </c>
      <c r="D52" s="32" t="s">
        <v>128</v>
      </c>
      <c r="E52" s="32" t="s">
        <v>1038</v>
      </c>
      <c r="F52" s="32" t="s">
        <v>1989</v>
      </c>
      <c r="G52" s="32" t="s">
        <v>295</v>
      </c>
      <c r="H52" s="24">
        <f>WeddingDate-0</f>
        <v>46633</v>
      </c>
      <c r="I52" s="24"/>
      <c r="J52" s="32" t="s">
        <v>117</v>
      </c>
      <c r="K52" s="32" t="s">
        <v>1240</v>
      </c>
      <c r="L52" s="32"/>
      <c r="M52" s="1"/>
      <c r="N52" s="1"/>
    </row>
    <row r="53" ht="16.5" customHeight="1">
      <c r="A53" s="1"/>
      <c r="B53" s="32">
        <v>16.0</v>
      </c>
      <c r="C53" s="32" t="s">
        <v>1990</v>
      </c>
      <c r="D53" s="32" t="s">
        <v>128</v>
      </c>
      <c r="E53" s="32" t="s">
        <v>1038</v>
      </c>
      <c r="F53" s="32" t="s">
        <v>1991</v>
      </c>
      <c r="G53" s="32" t="s">
        <v>1949</v>
      </c>
      <c r="H53" s="24">
        <f>WeddingDate+14</f>
        <v>46647</v>
      </c>
      <c r="I53" s="24"/>
      <c r="J53" s="32" t="s">
        <v>117</v>
      </c>
      <c r="K53" s="32" t="s">
        <v>1944</v>
      </c>
      <c r="L53" s="32"/>
      <c r="M53" s="1"/>
      <c r="N53" s="1"/>
    </row>
    <row r="54" ht="16.5" customHeight="1">
      <c r="A54" s="1"/>
      <c r="B54" s="32">
        <v>17.0</v>
      </c>
      <c r="C54" s="32" t="s">
        <v>1993</v>
      </c>
      <c r="D54" s="32" t="s">
        <v>128</v>
      </c>
      <c r="E54" s="32" t="s">
        <v>1256</v>
      </c>
      <c r="F54" s="32" t="s">
        <v>1994</v>
      </c>
      <c r="G54" s="32" t="s">
        <v>1995</v>
      </c>
      <c r="H54" s="24">
        <f>WeddingDate+60</f>
        <v>46693</v>
      </c>
      <c r="I54" s="24"/>
      <c r="J54" s="32" t="s">
        <v>117</v>
      </c>
      <c r="K54" s="32" t="s">
        <v>1944</v>
      </c>
      <c r="L54" s="32"/>
      <c r="M54" s="1"/>
      <c r="N54" s="1"/>
    </row>
    <row r="55" ht="16.5" customHeight="1">
      <c r="A55" s="1"/>
      <c r="B55" s="32"/>
      <c r="C55" s="32"/>
      <c r="D55" s="32"/>
      <c r="E55" s="32"/>
      <c r="F55" s="32"/>
      <c r="G55" s="32"/>
      <c r="H55" s="24"/>
      <c r="I55" s="24"/>
      <c r="J55" s="32"/>
      <c r="K55" s="32"/>
      <c r="L55" s="32"/>
      <c r="M55" s="1"/>
      <c r="N55" s="1"/>
    </row>
    <row r="56" ht="16.5" customHeight="1">
      <c r="A56" s="1"/>
      <c r="B56" s="32"/>
      <c r="C56" s="32"/>
      <c r="D56" s="32"/>
      <c r="E56" s="32"/>
      <c r="F56" s="32"/>
      <c r="G56" s="32"/>
      <c r="H56" s="24"/>
      <c r="I56" s="24"/>
      <c r="J56" s="32"/>
      <c r="K56" s="32"/>
      <c r="L56" s="32"/>
      <c r="M56" s="1"/>
      <c r="N56" s="1"/>
    </row>
    <row r="57" ht="16.5" customHeight="1">
      <c r="A57" s="1"/>
      <c r="B57" s="32"/>
      <c r="C57" s="32"/>
      <c r="D57" s="32"/>
      <c r="E57" s="32"/>
      <c r="F57" s="32"/>
      <c r="G57" s="32"/>
      <c r="H57" s="24"/>
      <c r="I57" s="24"/>
      <c r="J57" s="32"/>
      <c r="K57" s="32"/>
      <c r="L57" s="32"/>
      <c r="M57" s="1"/>
      <c r="N57" s="1"/>
    </row>
    <row r="58" ht="16.5" customHeight="1">
      <c r="A58" s="1"/>
      <c r="B58" s="32"/>
      <c r="C58" s="32"/>
      <c r="D58" s="32"/>
      <c r="E58" s="32"/>
      <c r="F58" s="32"/>
      <c r="G58" s="32"/>
      <c r="H58" s="24"/>
      <c r="I58" s="24"/>
      <c r="J58" s="32"/>
      <c r="K58" s="32"/>
      <c r="L58" s="32"/>
      <c r="M58" s="1"/>
      <c r="N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L58">
    <cfRule type="expression" dxfId="11" priority="1" stopIfTrue="1">
      <formula>$D7="Not Applicable"</formula>
    </cfRule>
  </conditionalFormatting>
  <conditionalFormatting sqref="B7:L33">
    <cfRule type="expression" dxfId="7" priority="2">
      <formula>$D7="Optional"</formula>
    </cfRule>
  </conditionalFormatting>
  <conditionalFormatting sqref="K38:K58">
    <cfRule type="cellIs" dxfId="8" priority="3" operator="equal">
      <formula>"VERIFY"</formula>
    </cfRule>
  </conditionalFormatting>
  <conditionalFormatting sqref="B38:L58">
    <cfRule type="expression" dxfId="3" priority="4">
      <formula>$J38="Completed"</formula>
    </cfRule>
  </conditionalFormatting>
  <dataValidations>
    <dataValidation type="list" allowBlank="1" sqref="K7:K33 J38:J58">
      <formula1>"Not Started,In Progress,Waiting,Completed,Cancelled"</formula1>
    </dataValidation>
    <dataValidation type="list" allowBlank="1" sqref="D38:D58">
      <formula1>"Required,Optional,Not Applicable"</formula1>
    </dataValidation>
    <dataValidation type="list" allowBlank="1" sqref="K38:K58">
      <formula1>"VERIFY,No,Verified"</formula1>
    </dataValidation>
    <dataValidation type="list" allowBlank="1" sqref="D7:D33">
      <formula1>"Required,Optional,Not Applicable,Completed"</formula1>
    </dataValidation>
    <dataValidation type="list" allowBlank="1" sqref="G7:G33">
      <formula1>"Bride,Groom,Couple,Bride's Family,Groom's Family,Coordinator,Vendor,Shared"</formula1>
    </dataValidation>
  </dataValidations>
  <printOptions horizontalCentered="1"/>
  <pageMargins bottom="0.4" footer="0.0" header="0.0" left="0.3" right="0.3" top="0.4"/>
  <pageSetup fitToHeight="0" orientation="landscape"/>
  <headerFooter>
    <oddFooter>&amp;C 14 Ceremony Legal   -   page &amp;P of </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47.14"/>
    <col customWidth="1" min="4" max="4" width="11.86"/>
    <col customWidth="1" min="5" max="5" width="7.43"/>
    <col customWidth="1" min="6" max="6" width="25.86"/>
    <col customWidth="1" min="7" max="7" width="14.57"/>
    <col customWidth="1" min="8" max="8" width="11.86"/>
    <col customWidth="1" min="9" max="9" width="12.86"/>
    <col customWidth="1" min="10" max="10" width="16.14"/>
    <col customWidth="1" min="11" max="11" width="17.14"/>
    <col customWidth="1" min="12" max="12" width="13.86"/>
    <col customWidth="1" min="13" max="13" width="32.14"/>
  </cols>
  <sheetData>
    <row r="1" ht="16.5" customHeight="1">
      <c r="A1" s="1"/>
      <c r="B1" s="1"/>
      <c r="C1" s="1"/>
      <c r="D1" s="1"/>
      <c r="E1" s="1"/>
      <c r="F1" s="1"/>
      <c r="G1" s="1"/>
      <c r="H1" s="1"/>
      <c r="I1" s="1"/>
      <c r="J1" s="1"/>
      <c r="K1" s="1"/>
      <c r="L1" s="1"/>
      <c r="M1" s="1"/>
    </row>
    <row r="2" ht="33.75" customHeight="1">
      <c r="A2" s="2"/>
      <c r="B2" s="2" t="s">
        <v>1868</v>
      </c>
      <c r="C2" s="2"/>
      <c r="D2" s="2"/>
      <c r="E2" s="2"/>
      <c r="F2" s="2"/>
      <c r="G2" s="2"/>
      <c r="H2" s="2"/>
      <c r="I2" s="2"/>
      <c r="J2" s="2"/>
      <c r="K2" s="2"/>
      <c r="L2" s="2"/>
      <c r="M2" s="2"/>
    </row>
    <row r="3" ht="15.75" customHeight="1">
      <c r="A3" s="3"/>
      <c r="B3" s="3" t="s">
        <v>1870</v>
      </c>
      <c r="C3" s="3"/>
      <c r="D3" s="3"/>
      <c r="E3" s="3"/>
      <c r="F3" s="3"/>
      <c r="G3" s="3"/>
      <c r="H3" s="3"/>
      <c r="I3" s="3"/>
      <c r="J3" s="3"/>
      <c r="K3" s="3"/>
      <c r="L3" s="3"/>
      <c r="M3" s="3"/>
    </row>
    <row r="4" ht="16.5" customHeight="1">
      <c r="A4" s="1"/>
      <c r="B4" s="1"/>
      <c r="C4" s="1"/>
      <c r="D4" s="1"/>
      <c r="E4" s="1"/>
      <c r="F4" s="1"/>
      <c r="G4" s="1"/>
      <c r="H4" s="1"/>
      <c r="I4" s="1"/>
      <c r="J4" s="1"/>
      <c r="K4" s="1"/>
      <c r="L4" s="1"/>
      <c r="M4" s="1"/>
    </row>
    <row r="5" ht="16.5" customHeight="1">
      <c r="A5" s="1"/>
      <c r="B5" s="1"/>
      <c r="C5" s="1"/>
      <c r="D5" s="1"/>
      <c r="E5" s="1"/>
      <c r="F5" s="1"/>
      <c r="G5" s="1"/>
      <c r="H5" s="1"/>
      <c r="I5" s="1"/>
      <c r="J5" s="1"/>
      <c r="K5" s="1"/>
      <c r="L5" s="1"/>
      <c r="M5" s="1"/>
    </row>
    <row r="6" ht="30.0" customHeight="1">
      <c r="A6" s="16"/>
      <c r="B6" s="17" t="s">
        <v>288</v>
      </c>
      <c r="C6" s="17" t="s">
        <v>1783</v>
      </c>
      <c r="D6" s="17" t="s">
        <v>62</v>
      </c>
      <c r="E6" s="17" t="s">
        <v>1875</v>
      </c>
      <c r="F6" s="17" t="s">
        <v>1876</v>
      </c>
      <c r="G6" s="17" t="s">
        <v>1233</v>
      </c>
      <c r="H6" s="17" t="s">
        <v>1877</v>
      </c>
      <c r="I6" s="17" t="s">
        <v>1878</v>
      </c>
      <c r="J6" s="17" t="s">
        <v>1879</v>
      </c>
      <c r="K6" s="17" t="s">
        <v>1881</v>
      </c>
      <c r="L6" s="17" t="s">
        <v>88</v>
      </c>
      <c r="M6" s="17" t="s">
        <v>50</v>
      </c>
    </row>
    <row r="7" ht="16.5" customHeight="1">
      <c r="A7" s="1"/>
      <c r="B7" s="32" t="s">
        <v>1882</v>
      </c>
      <c r="C7" s="32" t="s">
        <v>1884</v>
      </c>
      <c r="D7" s="32" t="s">
        <v>128</v>
      </c>
      <c r="E7" s="32">
        <v>1.0</v>
      </c>
      <c r="F7" s="32"/>
      <c r="G7" s="38"/>
      <c r="H7" s="55"/>
      <c r="I7" s="55"/>
      <c r="J7" s="32"/>
      <c r="K7" s="32"/>
      <c r="L7" s="32"/>
      <c r="M7" s="32"/>
    </row>
    <row r="8" ht="16.5" customHeight="1">
      <c r="A8" s="1"/>
      <c r="B8" s="32" t="s">
        <v>1882</v>
      </c>
      <c r="C8" s="32" t="s">
        <v>1887</v>
      </c>
      <c r="D8" s="32" t="s">
        <v>128</v>
      </c>
      <c r="E8" s="32">
        <v>1.0</v>
      </c>
      <c r="F8" s="32"/>
      <c r="G8" s="38"/>
      <c r="H8" s="55"/>
      <c r="I8" s="55"/>
      <c r="J8" s="32"/>
      <c r="K8" s="32"/>
      <c r="L8" s="32"/>
      <c r="M8" s="32"/>
    </row>
    <row r="9" ht="16.5" customHeight="1">
      <c r="A9" s="1"/>
      <c r="B9" s="32" t="s">
        <v>1882</v>
      </c>
      <c r="C9" s="32" t="s">
        <v>1890</v>
      </c>
      <c r="D9" s="32" t="s">
        <v>128</v>
      </c>
      <c r="E9" s="32">
        <v>2.0</v>
      </c>
      <c r="F9" s="32"/>
      <c r="G9" s="38"/>
      <c r="H9" s="55"/>
      <c r="I9" s="55"/>
      <c r="J9" s="32"/>
      <c r="K9" s="32"/>
      <c r="L9" s="32"/>
      <c r="M9" s="32"/>
    </row>
    <row r="10" ht="16.5" customHeight="1">
      <c r="A10" s="1"/>
      <c r="B10" s="32" t="s">
        <v>1882</v>
      </c>
      <c r="C10" s="32" t="s">
        <v>1893</v>
      </c>
      <c r="D10" s="32" t="s">
        <v>128</v>
      </c>
      <c r="E10" s="32">
        <v>1.0</v>
      </c>
      <c r="F10" s="32"/>
      <c r="G10" s="38"/>
      <c r="H10" s="55"/>
      <c r="I10" s="55"/>
      <c r="J10" s="32"/>
      <c r="K10" s="32"/>
      <c r="L10" s="32"/>
      <c r="M10" s="32"/>
    </row>
    <row r="11" ht="16.5" customHeight="1">
      <c r="A11" s="1"/>
      <c r="B11" s="32" t="s">
        <v>1895</v>
      </c>
      <c r="C11" s="32" t="s">
        <v>1897</v>
      </c>
      <c r="D11" s="32" t="s">
        <v>128</v>
      </c>
      <c r="E11" s="32">
        <v>1.0</v>
      </c>
      <c r="F11" s="32"/>
      <c r="G11" s="38"/>
      <c r="H11" s="55"/>
      <c r="I11" s="55"/>
      <c r="J11" s="32"/>
      <c r="K11" s="32"/>
      <c r="L11" s="32"/>
      <c r="M11" s="32"/>
    </row>
    <row r="12" ht="16.5" customHeight="1">
      <c r="A12" s="1"/>
      <c r="B12" s="32" t="s">
        <v>1895</v>
      </c>
      <c r="C12" s="32" t="s">
        <v>1899</v>
      </c>
      <c r="D12" s="32" t="s">
        <v>128</v>
      </c>
      <c r="E12" s="32">
        <v>1.0</v>
      </c>
      <c r="F12" s="32"/>
      <c r="G12" s="38"/>
      <c r="H12" s="55"/>
      <c r="I12" s="55"/>
      <c r="J12" s="32"/>
      <c r="K12" s="32"/>
      <c r="L12" s="32"/>
      <c r="M12" s="32"/>
    </row>
    <row r="13" ht="16.5" customHeight="1">
      <c r="A13" s="1"/>
      <c r="B13" s="32" t="s">
        <v>1895</v>
      </c>
      <c r="C13" s="32" t="s">
        <v>608</v>
      </c>
      <c r="D13" s="32" t="s">
        <v>128</v>
      </c>
      <c r="E13" s="32">
        <v>1.0</v>
      </c>
      <c r="F13" s="32"/>
      <c r="G13" s="38"/>
      <c r="H13" s="55"/>
      <c r="I13" s="55"/>
      <c r="J13" s="32"/>
      <c r="K13" s="32"/>
      <c r="L13" s="32"/>
      <c r="M13" s="32"/>
    </row>
    <row r="14" ht="16.5" customHeight="1">
      <c r="A14" s="1"/>
      <c r="B14" s="32" t="s">
        <v>1895</v>
      </c>
      <c r="C14" s="32" t="s">
        <v>1905</v>
      </c>
      <c r="D14" s="32" t="s">
        <v>128</v>
      </c>
      <c r="E14" s="32">
        <v>1.0</v>
      </c>
      <c r="F14" s="32"/>
      <c r="G14" s="38"/>
      <c r="H14" s="55"/>
      <c r="I14" s="55"/>
      <c r="J14" s="32"/>
      <c r="K14" s="32"/>
      <c r="L14" s="32"/>
      <c r="M14" s="32"/>
    </row>
    <row r="15" ht="16.5" customHeight="1">
      <c r="A15" s="1"/>
      <c r="B15" s="32" t="s">
        <v>349</v>
      </c>
      <c r="C15" s="32" t="s">
        <v>1909</v>
      </c>
      <c r="D15" s="32" t="s">
        <v>128</v>
      </c>
      <c r="E15" s="32">
        <v>1.0</v>
      </c>
      <c r="F15" s="32"/>
      <c r="G15" s="38"/>
      <c r="H15" s="55"/>
      <c r="I15" s="55"/>
      <c r="J15" s="32"/>
      <c r="K15" s="32"/>
      <c r="L15" s="32"/>
      <c r="M15" s="32"/>
    </row>
    <row r="16" ht="16.5" customHeight="1">
      <c r="A16" s="1"/>
      <c r="B16" s="32" t="s">
        <v>349</v>
      </c>
      <c r="C16" s="32" t="s">
        <v>1911</v>
      </c>
      <c r="D16" s="32" t="s">
        <v>128</v>
      </c>
      <c r="E16" s="32">
        <v>1.0</v>
      </c>
      <c r="F16" s="32"/>
      <c r="G16" s="38"/>
      <c r="H16" s="55"/>
      <c r="I16" s="55"/>
      <c r="J16" s="32"/>
      <c r="K16" s="32"/>
      <c r="L16" s="32"/>
      <c r="M16" s="32"/>
    </row>
    <row r="17" ht="16.5" customHeight="1">
      <c r="A17" s="1"/>
      <c r="B17" s="32" t="s">
        <v>349</v>
      </c>
      <c r="C17" s="32" t="s">
        <v>1914</v>
      </c>
      <c r="D17" s="32" t="s">
        <v>128</v>
      </c>
      <c r="E17" s="32">
        <v>1.0</v>
      </c>
      <c r="F17" s="32"/>
      <c r="G17" s="38"/>
      <c r="H17" s="55"/>
      <c r="I17" s="55"/>
      <c r="J17" s="32"/>
      <c r="K17" s="32"/>
      <c r="L17" s="32"/>
      <c r="M17" s="32"/>
    </row>
    <row r="18" ht="16.5" customHeight="1">
      <c r="A18" s="1"/>
      <c r="B18" s="32" t="s">
        <v>349</v>
      </c>
      <c r="C18" s="32" t="s">
        <v>1918</v>
      </c>
      <c r="D18" s="32" t="s">
        <v>128</v>
      </c>
      <c r="E18" s="32">
        <v>2.0</v>
      </c>
      <c r="F18" s="32"/>
      <c r="G18" s="38"/>
      <c r="H18" s="55"/>
      <c r="I18" s="55"/>
      <c r="J18" s="32"/>
      <c r="K18" s="32"/>
      <c r="L18" s="32"/>
      <c r="M18" s="32"/>
    </row>
    <row r="19" ht="16.5" customHeight="1">
      <c r="A19" s="1"/>
      <c r="B19" s="32" t="s">
        <v>349</v>
      </c>
      <c r="C19" s="32" t="s">
        <v>1921</v>
      </c>
      <c r="D19" s="32" t="s">
        <v>128</v>
      </c>
      <c r="E19" s="32">
        <v>1.0</v>
      </c>
      <c r="F19" s="32"/>
      <c r="G19" s="38"/>
      <c r="H19" s="55"/>
      <c r="I19" s="55"/>
      <c r="J19" s="32"/>
      <c r="K19" s="32"/>
      <c r="L19" s="32"/>
      <c r="M19" s="32"/>
    </row>
    <row r="20" ht="16.5" customHeight="1">
      <c r="A20" s="1"/>
      <c r="B20" s="32" t="s">
        <v>349</v>
      </c>
      <c r="C20" s="32" t="s">
        <v>1924</v>
      </c>
      <c r="D20" s="32" t="s">
        <v>128</v>
      </c>
      <c r="E20" s="32">
        <v>1.0</v>
      </c>
      <c r="F20" s="32"/>
      <c r="G20" s="38"/>
      <c r="H20" s="55"/>
      <c r="I20" s="55"/>
      <c r="J20" s="32"/>
      <c r="K20" s="32"/>
      <c r="L20" s="32"/>
      <c r="M20" s="32"/>
    </row>
    <row r="21" ht="16.5" customHeight="1">
      <c r="A21" s="1"/>
      <c r="B21" s="32" t="s">
        <v>349</v>
      </c>
      <c r="C21" s="32" t="s">
        <v>1927</v>
      </c>
      <c r="D21" s="32" t="s">
        <v>128</v>
      </c>
      <c r="E21" s="32">
        <v>1.0</v>
      </c>
      <c r="F21" s="32"/>
      <c r="G21" s="38"/>
      <c r="H21" s="55"/>
      <c r="I21" s="55"/>
      <c r="J21" s="32"/>
      <c r="K21" s="32"/>
      <c r="L21" s="32"/>
      <c r="M21" s="32"/>
    </row>
    <row r="22" ht="16.5" customHeight="1">
      <c r="A22" s="1"/>
      <c r="B22" s="32" t="s">
        <v>349</v>
      </c>
      <c r="C22" s="32" t="s">
        <v>538</v>
      </c>
      <c r="D22" s="32" t="s">
        <v>128</v>
      </c>
      <c r="E22" s="32">
        <v>1.0</v>
      </c>
      <c r="F22" s="32"/>
      <c r="G22" s="38"/>
      <c r="H22" s="55"/>
      <c r="I22" s="55"/>
      <c r="J22" s="32"/>
      <c r="K22" s="32"/>
      <c r="L22" s="32"/>
      <c r="M22" s="32"/>
    </row>
    <row r="23" ht="16.5" customHeight="1">
      <c r="A23" s="1"/>
      <c r="B23" s="32" t="s">
        <v>349</v>
      </c>
      <c r="C23" s="32" t="s">
        <v>1929</v>
      </c>
      <c r="D23" s="32" t="s">
        <v>240</v>
      </c>
      <c r="E23" s="32">
        <v>1.0</v>
      </c>
      <c r="F23" s="32"/>
      <c r="G23" s="38"/>
      <c r="H23" s="55"/>
      <c r="I23" s="55"/>
      <c r="J23" s="32"/>
      <c r="K23" s="32"/>
      <c r="L23" s="32"/>
      <c r="M23" s="32"/>
    </row>
    <row r="24" ht="16.5" customHeight="1">
      <c r="A24" s="1"/>
      <c r="B24" s="32" t="s">
        <v>349</v>
      </c>
      <c r="C24" s="32" t="s">
        <v>1930</v>
      </c>
      <c r="D24" s="32" t="s">
        <v>128</v>
      </c>
      <c r="E24" s="32">
        <v>1.0</v>
      </c>
      <c r="F24" s="32"/>
      <c r="G24" s="38"/>
      <c r="H24" s="55"/>
      <c r="I24" s="55"/>
      <c r="J24" s="32"/>
      <c r="K24" s="32"/>
      <c r="L24" s="32"/>
      <c r="M24" s="32"/>
    </row>
    <row r="25" ht="16.5" customHeight="1">
      <c r="A25" s="1"/>
      <c r="B25" s="32" t="s">
        <v>356</v>
      </c>
      <c r="C25" s="32" t="s">
        <v>1931</v>
      </c>
      <c r="D25" s="32" t="s">
        <v>128</v>
      </c>
      <c r="E25" s="32">
        <v>1.0</v>
      </c>
      <c r="F25" s="32"/>
      <c r="G25" s="38"/>
      <c r="H25" s="55"/>
      <c r="I25" s="55"/>
      <c r="J25" s="32"/>
      <c r="K25" s="32"/>
      <c r="L25" s="32"/>
      <c r="M25" s="32"/>
    </row>
    <row r="26" ht="16.5" customHeight="1">
      <c r="A26" s="1"/>
      <c r="B26" s="32" t="s">
        <v>356</v>
      </c>
      <c r="C26" s="32" t="s">
        <v>1932</v>
      </c>
      <c r="D26" s="32" t="s">
        <v>128</v>
      </c>
      <c r="E26" s="32">
        <v>1.0</v>
      </c>
      <c r="F26" s="32"/>
      <c r="G26" s="38"/>
      <c r="H26" s="55"/>
      <c r="I26" s="55"/>
      <c r="J26" s="32"/>
      <c r="K26" s="32"/>
      <c r="L26" s="32"/>
      <c r="M26" s="32"/>
    </row>
    <row r="27" ht="16.5" customHeight="1">
      <c r="A27" s="1"/>
      <c r="B27" s="32" t="s">
        <v>356</v>
      </c>
      <c r="C27" s="32" t="s">
        <v>1934</v>
      </c>
      <c r="D27" s="32" t="s">
        <v>128</v>
      </c>
      <c r="E27" s="32">
        <v>2.0</v>
      </c>
      <c r="F27" s="32"/>
      <c r="G27" s="38"/>
      <c r="H27" s="55"/>
      <c r="I27" s="55"/>
      <c r="J27" s="32"/>
      <c r="K27" s="32"/>
      <c r="L27" s="32"/>
      <c r="M27" s="32"/>
    </row>
    <row r="28" ht="16.5" customHeight="1">
      <c r="A28" s="1"/>
      <c r="B28" s="32" t="s">
        <v>356</v>
      </c>
      <c r="C28" s="32" t="s">
        <v>572</v>
      </c>
      <c r="D28" s="32" t="s">
        <v>128</v>
      </c>
      <c r="E28" s="32">
        <v>25.0</v>
      </c>
      <c r="F28" s="32"/>
      <c r="G28" s="38"/>
      <c r="H28" s="55"/>
      <c r="I28" s="55"/>
      <c r="J28" s="32"/>
      <c r="K28" s="32"/>
      <c r="L28" s="32"/>
      <c r="M28" s="32"/>
    </row>
    <row r="29" ht="16.5" customHeight="1">
      <c r="A29" s="1"/>
      <c r="B29" s="32" t="s">
        <v>356</v>
      </c>
      <c r="C29" s="32" t="s">
        <v>843</v>
      </c>
      <c r="D29" s="32" t="s">
        <v>128</v>
      </c>
      <c r="E29" s="32">
        <v>25.0</v>
      </c>
      <c r="F29" s="32"/>
      <c r="G29" s="38"/>
      <c r="H29" s="55"/>
      <c r="I29" s="55"/>
      <c r="J29" s="32"/>
      <c r="K29" s="32"/>
      <c r="L29" s="32"/>
      <c r="M29" s="32"/>
    </row>
    <row r="30" ht="16.5" customHeight="1">
      <c r="A30" s="1"/>
      <c r="B30" s="32" t="s">
        <v>356</v>
      </c>
      <c r="C30" s="32" t="s">
        <v>845</v>
      </c>
      <c r="D30" s="32" t="s">
        <v>240</v>
      </c>
      <c r="E30" s="32">
        <v>200.0</v>
      </c>
      <c r="F30" s="32"/>
      <c r="G30" s="38"/>
      <c r="H30" s="55"/>
      <c r="I30" s="55"/>
      <c r="J30" s="32"/>
      <c r="K30" s="32"/>
      <c r="L30" s="32"/>
      <c r="M30" s="32"/>
    </row>
    <row r="31" ht="16.5" customHeight="1">
      <c r="A31" s="1"/>
      <c r="B31" s="32" t="s">
        <v>356</v>
      </c>
      <c r="C31" s="32" t="s">
        <v>841</v>
      </c>
      <c r="D31" s="32" t="s">
        <v>240</v>
      </c>
      <c r="E31" s="32">
        <v>25.0</v>
      </c>
      <c r="F31" s="32"/>
      <c r="G31" s="38"/>
      <c r="H31" s="55"/>
      <c r="I31" s="55"/>
      <c r="J31" s="32"/>
      <c r="K31" s="32"/>
      <c r="L31" s="32"/>
      <c r="M31" s="32"/>
    </row>
    <row r="32" ht="16.5" customHeight="1">
      <c r="A32" s="1"/>
      <c r="B32" s="32" t="s">
        <v>356</v>
      </c>
      <c r="C32" s="32" t="s">
        <v>1950</v>
      </c>
      <c r="D32" s="32" t="s">
        <v>128</v>
      </c>
      <c r="E32" s="32">
        <v>200.0</v>
      </c>
      <c r="F32" s="32"/>
      <c r="G32" s="38"/>
      <c r="H32" s="55"/>
      <c r="I32" s="55"/>
      <c r="J32" s="32"/>
      <c r="K32" s="32"/>
      <c r="L32" s="32"/>
      <c r="M32" s="32"/>
    </row>
    <row r="33" ht="16.5" customHeight="1">
      <c r="A33" s="1"/>
      <c r="B33" s="32" t="s">
        <v>356</v>
      </c>
      <c r="C33" s="32" t="s">
        <v>1953</v>
      </c>
      <c r="D33" s="32" t="s">
        <v>128</v>
      </c>
      <c r="E33" s="32">
        <v>30.0</v>
      </c>
      <c r="F33" s="32"/>
      <c r="G33" s="38"/>
      <c r="H33" s="55"/>
      <c r="I33" s="55"/>
      <c r="J33" s="32"/>
      <c r="K33" s="32"/>
      <c r="L33" s="32"/>
      <c r="M33" s="32"/>
    </row>
    <row r="34" ht="16.5" customHeight="1">
      <c r="A34" s="1"/>
      <c r="B34" s="32" t="s">
        <v>1955</v>
      </c>
      <c r="C34" s="32" t="s">
        <v>1956</v>
      </c>
      <c r="D34" s="32" t="s">
        <v>128</v>
      </c>
      <c r="E34" s="32">
        <v>1.0</v>
      </c>
      <c r="F34" s="32"/>
      <c r="G34" s="38"/>
      <c r="H34" s="55"/>
      <c r="I34" s="55"/>
      <c r="J34" s="32"/>
      <c r="K34" s="32"/>
      <c r="L34" s="32"/>
      <c r="M34" s="32"/>
    </row>
    <row r="35" ht="16.5" customHeight="1">
      <c r="A35" s="1"/>
      <c r="B35" s="32" t="s">
        <v>1955</v>
      </c>
      <c r="C35" s="32" t="s">
        <v>1959</v>
      </c>
      <c r="D35" s="32" t="s">
        <v>128</v>
      </c>
      <c r="E35" s="32">
        <v>1.0</v>
      </c>
      <c r="F35" s="32"/>
      <c r="G35" s="38"/>
      <c r="H35" s="55"/>
      <c r="I35" s="55"/>
      <c r="J35" s="32"/>
      <c r="K35" s="32"/>
      <c r="L35" s="32"/>
      <c r="M35" s="32"/>
    </row>
    <row r="36" ht="16.5" customHeight="1">
      <c r="A36" s="1"/>
      <c r="B36" s="32" t="s">
        <v>1955</v>
      </c>
      <c r="C36" s="32" t="s">
        <v>1962</v>
      </c>
      <c r="D36" s="32" t="s">
        <v>128</v>
      </c>
      <c r="E36" s="32">
        <v>1.0</v>
      </c>
      <c r="F36" s="32"/>
      <c r="G36" s="38"/>
      <c r="H36" s="55"/>
      <c r="I36" s="55"/>
      <c r="J36" s="32"/>
      <c r="K36" s="32"/>
      <c r="L36" s="32"/>
      <c r="M36" s="32"/>
    </row>
    <row r="37" ht="16.5" customHeight="1">
      <c r="A37" s="1"/>
      <c r="B37" s="32" t="s">
        <v>1955</v>
      </c>
      <c r="C37" s="32" t="s">
        <v>1965</v>
      </c>
      <c r="D37" s="32" t="s">
        <v>240</v>
      </c>
      <c r="E37" s="32">
        <v>1.0</v>
      </c>
      <c r="F37" s="32"/>
      <c r="G37" s="38"/>
      <c r="H37" s="55"/>
      <c r="I37" s="55"/>
      <c r="J37" s="32"/>
      <c r="K37" s="32"/>
      <c r="L37" s="32"/>
      <c r="M37" s="32"/>
    </row>
    <row r="38" ht="16.5" customHeight="1">
      <c r="A38" s="1"/>
      <c r="B38" s="32" t="s">
        <v>1969</v>
      </c>
      <c r="C38" s="32" t="s">
        <v>1970</v>
      </c>
      <c r="D38" s="32" t="s">
        <v>128</v>
      </c>
      <c r="E38" s="32">
        <v>1.0</v>
      </c>
      <c r="F38" s="32"/>
      <c r="G38" s="38"/>
      <c r="H38" s="55"/>
      <c r="I38" s="55"/>
      <c r="J38" s="32"/>
      <c r="K38" s="32"/>
      <c r="L38" s="32"/>
      <c r="M38" s="32"/>
    </row>
    <row r="39" ht="16.5" customHeight="1">
      <c r="A39" s="1"/>
      <c r="B39" s="32" t="s">
        <v>1969</v>
      </c>
      <c r="C39" s="32" t="s">
        <v>1974</v>
      </c>
      <c r="D39" s="32" t="s">
        <v>128</v>
      </c>
      <c r="E39" s="32">
        <v>1.0</v>
      </c>
      <c r="F39" s="32"/>
      <c r="G39" s="38"/>
      <c r="H39" s="55"/>
      <c r="I39" s="55"/>
      <c r="J39" s="32"/>
      <c r="K39" s="32"/>
      <c r="L39" s="32"/>
      <c r="M39" s="32"/>
    </row>
    <row r="40" ht="16.5" customHeight="1">
      <c r="A40" s="1"/>
      <c r="B40" s="32" t="s">
        <v>1969</v>
      </c>
      <c r="C40" s="32" t="s">
        <v>1977</v>
      </c>
      <c r="D40" s="32" t="s">
        <v>240</v>
      </c>
      <c r="E40" s="32">
        <v>20.0</v>
      </c>
      <c r="F40" s="32"/>
      <c r="G40" s="38"/>
      <c r="H40" s="55"/>
      <c r="I40" s="55"/>
      <c r="J40" s="32"/>
      <c r="K40" s="32"/>
      <c r="L40" s="32"/>
      <c r="M40" s="32"/>
    </row>
    <row r="41" ht="16.5" customHeight="1">
      <c r="A41" s="1"/>
      <c r="B41" s="32" t="s">
        <v>1969</v>
      </c>
      <c r="C41" s="32" t="s">
        <v>1980</v>
      </c>
      <c r="D41" s="32" t="s">
        <v>128</v>
      </c>
      <c r="E41" s="32">
        <v>1.0</v>
      </c>
      <c r="F41" s="32"/>
      <c r="G41" s="38"/>
      <c r="H41" s="55"/>
      <c r="I41" s="55"/>
      <c r="J41" s="32"/>
      <c r="K41" s="32"/>
      <c r="L41" s="32"/>
      <c r="M41" s="32"/>
    </row>
    <row r="42" ht="16.5" customHeight="1">
      <c r="A42" s="1"/>
      <c r="B42" s="32" t="s">
        <v>1982</v>
      </c>
      <c r="C42" s="32" t="s">
        <v>610</v>
      </c>
      <c r="D42" s="32" t="s">
        <v>240</v>
      </c>
      <c r="E42" s="32">
        <v>1.0</v>
      </c>
      <c r="F42" s="32"/>
      <c r="G42" s="38"/>
      <c r="H42" s="55"/>
      <c r="I42" s="55"/>
      <c r="J42" s="32"/>
      <c r="K42" s="32"/>
      <c r="L42" s="32"/>
      <c r="M42" s="32"/>
    </row>
    <row r="43" ht="16.5" customHeight="1">
      <c r="A43" s="1"/>
      <c r="B43" s="32" t="s">
        <v>1982</v>
      </c>
      <c r="C43" s="32" t="s">
        <v>1985</v>
      </c>
      <c r="D43" s="32" t="s">
        <v>240</v>
      </c>
      <c r="E43" s="32">
        <v>1.0</v>
      </c>
      <c r="F43" s="32"/>
      <c r="G43" s="38"/>
      <c r="H43" s="55"/>
      <c r="I43" s="55"/>
      <c r="J43" s="32"/>
      <c r="K43" s="32"/>
      <c r="L43" s="32"/>
      <c r="M43" s="32"/>
    </row>
    <row r="44" ht="16.5" customHeight="1">
      <c r="A44" s="1"/>
      <c r="B44" s="32" t="s">
        <v>1982</v>
      </c>
      <c r="C44" s="32" t="s">
        <v>1988</v>
      </c>
      <c r="D44" s="32" t="s">
        <v>240</v>
      </c>
      <c r="E44" s="32">
        <v>2.0</v>
      </c>
      <c r="F44" s="32"/>
      <c r="G44" s="38"/>
      <c r="H44" s="55"/>
      <c r="I44" s="55"/>
      <c r="J44" s="32"/>
      <c r="K44" s="32"/>
      <c r="L44" s="32"/>
      <c r="M44" s="32"/>
    </row>
    <row r="45" ht="16.5" customHeight="1">
      <c r="A45" s="1"/>
      <c r="B45" s="32" t="s">
        <v>1982</v>
      </c>
      <c r="C45" s="32" t="s">
        <v>1992</v>
      </c>
      <c r="D45" s="32" t="s">
        <v>240</v>
      </c>
      <c r="E45" s="32">
        <v>1.0</v>
      </c>
      <c r="F45" s="32"/>
      <c r="G45" s="38"/>
      <c r="H45" s="55"/>
      <c r="I45" s="55"/>
      <c r="J45" s="32"/>
      <c r="K45" s="32"/>
      <c r="L45" s="32"/>
      <c r="M45" s="32"/>
    </row>
    <row r="46" ht="16.5" customHeight="1">
      <c r="A46" s="1"/>
      <c r="B46" s="32" t="s">
        <v>1982</v>
      </c>
      <c r="C46" s="32" t="s">
        <v>1996</v>
      </c>
      <c r="D46" s="32" t="s">
        <v>240</v>
      </c>
      <c r="E46" s="32">
        <v>1.0</v>
      </c>
      <c r="F46" s="32"/>
      <c r="G46" s="38"/>
      <c r="H46" s="55"/>
      <c r="I46" s="55"/>
      <c r="J46" s="32"/>
      <c r="K46" s="32"/>
      <c r="L46" s="32"/>
      <c r="M46" s="32"/>
    </row>
    <row r="47" ht="16.5" customHeight="1">
      <c r="A47" s="1"/>
      <c r="B47" s="32"/>
      <c r="C47" s="32"/>
      <c r="D47" s="32"/>
      <c r="E47" s="32"/>
      <c r="F47" s="32"/>
      <c r="G47" s="38"/>
      <c r="H47" s="55"/>
      <c r="I47" s="55"/>
      <c r="J47" s="32"/>
      <c r="K47" s="32"/>
      <c r="L47" s="32"/>
      <c r="M47" s="32"/>
    </row>
    <row r="48" ht="16.5" customHeight="1">
      <c r="A48" s="1"/>
      <c r="B48" s="32"/>
      <c r="C48" s="32"/>
      <c r="D48" s="32"/>
      <c r="E48" s="32"/>
      <c r="F48" s="32"/>
      <c r="G48" s="38"/>
      <c r="H48" s="55"/>
      <c r="I48" s="55"/>
      <c r="J48" s="32"/>
      <c r="K48" s="32"/>
      <c r="L48" s="32"/>
      <c r="M48" s="32"/>
    </row>
    <row r="49" ht="16.5" customHeight="1">
      <c r="A49" s="1"/>
      <c r="B49" s="32"/>
      <c r="C49" s="32"/>
      <c r="D49" s="32"/>
      <c r="E49" s="32"/>
      <c r="F49" s="32"/>
      <c r="G49" s="38"/>
      <c r="H49" s="55"/>
      <c r="I49" s="55"/>
      <c r="J49" s="32"/>
      <c r="K49" s="32"/>
      <c r="L49" s="32"/>
      <c r="M49" s="32"/>
    </row>
    <row r="50" ht="16.5" customHeight="1">
      <c r="A50" s="1"/>
      <c r="B50" s="32"/>
      <c r="C50" s="32"/>
      <c r="D50" s="32"/>
      <c r="E50" s="32"/>
      <c r="F50" s="32"/>
      <c r="G50" s="38"/>
      <c r="H50" s="55"/>
      <c r="I50" s="55"/>
      <c r="J50" s="32"/>
      <c r="K50" s="32"/>
      <c r="L50" s="32"/>
      <c r="M50" s="32"/>
    </row>
    <row r="51" ht="16.5" customHeight="1">
      <c r="A51" s="1"/>
      <c r="B51" s="32"/>
      <c r="C51" s="32"/>
      <c r="D51" s="32"/>
      <c r="E51" s="32"/>
      <c r="F51" s="32"/>
      <c r="G51" s="38"/>
      <c r="H51" s="55"/>
      <c r="I51" s="55"/>
      <c r="J51" s="32"/>
      <c r="K51" s="32"/>
      <c r="L51" s="32"/>
      <c r="M51" s="32"/>
    </row>
    <row r="52" ht="16.5" customHeight="1">
      <c r="A52" s="1"/>
      <c r="B52" s="32"/>
      <c r="C52" s="32"/>
      <c r="D52" s="32"/>
      <c r="E52" s="32"/>
      <c r="F52" s="32"/>
      <c r="G52" s="38"/>
      <c r="H52" s="55"/>
      <c r="I52" s="55"/>
      <c r="J52" s="32"/>
      <c r="K52" s="32"/>
      <c r="L52" s="32"/>
      <c r="M52" s="32"/>
    </row>
    <row r="53" ht="16.5" customHeight="1">
      <c r="A53" s="1"/>
      <c r="B53" s="32"/>
      <c r="C53" s="32"/>
      <c r="D53" s="32"/>
      <c r="E53" s="32"/>
      <c r="F53" s="32"/>
      <c r="G53" s="38"/>
      <c r="H53" s="55"/>
      <c r="I53" s="55"/>
      <c r="J53" s="32"/>
      <c r="K53" s="32"/>
      <c r="L53" s="32"/>
      <c r="M53" s="32"/>
    </row>
    <row r="54" ht="16.5" customHeight="1">
      <c r="A54" s="1"/>
      <c r="B54" s="32"/>
      <c r="C54" s="32"/>
      <c r="D54" s="32"/>
      <c r="E54" s="32"/>
      <c r="F54" s="32"/>
      <c r="G54" s="38"/>
      <c r="H54" s="55"/>
      <c r="I54" s="55"/>
      <c r="J54" s="32"/>
      <c r="K54" s="32"/>
      <c r="L54" s="32"/>
      <c r="M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M$54"/>
  <conditionalFormatting sqref="B7:M54">
    <cfRule type="expression" dxfId="11" priority="1" stopIfTrue="1">
      <formula>$D7="Not Applicable"</formula>
    </cfRule>
  </conditionalFormatting>
  <conditionalFormatting sqref="B7:M54">
    <cfRule type="expression" dxfId="3" priority="2">
      <formula>$L7="Completed"</formula>
    </cfRule>
  </conditionalFormatting>
  <conditionalFormatting sqref="B7:M54">
    <cfRule type="expression" dxfId="13" priority="3">
      <formula>$L7="Cancelled"</formula>
    </cfRule>
  </conditionalFormatting>
  <dataValidations>
    <dataValidation type="list" allowBlank="1" sqref="L7:L54">
      <formula1>"Not Started,In Progress,Waiting,Completed,Cancelled"</formula1>
    </dataValidation>
    <dataValidation type="list" allowBlank="1" sqref="D7:D54">
      <formula1>"Required,Optional,Not Applicable,Completed"</formula1>
    </dataValidation>
    <dataValidation type="list" allowBlank="1" sqref="J7:J54">
      <formula1>"Bride,Groom,Couple,Bride's Family,Groom's Family,Coordinator,Vendor,Shared"</formula1>
    </dataValidation>
    <dataValidation type="list" allowBlank="1" sqref="K7:K54">
      <formula1>"Yes,No"</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sheetPr>
  <sheetViews>
    <sheetView showGridLines="0" workbookViewId="0"/>
  </sheetViews>
  <sheetFormatPr customHeight="1" defaultColWidth="14.43" defaultRowHeight="15.0"/>
  <cols>
    <col customWidth="1" min="1" max="1" width="2.0"/>
    <col customWidth="1" min="2" max="2" width="42.86"/>
    <col customWidth="1" min="3" max="3" width="16.14"/>
    <col customWidth="1" min="4" max="4" width="3.0"/>
    <col customWidth="1" min="5" max="5" width="42.86"/>
    <col customWidth="1" min="6" max="6" width="16.14"/>
    <col customWidth="1" min="7" max="7" width="3.0"/>
    <col customWidth="1" min="8" max="8" width="21.43"/>
    <col customWidth="1" min="9" max="9" width="47.14"/>
    <col customWidth="1" min="10" max="11" width="12.86"/>
    <col customWidth="1" min="12" max="12" width="15.0"/>
    <col customWidth="1" min="13" max="13" width="32.14"/>
  </cols>
  <sheetData>
    <row r="1" ht="16.5" customHeight="1">
      <c r="A1" s="1"/>
      <c r="B1" s="1"/>
      <c r="C1" s="1"/>
      <c r="D1" s="1"/>
      <c r="E1" s="1"/>
      <c r="F1" s="1"/>
      <c r="G1" s="1"/>
      <c r="H1" s="1"/>
      <c r="I1" s="1"/>
      <c r="J1" s="1"/>
      <c r="K1" s="1"/>
      <c r="L1" s="1"/>
      <c r="M1" s="1"/>
    </row>
    <row r="2" ht="33.75" customHeight="1">
      <c r="A2" s="2"/>
      <c r="B2" s="2" t="s">
        <v>1997</v>
      </c>
      <c r="C2" s="2"/>
      <c r="D2" s="2"/>
      <c r="E2" s="2"/>
      <c r="F2" s="2"/>
      <c r="G2" s="2"/>
      <c r="H2" s="2"/>
      <c r="I2" s="2"/>
      <c r="J2" s="2"/>
      <c r="K2" s="2"/>
      <c r="L2" s="2"/>
      <c r="M2" s="2"/>
    </row>
    <row r="3" ht="15.75" customHeight="1">
      <c r="A3" s="3"/>
      <c r="B3" s="3" t="s">
        <v>1998</v>
      </c>
      <c r="C3" s="3"/>
      <c r="D3" s="3"/>
      <c r="E3" s="3"/>
      <c r="F3" s="3"/>
      <c r="G3" s="3"/>
      <c r="H3" s="3"/>
      <c r="I3" s="3"/>
      <c r="J3" s="3"/>
      <c r="K3" s="3"/>
      <c r="L3" s="3"/>
      <c r="M3" s="3"/>
    </row>
    <row r="4" ht="16.5" customHeight="1">
      <c r="A4" s="1"/>
      <c r="B4" s="1"/>
      <c r="C4" s="1"/>
      <c r="D4" s="1"/>
      <c r="E4" s="1"/>
      <c r="F4" s="1"/>
      <c r="G4" s="1"/>
      <c r="H4" s="1"/>
      <c r="I4" s="1"/>
      <c r="J4" s="1"/>
      <c r="K4" s="1"/>
      <c r="L4" s="1"/>
      <c r="M4" s="1"/>
    </row>
    <row r="5" ht="21.75" customHeight="1">
      <c r="A5" s="5"/>
      <c r="B5" s="8" t="s">
        <v>1999</v>
      </c>
      <c r="C5" s="8"/>
      <c r="D5" s="8"/>
      <c r="E5" s="8"/>
      <c r="F5" s="8"/>
      <c r="G5" s="5"/>
      <c r="H5" s="5"/>
      <c r="I5" s="5"/>
      <c r="J5" s="5"/>
      <c r="K5" s="5"/>
      <c r="L5" s="5"/>
      <c r="M5" s="5"/>
    </row>
    <row r="6" ht="16.5" customHeight="1">
      <c r="A6" s="1"/>
      <c r="B6" s="10" t="s">
        <v>1385</v>
      </c>
      <c r="C6" s="109">
        <f>SUM('09 Guests'!$I$7:$I$300)</f>
        <v>156</v>
      </c>
      <c r="D6" s="1"/>
      <c r="E6" s="10" t="s">
        <v>2000</v>
      </c>
      <c r="F6" s="109">
        <f>SUM('09 Guests'!$W$7:$W$300)</f>
        <v>0</v>
      </c>
      <c r="G6" s="1"/>
      <c r="H6" s="1"/>
      <c r="I6" s="1"/>
      <c r="J6" s="1"/>
      <c r="K6" s="1"/>
      <c r="L6" s="1"/>
      <c r="M6" s="1"/>
    </row>
    <row r="7" ht="16.5" customHeight="1">
      <c r="A7" s="1"/>
      <c r="B7" s="10" t="s">
        <v>1386</v>
      </c>
      <c r="C7" s="110">
        <f>SUM('09 Guests'!$J$7:$J$300)</f>
        <v>0</v>
      </c>
      <c r="D7" s="1"/>
      <c r="E7" s="10" t="s">
        <v>2001</v>
      </c>
      <c r="F7" s="110">
        <f>SUM('09 Guests'!$X$7:$X$300)</f>
        <v>0</v>
      </c>
      <c r="G7" s="1"/>
      <c r="H7" s="1"/>
      <c r="I7" s="1"/>
      <c r="J7" s="1"/>
      <c r="K7" s="1"/>
      <c r="L7" s="1"/>
      <c r="M7" s="1"/>
    </row>
    <row r="8" ht="16.5" customHeight="1">
      <c r="A8" s="1"/>
      <c r="B8" s="10" t="s">
        <v>2002</v>
      </c>
      <c r="C8" s="39">
        <f>SUM('09 Guests'!$K$7:$K$300)</f>
        <v>156</v>
      </c>
      <c r="D8" s="1"/>
      <c r="E8" s="10" t="s">
        <v>2003</v>
      </c>
      <c r="F8" s="39">
        <f>SUM('09 Guests'!$Y$7:$Y$300)</f>
        <v>0</v>
      </c>
      <c r="G8" s="1"/>
      <c r="H8" s="1"/>
      <c r="I8" s="1"/>
      <c r="J8" s="1"/>
      <c r="K8" s="1"/>
      <c r="L8" s="1"/>
      <c r="M8" s="1"/>
    </row>
    <row r="9" ht="16.5" customHeight="1">
      <c r="A9" s="1"/>
      <c r="B9" s="10" t="s">
        <v>2004</v>
      </c>
      <c r="C9" s="110">
        <f>SUMIFS('09 Guests'!$Y$7:$Y$300,'09 Guests'!$Z$7:$Z$300,"Vegetarian")</f>
        <v>0</v>
      </c>
      <c r="D9" s="1"/>
      <c r="E9" s="10" t="s">
        <v>2005</v>
      </c>
      <c r="F9" s="110">
        <f>SUMIFS('09 Guests'!$Y$7:$Y$300,'09 Guests'!$Z$7:$Z$300,"Vegan")</f>
        <v>0</v>
      </c>
      <c r="G9" s="1"/>
      <c r="H9" s="1"/>
      <c r="I9" s="1"/>
      <c r="J9" s="1"/>
      <c r="K9" s="1"/>
      <c r="L9" s="1"/>
      <c r="M9" s="1"/>
    </row>
    <row r="10" ht="16.5" customHeight="1">
      <c r="A10" s="1"/>
      <c r="B10" s="10" t="s">
        <v>2006</v>
      </c>
      <c r="C10" s="110">
        <f>SUMIFS('09 Guests'!$Y$7:$Y$300,'09 Guests'!$Z$7:$Z$300,"Halal")</f>
        <v>0</v>
      </c>
      <c r="D10" s="1"/>
      <c r="E10" s="10" t="s">
        <v>2008</v>
      </c>
      <c r="F10" s="110">
        <f>SUMIFS('09 Guests'!$Y$7:$Y$300,'09 Guests'!$Z$7:$Z$300,"No Pork")+SUMIFS('09 Guests'!$Y$7:$Y$300,'09 Guests'!$Z$7:$Z$300,"No Beef")</f>
        <v>0</v>
      </c>
      <c r="G10" s="1"/>
      <c r="H10" s="1"/>
      <c r="I10" s="1"/>
      <c r="J10" s="1"/>
      <c r="K10" s="1"/>
      <c r="L10" s="1"/>
      <c r="M10" s="1"/>
    </row>
    <row r="11" ht="16.5" customHeight="1">
      <c r="A11" s="1"/>
      <c r="B11" s="10" t="s">
        <v>2010</v>
      </c>
      <c r="C11" s="110">
        <f>SUMIFS('09 Guests'!$Y$7:$Y$300,'09 Guests'!$Z$7:$Z$300,"Allergy - see notes")</f>
        <v>0</v>
      </c>
      <c r="D11" s="1"/>
      <c r="E11" s="10" t="s">
        <v>2011</v>
      </c>
      <c r="F11" s="110">
        <f>SUM('09 Guests'!$X$7:$X$300)</f>
        <v>0</v>
      </c>
      <c r="G11" s="1"/>
      <c r="H11" s="1"/>
      <c r="I11" s="1"/>
      <c r="J11" s="1"/>
      <c r="K11" s="1"/>
      <c r="L11" s="1"/>
      <c r="M11" s="1"/>
    </row>
    <row r="12" ht="16.5" customHeight="1">
      <c r="A12" s="1"/>
      <c r="B12" s="10" t="s">
        <v>2013</v>
      </c>
      <c r="C12" s="111">
        <v>12.0</v>
      </c>
      <c r="D12" s="1"/>
      <c r="E12" s="10" t="s">
        <v>2014</v>
      </c>
      <c r="F12" s="39">
        <f>ROUNDUP(SUM('09 Guests'!$Y$7:$Y$300)*1.05,0)+C12</f>
        <v>12</v>
      </c>
      <c r="G12" s="1"/>
      <c r="H12" s="1"/>
      <c r="I12" s="1"/>
      <c r="J12" s="1"/>
      <c r="K12" s="1"/>
      <c r="L12" s="1"/>
      <c r="M12" s="1"/>
    </row>
    <row r="13" ht="16.5" customHeight="1">
      <c r="A13" s="1"/>
      <c r="B13" s="1"/>
      <c r="C13" s="1"/>
      <c r="D13" s="1"/>
      <c r="E13" s="1"/>
      <c r="F13" s="1"/>
      <c r="G13" s="1"/>
      <c r="H13" s="1"/>
      <c r="I13" s="1"/>
      <c r="J13" s="1"/>
      <c r="K13" s="1"/>
      <c r="L13" s="1"/>
      <c r="M13" s="1"/>
    </row>
    <row r="14" ht="21.75" customHeight="1">
      <c r="A14" s="5"/>
      <c r="B14" s="8" t="s">
        <v>2024</v>
      </c>
      <c r="C14" s="8"/>
      <c r="D14" s="8"/>
      <c r="E14" s="8"/>
      <c r="F14" s="8"/>
      <c r="G14" s="5"/>
      <c r="H14" s="8" t="s">
        <v>2026</v>
      </c>
      <c r="I14" s="8"/>
      <c r="J14" s="8"/>
      <c r="K14" s="8"/>
      <c r="L14" s="8"/>
      <c r="M14" s="8"/>
    </row>
    <row r="15" ht="30.0" customHeight="1">
      <c r="A15" s="16"/>
      <c r="B15" s="16" t="s">
        <v>2028</v>
      </c>
      <c r="C15" s="16"/>
      <c r="D15" s="16"/>
      <c r="E15" s="16"/>
      <c r="F15" s="16"/>
      <c r="G15" s="16"/>
      <c r="H15" s="17" t="s">
        <v>2031</v>
      </c>
      <c r="I15" s="17" t="s">
        <v>1783</v>
      </c>
      <c r="J15" s="17" t="s">
        <v>62</v>
      </c>
      <c r="K15" s="17" t="s">
        <v>2032</v>
      </c>
      <c r="L15" s="17" t="s">
        <v>2033</v>
      </c>
      <c r="M15" s="17" t="s">
        <v>50</v>
      </c>
    </row>
    <row r="16" ht="16.5" customHeight="1">
      <c r="A16" s="1"/>
      <c r="B16" s="10" t="s">
        <v>2034</v>
      </c>
      <c r="C16" s="11"/>
      <c r="D16" s="1"/>
      <c r="E16" s="1"/>
      <c r="F16" s="1"/>
      <c r="G16" s="1"/>
      <c r="H16" s="32" t="s">
        <v>2035</v>
      </c>
      <c r="I16" s="32" t="s">
        <v>2036</v>
      </c>
      <c r="J16" s="32" t="s">
        <v>128</v>
      </c>
      <c r="K16" s="32" t="s">
        <v>1240</v>
      </c>
      <c r="L16" s="55"/>
      <c r="M16" s="32"/>
    </row>
    <row r="17" ht="16.5" customHeight="1">
      <c r="A17" s="1"/>
      <c r="B17" s="10" t="s">
        <v>2039</v>
      </c>
      <c r="C17" s="11"/>
      <c r="D17" s="1"/>
      <c r="E17" s="1"/>
      <c r="F17" s="1"/>
      <c r="G17" s="1"/>
      <c r="H17" s="32" t="s">
        <v>2035</v>
      </c>
      <c r="I17" s="32" t="s">
        <v>2040</v>
      </c>
      <c r="J17" s="32" t="s">
        <v>240</v>
      </c>
      <c r="K17" s="32" t="s">
        <v>1240</v>
      </c>
      <c r="L17" s="55"/>
      <c r="M17" s="32"/>
    </row>
    <row r="18" ht="16.5" customHeight="1">
      <c r="A18" s="1"/>
      <c r="B18" s="10" t="s">
        <v>2041</v>
      </c>
      <c r="C18" s="11">
        <v>3.0</v>
      </c>
      <c r="D18" s="1"/>
      <c r="E18" s="1"/>
      <c r="F18" s="1"/>
      <c r="G18" s="1"/>
      <c r="H18" s="32" t="s">
        <v>2035</v>
      </c>
      <c r="I18" s="32" t="s">
        <v>2043</v>
      </c>
      <c r="J18" s="32" t="s">
        <v>128</v>
      </c>
      <c r="K18" s="32" t="s">
        <v>1240</v>
      </c>
      <c r="L18" s="55"/>
      <c r="M18" s="32"/>
    </row>
    <row r="19" ht="16.5" customHeight="1">
      <c r="A19" s="1"/>
      <c r="B19" s="10" t="s">
        <v>2044</v>
      </c>
      <c r="C19" s="11">
        <v>8.0</v>
      </c>
      <c r="D19" s="1"/>
      <c r="E19" s="1"/>
      <c r="F19" s="1"/>
      <c r="G19" s="1"/>
      <c r="H19" s="32" t="s">
        <v>349</v>
      </c>
      <c r="I19" s="32" t="s">
        <v>2045</v>
      </c>
      <c r="J19" s="32" t="s">
        <v>128</v>
      </c>
      <c r="K19" s="32" t="s">
        <v>1240</v>
      </c>
      <c r="L19" s="55"/>
      <c r="M19" s="32"/>
    </row>
    <row r="20" ht="16.5" customHeight="1">
      <c r="A20" s="1"/>
      <c r="B20" s="10" t="s">
        <v>2047</v>
      </c>
      <c r="C20" s="39">
        <f>F12</f>
        <v>12</v>
      </c>
      <c r="D20" s="1"/>
      <c r="E20" s="1"/>
      <c r="F20" s="1"/>
      <c r="G20" s="1"/>
      <c r="H20" s="32" t="s">
        <v>2048</v>
      </c>
      <c r="I20" s="32" t="s">
        <v>2049</v>
      </c>
      <c r="J20" s="32" t="s">
        <v>128</v>
      </c>
      <c r="K20" s="32" t="s">
        <v>1240</v>
      </c>
      <c r="L20" s="55"/>
      <c r="M20" s="32"/>
    </row>
    <row r="21" ht="16.5" customHeight="1">
      <c r="A21" s="1"/>
      <c r="B21" s="10" t="s">
        <v>2051</v>
      </c>
      <c r="C21" s="11" t="s">
        <v>114</v>
      </c>
      <c r="D21" s="1"/>
      <c r="E21" s="1"/>
      <c r="F21" s="1"/>
      <c r="G21" s="1"/>
      <c r="H21" s="32" t="s">
        <v>2048</v>
      </c>
      <c r="I21" s="32" t="s">
        <v>2052</v>
      </c>
      <c r="J21" s="32" t="s">
        <v>128</v>
      </c>
      <c r="K21" s="32" t="s">
        <v>1240</v>
      </c>
      <c r="L21" s="55"/>
      <c r="M21" s="32"/>
    </row>
    <row r="22" ht="16.5" customHeight="1">
      <c r="A22" s="1"/>
      <c r="B22" s="10" t="s">
        <v>2054</v>
      </c>
      <c r="C22" s="11" t="s">
        <v>1240</v>
      </c>
      <c r="D22" s="1"/>
      <c r="E22" s="1"/>
      <c r="F22" s="1"/>
      <c r="G22" s="1"/>
      <c r="H22" s="32" t="s">
        <v>2048</v>
      </c>
      <c r="I22" s="32" t="s">
        <v>2056</v>
      </c>
      <c r="J22" s="32" t="s">
        <v>128</v>
      </c>
      <c r="K22" s="32" t="s">
        <v>1240</v>
      </c>
      <c r="L22" s="55"/>
      <c r="M22" s="32"/>
    </row>
    <row r="23" ht="16.5" customHeight="1">
      <c r="A23" s="1"/>
      <c r="B23" s="10" t="s">
        <v>2057</v>
      </c>
      <c r="C23" s="11" t="s">
        <v>1240</v>
      </c>
      <c r="D23" s="1"/>
      <c r="E23" s="1"/>
      <c r="F23" s="1"/>
      <c r="G23" s="1"/>
      <c r="H23" s="32" t="s">
        <v>2048</v>
      </c>
      <c r="I23" s="32" t="s">
        <v>2058</v>
      </c>
      <c r="J23" s="32" t="s">
        <v>240</v>
      </c>
      <c r="K23" s="32" t="s">
        <v>1240</v>
      </c>
      <c r="L23" s="55"/>
      <c r="M23" s="32"/>
    </row>
    <row r="24" ht="16.5" customHeight="1">
      <c r="A24" s="1"/>
      <c r="B24" s="10" t="s">
        <v>275</v>
      </c>
      <c r="C24" s="11"/>
      <c r="D24" s="1"/>
      <c r="E24" s="1"/>
      <c r="F24" s="1"/>
      <c r="G24" s="1"/>
      <c r="H24" s="32" t="s">
        <v>2048</v>
      </c>
      <c r="I24" s="32" t="s">
        <v>2060</v>
      </c>
      <c r="J24" s="32" t="s">
        <v>128</v>
      </c>
      <c r="K24" s="32" t="s">
        <v>1240</v>
      </c>
      <c r="L24" s="55"/>
      <c r="M24" s="32"/>
    </row>
    <row r="25" ht="16.5" customHeight="1">
      <c r="A25" s="1"/>
      <c r="B25" s="10" t="s">
        <v>2063</v>
      </c>
      <c r="C25" s="20">
        <v>0.6666666666666666</v>
      </c>
      <c r="D25" s="1"/>
      <c r="E25" s="1"/>
      <c r="F25" s="1"/>
      <c r="G25" s="1"/>
      <c r="H25" s="32" t="s">
        <v>2048</v>
      </c>
      <c r="I25" s="32" t="s">
        <v>2064</v>
      </c>
      <c r="J25" s="32" t="s">
        <v>128</v>
      </c>
      <c r="K25" s="32" t="s">
        <v>1240</v>
      </c>
      <c r="L25" s="55"/>
      <c r="M25" s="32"/>
    </row>
    <row r="26" ht="16.5" customHeight="1">
      <c r="A26" s="1"/>
      <c r="B26" s="10" t="s">
        <v>2065</v>
      </c>
      <c r="C26" s="20">
        <v>0.7291666666666666</v>
      </c>
      <c r="D26" s="1"/>
      <c r="E26" s="1"/>
      <c r="F26" s="1"/>
      <c r="G26" s="1"/>
      <c r="H26" s="32" t="s">
        <v>2048</v>
      </c>
      <c r="I26" s="32" t="s">
        <v>2067</v>
      </c>
      <c r="J26" s="32" t="s">
        <v>240</v>
      </c>
      <c r="K26" s="32" t="s">
        <v>1240</v>
      </c>
      <c r="L26" s="55"/>
      <c r="M26" s="32"/>
    </row>
    <row r="27" ht="16.5" customHeight="1">
      <c r="A27" s="1"/>
      <c r="B27" s="10" t="s">
        <v>2068</v>
      </c>
      <c r="C27" s="20">
        <v>0.8958333333333334</v>
      </c>
      <c r="D27" s="1"/>
      <c r="E27" s="1"/>
      <c r="F27" s="1"/>
      <c r="G27" s="1"/>
      <c r="H27" s="32" t="s">
        <v>2048</v>
      </c>
      <c r="I27" s="32" t="s">
        <v>2070</v>
      </c>
      <c r="J27" s="32" t="s">
        <v>128</v>
      </c>
      <c r="K27" s="32" t="s">
        <v>1240</v>
      </c>
      <c r="L27" s="55"/>
      <c r="M27" s="32"/>
    </row>
    <row r="28" ht="16.5" customHeight="1">
      <c r="A28" s="1"/>
      <c r="B28" s="10" t="s">
        <v>1233</v>
      </c>
      <c r="C28" s="112">
        <v>0.0</v>
      </c>
      <c r="D28" s="1"/>
      <c r="E28" s="1"/>
      <c r="F28" s="1"/>
      <c r="G28" s="1"/>
      <c r="H28" s="32" t="s">
        <v>2048</v>
      </c>
      <c r="I28" s="32" t="s">
        <v>2072</v>
      </c>
      <c r="J28" s="32" t="s">
        <v>240</v>
      </c>
      <c r="K28" s="32" t="s">
        <v>1240</v>
      </c>
      <c r="L28" s="55"/>
      <c r="M28" s="32"/>
    </row>
    <row r="29" ht="16.5" customHeight="1">
      <c r="A29" s="1"/>
      <c r="B29" s="10" t="s">
        <v>190</v>
      </c>
      <c r="C29" s="112">
        <v>0.0</v>
      </c>
      <c r="D29" s="1"/>
      <c r="E29" s="1"/>
      <c r="F29" s="1"/>
      <c r="G29" s="1"/>
      <c r="H29" s="32" t="s">
        <v>2048</v>
      </c>
      <c r="I29" s="32" t="s">
        <v>2073</v>
      </c>
      <c r="J29" s="32" t="s">
        <v>128</v>
      </c>
      <c r="K29" s="32" t="s">
        <v>1240</v>
      </c>
      <c r="L29" s="55"/>
      <c r="M29" s="32"/>
    </row>
    <row r="30" ht="16.5" customHeight="1">
      <c r="A30" s="1"/>
      <c r="B30" s="10" t="s">
        <v>203</v>
      </c>
      <c r="C30" s="14">
        <f>WeddingDate-40</f>
        <v>46593</v>
      </c>
      <c r="D30" s="1"/>
      <c r="E30" s="1"/>
      <c r="F30" s="1"/>
      <c r="G30" s="1"/>
      <c r="H30" s="32" t="s">
        <v>2075</v>
      </c>
      <c r="I30" s="32" t="s">
        <v>2076</v>
      </c>
      <c r="J30" s="32" t="s">
        <v>128</v>
      </c>
      <c r="K30" s="32" t="s">
        <v>1240</v>
      </c>
      <c r="L30" s="55"/>
      <c r="M30" s="32"/>
    </row>
    <row r="31" ht="16.5" customHeight="1">
      <c r="A31" s="1"/>
      <c r="B31" s="10" t="s">
        <v>50</v>
      </c>
      <c r="C31" s="11"/>
      <c r="D31" s="1"/>
      <c r="E31" s="1"/>
      <c r="F31" s="1"/>
      <c r="G31" s="1"/>
      <c r="H31" s="32" t="s">
        <v>2075</v>
      </c>
      <c r="I31" s="32" t="s">
        <v>2079</v>
      </c>
      <c r="J31" s="32" t="s">
        <v>240</v>
      </c>
      <c r="K31" s="32" t="s">
        <v>1240</v>
      </c>
      <c r="L31" s="55"/>
      <c r="M31" s="32"/>
    </row>
    <row r="32" ht="16.5" customHeight="1">
      <c r="A32" s="1"/>
      <c r="B32" s="1"/>
      <c r="C32" s="1"/>
      <c r="D32" s="1"/>
      <c r="E32" s="1"/>
      <c r="F32" s="1"/>
      <c r="G32" s="1"/>
      <c r="H32" s="32" t="s">
        <v>2075</v>
      </c>
      <c r="I32" s="32" t="s">
        <v>2080</v>
      </c>
      <c r="J32" s="32" t="s">
        <v>128</v>
      </c>
      <c r="K32" s="32" t="s">
        <v>1240</v>
      </c>
      <c r="L32" s="55"/>
      <c r="M32" s="32"/>
    </row>
    <row r="33" ht="16.5" customHeight="1">
      <c r="A33" s="1"/>
      <c r="B33" s="1"/>
      <c r="C33" s="1"/>
      <c r="D33" s="1"/>
      <c r="E33" s="1"/>
      <c r="F33" s="1"/>
      <c r="G33" s="1"/>
      <c r="H33" s="32" t="s">
        <v>2075</v>
      </c>
      <c r="I33" s="32" t="s">
        <v>2082</v>
      </c>
      <c r="J33" s="32" t="s">
        <v>128</v>
      </c>
      <c r="K33" s="32" t="s">
        <v>1240</v>
      </c>
      <c r="L33" s="55"/>
      <c r="M33" s="32"/>
    </row>
    <row r="34" ht="16.5" customHeight="1">
      <c r="A34" s="1"/>
      <c r="B34" s="1"/>
      <c r="C34" s="1"/>
      <c r="D34" s="1"/>
      <c r="E34" s="1"/>
      <c r="F34" s="1"/>
      <c r="G34" s="1"/>
      <c r="H34" s="32" t="s">
        <v>2075</v>
      </c>
      <c r="I34" s="32" t="s">
        <v>2083</v>
      </c>
      <c r="J34" s="32" t="s">
        <v>128</v>
      </c>
      <c r="K34" s="32" t="s">
        <v>1240</v>
      </c>
      <c r="L34" s="55"/>
      <c r="M34" s="32"/>
    </row>
    <row r="35" ht="16.5" customHeight="1">
      <c r="A35" s="1"/>
      <c r="B35" s="1"/>
      <c r="C35" s="1"/>
      <c r="D35" s="1"/>
      <c r="E35" s="1"/>
      <c r="F35" s="1"/>
      <c r="G35" s="1"/>
      <c r="H35" s="32" t="s">
        <v>2085</v>
      </c>
      <c r="I35" s="32" t="s">
        <v>2086</v>
      </c>
      <c r="J35" s="32" t="s">
        <v>128</v>
      </c>
      <c r="K35" s="32" t="s">
        <v>1240</v>
      </c>
      <c r="L35" s="55"/>
      <c r="M35" s="32"/>
    </row>
    <row r="36" ht="16.5" customHeight="1">
      <c r="A36" s="1"/>
      <c r="B36" s="1"/>
      <c r="C36" s="1"/>
      <c r="D36" s="1"/>
      <c r="E36" s="1"/>
      <c r="F36" s="1"/>
      <c r="G36" s="1"/>
      <c r="H36" s="32" t="s">
        <v>2085</v>
      </c>
      <c r="I36" s="32" t="s">
        <v>225</v>
      </c>
      <c r="J36" s="32" t="s">
        <v>128</v>
      </c>
      <c r="K36" s="32" t="s">
        <v>1240</v>
      </c>
      <c r="L36" s="55"/>
      <c r="M36" s="32"/>
    </row>
    <row r="37" ht="16.5" customHeight="1">
      <c r="A37" s="1"/>
      <c r="B37" s="1"/>
      <c r="C37" s="1"/>
      <c r="D37" s="1"/>
      <c r="E37" s="1"/>
      <c r="F37" s="1"/>
      <c r="G37" s="1"/>
      <c r="H37" s="32" t="s">
        <v>2085</v>
      </c>
      <c r="I37" s="32" t="s">
        <v>2088</v>
      </c>
      <c r="J37" s="32" t="s">
        <v>240</v>
      </c>
      <c r="K37" s="32" t="s">
        <v>1240</v>
      </c>
      <c r="L37" s="55"/>
      <c r="M37" s="32"/>
    </row>
    <row r="38" ht="16.5" customHeight="1">
      <c r="A38" s="1"/>
      <c r="B38" s="1"/>
      <c r="C38" s="1"/>
      <c r="D38" s="1"/>
      <c r="E38" s="1"/>
      <c r="F38" s="1"/>
      <c r="G38" s="1"/>
      <c r="H38" s="32" t="s">
        <v>2085</v>
      </c>
      <c r="I38" s="32" t="s">
        <v>215</v>
      </c>
      <c r="J38" s="32" t="s">
        <v>128</v>
      </c>
      <c r="K38" s="32" t="s">
        <v>1240</v>
      </c>
      <c r="L38" s="55"/>
      <c r="M38" s="32"/>
    </row>
    <row r="39" ht="16.5" customHeight="1">
      <c r="A39" s="1"/>
      <c r="B39" s="1"/>
      <c r="C39" s="1"/>
      <c r="D39" s="1"/>
      <c r="E39" s="1"/>
      <c r="F39" s="1"/>
      <c r="G39" s="1"/>
      <c r="H39" s="32" t="s">
        <v>2085</v>
      </c>
      <c r="I39" s="32" t="s">
        <v>2090</v>
      </c>
      <c r="J39" s="32" t="s">
        <v>240</v>
      </c>
      <c r="K39" s="32" t="s">
        <v>1240</v>
      </c>
      <c r="L39" s="55"/>
      <c r="M39" s="32"/>
    </row>
    <row r="40" ht="16.5" customHeight="1">
      <c r="A40" s="1"/>
      <c r="B40" s="1"/>
      <c r="C40" s="1"/>
      <c r="D40" s="1"/>
      <c r="E40" s="1"/>
      <c r="F40" s="1"/>
      <c r="G40" s="1"/>
      <c r="H40" s="32" t="s">
        <v>2085</v>
      </c>
      <c r="I40" s="32" t="s">
        <v>2091</v>
      </c>
      <c r="J40" s="32" t="s">
        <v>240</v>
      </c>
      <c r="K40" s="32" t="s">
        <v>1240</v>
      </c>
      <c r="L40" s="55"/>
      <c r="M40" s="32"/>
    </row>
    <row r="41" ht="16.5" customHeight="1">
      <c r="A41" s="1"/>
      <c r="B41" s="1"/>
      <c r="C41" s="1"/>
      <c r="D41" s="1"/>
      <c r="E41" s="1"/>
      <c r="F41" s="1"/>
      <c r="G41" s="1"/>
      <c r="H41" s="32" t="s">
        <v>2093</v>
      </c>
      <c r="I41" s="32" t="s">
        <v>180</v>
      </c>
      <c r="J41" s="32" t="s">
        <v>128</v>
      </c>
      <c r="K41" s="32" t="s">
        <v>1240</v>
      </c>
      <c r="L41" s="55"/>
      <c r="M41" s="32"/>
    </row>
    <row r="42" ht="16.5" customHeight="1">
      <c r="A42" s="1"/>
      <c r="B42" s="1"/>
      <c r="C42" s="1"/>
      <c r="D42" s="1"/>
      <c r="E42" s="1"/>
      <c r="F42" s="1"/>
      <c r="G42" s="1"/>
      <c r="H42" s="32" t="s">
        <v>2093</v>
      </c>
      <c r="I42" s="32" t="s">
        <v>2094</v>
      </c>
      <c r="J42" s="32" t="s">
        <v>128</v>
      </c>
      <c r="K42" s="32" t="s">
        <v>1240</v>
      </c>
      <c r="L42" s="55"/>
      <c r="M42" s="32"/>
    </row>
    <row r="43" ht="16.5" customHeight="1">
      <c r="A43" s="1"/>
      <c r="B43" s="1"/>
      <c r="C43" s="1"/>
      <c r="D43" s="1"/>
      <c r="E43" s="1"/>
      <c r="F43" s="1"/>
      <c r="G43" s="1"/>
      <c r="H43" s="32" t="s">
        <v>2093</v>
      </c>
      <c r="I43" s="32" t="s">
        <v>2095</v>
      </c>
      <c r="J43" s="32" t="s">
        <v>128</v>
      </c>
      <c r="K43" s="32" t="s">
        <v>1240</v>
      </c>
      <c r="L43" s="55"/>
      <c r="M43" s="32"/>
    </row>
    <row r="44" ht="16.5" customHeight="1">
      <c r="A44" s="1"/>
      <c r="B44" s="1"/>
      <c r="C44" s="1"/>
      <c r="D44" s="1"/>
      <c r="E44" s="1"/>
      <c r="F44" s="1"/>
      <c r="G44" s="1"/>
      <c r="H44" s="32" t="s">
        <v>2093</v>
      </c>
      <c r="I44" s="32" t="s">
        <v>2096</v>
      </c>
      <c r="J44" s="32" t="s">
        <v>128</v>
      </c>
      <c r="K44" s="32" t="s">
        <v>1240</v>
      </c>
      <c r="L44" s="55"/>
      <c r="M44" s="32"/>
    </row>
    <row r="45" ht="16.5" customHeight="1">
      <c r="A45" s="1"/>
      <c r="B45" s="1"/>
      <c r="C45" s="1"/>
      <c r="D45" s="1"/>
      <c r="E45" s="1"/>
      <c r="F45" s="1"/>
      <c r="G45" s="1"/>
      <c r="H45" s="32" t="s">
        <v>2093</v>
      </c>
      <c r="I45" s="32" t="s">
        <v>2097</v>
      </c>
      <c r="J45" s="32" t="s">
        <v>240</v>
      </c>
      <c r="K45" s="32" t="s">
        <v>1240</v>
      </c>
      <c r="L45" s="55"/>
      <c r="M45" s="32"/>
    </row>
    <row r="46" ht="16.5" customHeight="1">
      <c r="A46" s="1"/>
      <c r="B46" s="1"/>
      <c r="C46" s="1"/>
      <c r="D46" s="1"/>
      <c r="E46" s="1"/>
      <c r="F46" s="1"/>
      <c r="G46" s="1"/>
      <c r="H46" s="32"/>
      <c r="I46" s="32"/>
      <c r="J46" s="32"/>
      <c r="K46" s="32"/>
      <c r="L46" s="55"/>
      <c r="M46" s="32"/>
    </row>
    <row r="47" ht="16.5" customHeight="1">
      <c r="A47" s="1"/>
      <c r="B47" s="1"/>
      <c r="C47" s="1"/>
      <c r="D47" s="1"/>
      <c r="E47" s="1"/>
      <c r="F47" s="1"/>
      <c r="G47" s="1"/>
      <c r="H47" s="32"/>
      <c r="I47" s="32"/>
      <c r="J47" s="32"/>
      <c r="K47" s="32"/>
      <c r="L47" s="55"/>
      <c r="M47" s="32"/>
    </row>
    <row r="48" ht="16.5" customHeight="1">
      <c r="A48" s="1"/>
      <c r="B48" s="1"/>
      <c r="C48" s="1"/>
      <c r="D48" s="1"/>
      <c r="E48" s="1"/>
      <c r="F48" s="1"/>
      <c r="G48" s="1"/>
      <c r="H48" s="32"/>
      <c r="I48" s="32"/>
      <c r="J48" s="32"/>
      <c r="K48" s="32"/>
      <c r="L48" s="55"/>
      <c r="M48" s="32"/>
    </row>
    <row r="49" ht="16.5" customHeight="1">
      <c r="A49" s="1"/>
      <c r="B49" s="1"/>
      <c r="C49" s="1"/>
      <c r="D49" s="1"/>
      <c r="E49" s="1"/>
      <c r="F49" s="1"/>
      <c r="G49" s="1"/>
      <c r="H49" s="32"/>
      <c r="I49" s="32"/>
      <c r="J49" s="32"/>
      <c r="K49" s="32"/>
      <c r="L49" s="55"/>
      <c r="M49" s="32"/>
    </row>
    <row r="50" ht="16.5" customHeight="1">
      <c r="A50" s="1"/>
      <c r="B50" s="1"/>
      <c r="C50" s="1"/>
      <c r="D50" s="1"/>
      <c r="E50" s="1"/>
      <c r="F50" s="1"/>
      <c r="G50" s="1"/>
      <c r="H50" s="32"/>
      <c r="I50" s="32"/>
      <c r="J50" s="32"/>
      <c r="K50" s="32"/>
      <c r="L50" s="55"/>
      <c r="M50" s="32"/>
    </row>
    <row r="51" ht="16.5" customHeight="1">
      <c r="A51" s="1"/>
      <c r="B51" s="1"/>
      <c r="C51" s="1"/>
      <c r="D51" s="1"/>
      <c r="E51" s="1"/>
      <c r="F51" s="1"/>
      <c r="G51" s="1"/>
      <c r="H51" s="32"/>
      <c r="I51" s="32"/>
      <c r="J51" s="32"/>
      <c r="K51" s="32"/>
      <c r="L51" s="55"/>
      <c r="M51" s="32"/>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16:M51">
    <cfRule type="expression" dxfId="11" priority="1" stopIfTrue="1">
      <formula>$J16="Not Applicable"</formula>
    </cfRule>
  </conditionalFormatting>
  <conditionalFormatting sqref="K16:K51">
    <cfRule type="cellIs" dxfId="6" priority="2" operator="equal">
      <formula>"No"</formula>
    </cfRule>
  </conditionalFormatting>
  <dataValidations>
    <dataValidation type="list" allowBlank="1" sqref="J16:J51">
      <formula1>"Required,Optional,Not Applicable,Completed"</formula1>
    </dataValidation>
    <dataValidation type="list" allowBlank="1" sqref="C21:C23 K16:K51">
      <formula1>"Yes,No"</formula1>
    </dataValidation>
  </dataValidations>
  <printOptions/>
  <pageMargins bottom="1.0" footer="0.0" header="0.0" left="0.75" right="0.75" top="1.0"/>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27.86"/>
    <col customWidth="1" min="3" max="3" width="23.57"/>
    <col customWidth="1" min="4" max="4" width="11.86"/>
    <col customWidth="1" min="5" max="5" width="19.29"/>
    <col customWidth="1" min="6" max="6" width="16.14"/>
    <col customWidth="1" min="7" max="7" width="27.86"/>
    <col customWidth="1" min="8" max="8" width="23.57"/>
    <col customWidth="1" min="9" max="9" width="14.57"/>
    <col customWidth="1" min="10" max="10" width="23.57"/>
    <col customWidth="1" min="11" max="12" width="11.86"/>
    <col customWidth="1" min="13" max="13" width="14.57"/>
    <col customWidth="1" min="14" max="14" width="9.71"/>
    <col customWidth="1" min="15" max="15" width="19.29"/>
    <col customWidth="1" min="16" max="16" width="27.86"/>
  </cols>
  <sheetData>
    <row r="1" ht="16.5" customHeight="1">
      <c r="A1" s="1"/>
      <c r="B1" s="1"/>
      <c r="C1" s="1"/>
      <c r="D1" s="1"/>
      <c r="E1" s="1"/>
      <c r="F1" s="1"/>
      <c r="G1" s="1"/>
      <c r="H1" s="1"/>
      <c r="I1" s="1"/>
      <c r="J1" s="1"/>
      <c r="K1" s="1"/>
      <c r="L1" s="1"/>
      <c r="M1" s="1"/>
      <c r="N1" s="1"/>
      <c r="O1" s="1"/>
      <c r="P1" s="1"/>
    </row>
    <row r="2" ht="33.75" customHeight="1">
      <c r="A2" s="2"/>
      <c r="B2" s="2" t="s">
        <v>2007</v>
      </c>
      <c r="C2" s="2"/>
      <c r="D2" s="2"/>
      <c r="E2" s="2"/>
      <c r="F2" s="2"/>
      <c r="G2" s="2"/>
      <c r="H2" s="2"/>
      <c r="I2" s="2"/>
      <c r="J2" s="2"/>
      <c r="K2" s="2"/>
      <c r="L2" s="2"/>
      <c r="M2" s="2"/>
      <c r="N2" s="2"/>
      <c r="O2" s="2"/>
      <c r="P2" s="2"/>
    </row>
    <row r="3" ht="15.75" customHeight="1">
      <c r="A3" s="3"/>
      <c r="B3" s="3" t="s">
        <v>2009</v>
      </c>
      <c r="C3" s="3"/>
      <c r="D3" s="3"/>
      <c r="E3" s="3"/>
      <c r="F3" s="3"/>
      <c r="G3" s="3"/>
      <c r="H3" s="3"/>
      <c r="I3" s="3"/>
      <c r="J3" s="3"/>
      <c r="K3" s="3"/>
      <c r="L3" s="3"/>
      <c r="M3" s="3"/>
      <c r="N3" s="3"/>
      <c r="O3" s="3"/>
      <c r="P3" s="3"/>
    </row>
    <row r="4" ht="16.5" customHeight="1">
      <c r="A4" s="1"/>
      <c r="B4" s="1"/>
      <c r="C4" s="1"/>
      <c r="D4" s="1"/>
      <c r="E4" s="1"/>
      <c r="F4" s="1"/>
      <c r="G4" s="1"/>
      <c r="H4" s="1"/>
      <c r="I4" s="1"/>
      <c r="J4" s="1"/>
      <c r="K4" s="1"/>
      <c r="L4" s="1"/>
      <c r="M4" s="1"/>
      <c r="N4" s="1"/>
      <c r="O4" s="1"/>
      <c r="P4" s="1"/>
    </row>
    <row r="5" ht="21.75" customHeight="1">
      <c r="A5" s="5"/>
      <c r="B5" s="8" t="s">
        <v>2012</v>
      </c>
      <c r="C5" s="8"/>
      <c r="D5" s="8"/>
      <c r="E5" s="8"/>
      <c r="F5" s="8"/>
      <c r="G5" s="8"/>
      <c r="H5" s="8"/>
      <c r="I5" s="8"/>
      <c r="J5" s="8"/>
      <c r="K5" s="8"/>
      <c r="L5" s="8"/>
      <c r="M5" s="8"/>
      <c r="N5" s="8"/>
      <c r="O5" s="8"/>
      <c r="P5" s="8"/>
    </row>
    <row r="6" ht="30.0" customHeight="1">
      <c r="A6" s="16"/>
      <c r="B6" s="17" t="s">
        <v>2015</v>
      </c>
      <c r="C6" s="17" t="s">
        <v>2016</v>
      </c>
      <c r="D6" s="17" t="s">
        <v>62</v>
      </c>
      <c r="E6" s="17" t="s">
        <v>2017</v>
      </c>
      <c r="F6" s="17" t="s">
        <v>2018</v>
      </c>
      <c r="G6" s="17" t="s">
        <v>2019</v>
      </c>
      <c r="H6" s="17" t="s">
        <v>2020</v>
      </c>
      <c r="I6" s="17" t="s">
        <v>2021</v>
      </c>
      <c r="J6" s="17" t="s">
        <v>2022</v>
      </c>
      <c r="K6" s="17" t="s">
        <v>2023</v>
      </c>
      <c r="L6" s="17" t="s">
        <v>2025</v>
      </c>
      <c r="M6" s="17" t="s">
        <v>1233</v>
      </c>
      <c r="N6" s="17" t="s">
        <v>1806</v>
      </c>
      <c r="O6" s="17" t="s">
        <v>2027</v>
      </c>
      <c r="P6" s="17" t="s">
        <v>50</v>
      </c>
    </row>
    <row r="7" ht="16.5" customHeight="1">
      <c r="A7" s="1"/>
      <c r="B7" s="32" t="s">
        <v>2029</v>
      </c>
      <c r="C7" s="32" t="s">
        <v>2030</v>
      </c>
      <c r="D7" s="32" t="s">
        <v>128</v>
      </c>
      <c r="E7" s="60"/>
      <c r="F7" s="32"/>
      <c r="G7" s="32"/>
      <c r="H7" s="60"/>
      <c r="I7" s="55">
        <v>0.5416666666666666</v>
      </c>
      <c r="J7" s="32"/>
      <c r="K7" s="55">
        <v>0.6666666666666666</v>
      </c>
      <c r="L7" s="32"/>
      <c r="M7" s="107"/>
      <c r="N7" s="32"/>
      <c r="O7" s="60"/>
      <c r="P7" s="32"/>
    </row>
    <row r="8" ht="16.5" customHeight="1">
      <c r="A8" s="1"/>
      <c r="B8" s="32" t="s">
        <v>2037</v>
      </c>
      <c r="C8" s="32" t="s">
        <v>2038</v>
      </c>
      <c r="D8" s="32" t="s">
        <v>128</v>
      </c>
      <c r="E8" s="60"/>
      <c r="F8" s="32"/>
      <c r="G8" s="32"/>
      <c r="H8" s="60"/>
      <c r="I8" s="55">
        <v>0.6041666666666666</v>
      </c>
      <c r="J8" s="32"/>
      <c r="K8" s="55">
        <v>0.625</v>
      </c>
      <c r="L8" s="32"/>
      <c r="M8" s="107"/>
      <c r="N8" s="32"/>
      <c r="O8" s="60"/>
      <c r="P8" s="32"/>
    </row>
    <row r="9" ht="16.5" customHeight="1">
      <c r="A9" s="1"/>
      <c r="B9" s="32" t="s">
        <v>2042</v>
      </c>
      <c r="C9" s="32" t="s">
        <v>2038</v>
      </c>
      <c r="D9" s="32" t="s">
        <v>128</v>
      </c>
      <c r="E9" s="60"/>
      <c r="F9" s="32"/>
      <c r="G9" s="32"/>
      <c r="H9" s="60"/>
      <c r="I9" s="55">
        <v>0.7083333333333334</v>
      </c>
      <c r="J9" s="32"/>
      <c r="K9" s="55">
        <v>0.7395833333333334</v>
      </c>
      <c r="L9" s="32"/>
      <c r="M9" s="107"/>
      <c r="N9" s="32"/>
      <c r="O9" s="60"/>
      <c r="P9" s="32"/>
    </row>
    <row r="10" ht="16.5" customHeight="1">
      <c r="A10" s="1"/>
      <c r="B10" s="32" t="s">
        <v>2046</v>
      </c>
      <c r="C10" s="32" t="s">
        <v>2038</v>
      </c>
      <c r="D10" s="32" t="s">
        <v>128</v>
      </c>
      <c r="E10" s="60"/>
      <c r="F10" s="32"/>
      <c r="G10" s="32"/>
      <c r="H10" s="60"/>
      <c r="I10" s="55">
        <v>0.7083333333333334</v>
      </c>
      <c r="J10" s="32"/>
      <c r="K10" s="55">
        <v>0.7395833333333334</v>
      </c>
      <c r="L10" s="32"/>
      <c r="M10" s="107"/>
      <c r="N10" s="32"/>
      <c r="O10" s="60"/>
      <c r="P10" s="32"/>
    </row>
    <row r="11" ht="16.5" customHeight="1">
      <c r="A11" s="1"/>
      <c r="B11" s="32" t="s">
        <v>2050</v>
      </c>
      <c r="C11" s="32" t="s">
        <v>2038</v>
      </c>
      <c r="D11" s="32" t="s">
        <v>128</v>
      </c>
      <c r="E11" s="60"/>
      <c r="F11" s="32"/>
      <c r="G11" s="32"/>
      <c r="H11" s="60"/>
      <c r="I11" s="55">
        <v>0.7291666666666666</v>
      </c>
      <c r="J11" s="32"/>
      <c r="K11" s="55">
        <v>0.75</v>
      </c>
      <c r="L11" s="32"/>
      <c r="M11" s="107"/>
      <c r="N11" s="32"/>
      <c r="O11" s="60"/>
      <c r="P11" s="32"/>
    </row>
    <row r="12" ht="16.5" customHeight="1">
      <c r="A12" s="1"/>
      <c r="B12" s="32" t="s">
        <v>2053</v>
      </c>
      <c r="C12" s="32" t="s">
        <v>2055</v>
      </c>
      <c r="D12" s="32" t="s">
        <v>128</v>
      </c>
      <c r="E12" s="60"/>
      <c r="F12" s="32"/>
      <c r="G12" s="32"/>
      <c r="H12" s="60"/>
      <c r="I12" s="55">
        <v>0.7604166666666666</v>
      </c>
      <c r="J12" s="32"/>
      <c r="K12" s="55">
        <v>0.78125</v>
      </c>
      <c r="L12" s="32"/>
      <c r="M12" s="107"/>
      <c r="N12" s="32"/>
      <c r="O12" s="60"/>
      <c r="P12" s="32"/>
    </row>
    <row r="13" ht="16.5" customHeight="1">
      <c r="A13" s="1"/>
      <c r="B13" s="32" t="s">
        <v>2059</v>
      </c>
      <c r="C13" s="32" t="s">
        <v>2030</v>
      </c>
      <c r="D13" s="32" t="s">
        <v>128</v>
      </c>
      <c r="E13" s="60"/>
      <c r="F13" s="32"/>
      <c r="G13" s="32"/>
      <c r="H13" s="60"/>
      <c r="I13" s="55">
        <v>0.7291666666666666</v>
      </c>
      <c r="J13" s="32"/>
      <c r="K13" s="55">
        <v>0.75</v>
      </c>
      <c r="L13" s="32"/>
      <c r="M13" s="107"/>
      <c r="N13" s="32"/>
      <c r="O13" s="60"/>
      <c r="P13" s="32"/>
    </row>
    <row r="14" ht="16.5" customHeight="1">
      <c r="A14" s="1"/>
      <c r="B14" s="32" t="s">
        <v>2061</v>
      </c>
      <c r="C14" s="32" t="s">
        <v>2062</v>
      </c>
      <c r="D14" s="32" t="s">
        <v>128</v>
      </c>
      <c r="E14" s="60"/>
      <c r="F14" s="32"/>
      <c r="G14" s="32"/>
      <c r="H14" s="60"/>
      <c r="I14" s="55">
        <v>0.7083333333333334</v>
      </c>
      <c r="J14" s="32"/>
      <c r="K14" s="55">
        <v>0.7708333333333334</v>
      </c>
      <c r="L14" s="32"/>
      <c r="M14" s="107"/>
      <c r="N14" s="32"/>
      <c r="O14" s="60"/>
      <c r="P14" s="32"/>
    </row>
    <row r="15" ht="16.5" customHeight="1">
      <c r="A15" s="1"/>
      <c r="B15" s="32" t="s">
        <v>2066</v>
      </c>
      <c r="C15" s="32" t="s">
        <v>2062</v>
      </c>
      <c r="D15" s="32" t="s">
        <v>240</v>
      </c>
      <c r="E15" s="60"/>
      <c r="F15" s="32"/>
      <c r="G15" s="32"/>
      <c r="H15" s="60"/>
      <c r="I15" s="55">
        <v>0.7083333333333334</v>
      </c>
      <c r="J15" s="32"/>
      <c r="K15" s="55">
        <v>0.7708333333333334</v>
      </c>
      <c r="L15" s="32"/>
      <c r="M15" s="107"/>
      <c r="N15" s="32"/>
      <c r="O15" s="60"/>
      <c r="P15" s="32"/>
    </row>
    <row r="16" ht="16.5" customHeight="1">
      <c r="A16" s="1"/>
      <c r="B16" s="32" t="s">
        <v>2069</v>
      </c>
      <c r="C16" s="32" t="s">
        <v>2030</v>
      </c>
      <c r="D16" s="32" t="s">
        <v>128</v>
      </c>
      <c r="E16" s="60"/>
      <c r="F16" s="32"/>
      <c r="G16" s="32"/>
      <c r="H16" s="60"/>
      <c r="I16" s="55">
        <v>0.7083333333333334</v>
      </c>
      <c r="J16" s="32"/>
      <c r="K16" s="55">
        <v>0.75</v>
      </c>
      <c r="L16" s="32"/>
      <c r="M16" s="107"/>
      <c r="N16" s="32"/>
      <c r="O16" s="60"/>
      <c r="P16" s="32"/>
    </row>
    <row r="17" ht="16.5" customHeight="1">
      <c r="A17" s="1"/>
      <c r="B17" s="32" t="s">
        <v>2071</v>
      </c>
      <c r="C17" s="32" t="s">
        <v>2038</v>
      </c>
      <c r="D17" s="32" t="s">
        <v>128</v>
      </c>
      <c r="E17" s="60"/>
      <c r="F17" s="32"/>
      <c r="G17" s="32"/>
      <c r="H17" s="60"/>
      <c r="I17" s="55">
        <v>0.78125</v>
      </c>
      <c r="J17" s="32"/>
      <c r="K17" s="55">
        <v>0.8020833333333334</v>
      </c>
      <c r="L17" s="32"/>
      <c r="M17" s="107"/>
      <c r="N17" s="32"/>
      <c r="O17" s="60"/>
      <c r="P17" s="32"/>
    </row>
    <row r="18" ht="16.5" customHeight="1">
      <c r="A18" s="1"/>
      <c r="B18" s="32" t="s">
        <v>2074</v>
      </c>
      <c r="C18" s="32" t="s">
        <v>2030</v>
      </c>
      <c r="D18" s="32" t="s">
        <v>128</v>
      </c>
      <c r="E18" s="60"/>
      <c r="F18" s="32"/>
      <c r="G18" s="32"/>
      <c r="H18" s="60"/>
      <c r="I18" s="55">
        <v>0.6458333333333334</v>
      </c>
      <c r="J18" s="32"/>
      <c r="K18" s="55">
        <v>0.6666666666666666</v>
      </c>
      <c r="L18" s="32"/>
      <c r="M18" s="107"/>
      <c r="N18" s="32"/>
      <c r="O18" s="60"/>
      <c r="P18" s="32"/>
    </row>
    <row r="19" ht="16.5" customHeight="1">
      <c r="A19" s="1"/>
      <c r="B19" s="32" t="s">
        <v>2077</v>
      </c>
      <c r="C19" s="32" t="s">
        <v>2078</v>
      </c>
      <c r="D19" s="32" t="s">
        <v>128</v>
      </c>
      <c r="E19" s="60"/>
      <c r="F19" s="32"/>
      <c r="G19" s="32"/>
      <c r="H19" s="60"/>
      <c r="I19" s="55">
        <v>0.3333333333333333</v>
      </c>
      <c r="J19" s="32"/>
      <c r="K19" s="55">
        <v>0.375</v>
      </c>
      <c r="L19" s="32"/>
      <c r="M19" s="107"/>
      <c r="N19" s="32"/>
      <c r="O19" s="60"/>
      <c r="P19" s="32"/>
    </row>
    <row r="20" ht="16.5" customHeight="1">
      <c r="A20" s="1"/>
      <c r="B20" s="32" t="s">
        <v>2081</v>
      </c>
      <c r="C20" s="32" t="s">
        <v>2038</v>
      </c>
      <c r="D20" s="32" t="s">
        <v>240</v>
      </c>
      <c r="E20" s="60"/>
      <c r="F20" s="32"/>
      <c r="G20" s="32"/>
      <c r="H20" s="60"/>
      <c r="I20" s="55">
        <v>0.7291666666666666</v>
      </c>
      <c r="J20" s="32"/>
      <c r="K20" s="55">
        <v>0.7708333333333334</v>
      </c>
      <c r="L20" s="32"/>
      <c r="M20" s="107"/>
      <c r="N20" s="32"/>
      <c r="O20" s="60"/>
      <c r="P20" s="32"/>
    </row>
    <row r="21" ht="16.5" customHeight="1">
      <c r="A21" s="1"/>
      <c r="B21" s="32" t="s">
        <v>2084</v>
      </c>
      <c r="C21" s="32" t="s">
        <v>2062</v>
      </c>
      <c r="D21" s="32" t="s">
        <v>128</v>
      </c>
      <c r="E21" s="60"/>
      <c r="F21" s="32"/>
      <c r="G21" s="32"/>
      <c r="H21" s="60"/>
      <c r="I21" s="55">
        <v>0.9791666666666666</v>
      </c>
      <c r="J21" s="32"/>
      <c r="K21" s="55">
        <v>0.04166666666666666</v>
      </c>
      <c r="L21" s="32"/>
      <c r="M21" s="107"/>
      <c r="N21" s="32"/>
      <c r="O21" s="60"/>
      <c r="P21" s="32"/>
    </row>
    <row r="22" ht="16.5" customHeight="1">
      <c r="A22" s="1"/>
      <c r="B22" s="32" t="s">
        <v>2087</v>
      </c>
      <c r="C22" s="32" t="s">
        <v>2055</v>
      </c>
      <c r="D22" s="32" t="s">
        <v>128</v>
      </c>
      <c r="E22" s="60"/>
      <c r="F22" s="32"/>
      <c r="G22" s="32"/>
      <c r="H22" s="60"/>
      <c r="I22" s="55">
        <v>0.9895833333333334</v>
      </c>
      <c r="J22" s="32"/>
      <c r="K22" s="55">
        <v>0.9965277777777778</v>
      </c>
      <c r="L22" s="32"/>
      <c r="M22" s="107"/>
      <c r="N22" s="32"/>
      <c r="O22" s="60"/>
      <c r="P22" s="32"/>
    </row>
    <row r="23" ht="16.5" customHeight="1">
      <c r="A23" s="1"/>
      <c r="B23" s="32" t="s">
        <v>2089</v>
      </c>
      <c r="C23" s="32" t="s">
        <v>2038</v>
      </c>
      <c r="D23" s="32" t="s">
        <v>128</v>
      </c>
      <c r="E23" s="60"/>
      <c r="F23" s="32"/>
      <c r="G23" s="32"/>
      <c r="H23" s="60"/>
      <c r="I23" s="55">
        <v>0.9895833333333334</v>
      </c>
      <c r="J23" s="32"/>
      <c r="K23" s="55">
        <v>0.02083333333333333</v>
      </c>
      <c r="L23" s="32"/>
      <c r="M23" s="107"/>
      <c r="N23" s="32"/>
      <c r="O23" s="60"/>
      <c r="P23" s="32"/>
    </row>
    <row r="24" ht="16.5" customHeight="1">
      <c r="A24" s="1"/>
      <c r="B24" s="32" t="s">
        <v>2092</v>
      </c>
      <c r="C24" s="32" t="s">
        <v>2030</v>
      </c>
      <c r="D24" s="32" t="s">
        <v>240</v>
      </c>
      <c r="E24" s="60"/>
      <c r="F24" s="32"/>
      <c r="G24" s="32"/>
      <c r="H24" s="60"/>
      <c r="I24" s="55"/>
      <c r="J24" s="32"/>
      <c r="K24" s="55"/>
      <c r="L24" s="32"/>
      <c r="M24" s="107"/>
      <c r="N24" s="32"/>
      <c r="O24" s="60"/>
      <c r="P24" s="32"/>
    </row>
    <row r="25" ht="16.5" customHeight="1">
      <c r="A25" s="1"/>
      <c r="B25" s="32"/>
      <c r="C25" s="32"/>
      <c r="D25" s="32"/>
      <c r="E25" s="60"/>
      <c r="F25" s="32"/>
      <c r="G25" s="32"/>
      <c r="H25" s="60"/>
      <c r="I25" s="55"/>
      <c r="J25" s="32"/>
      <c r="K25" s="55"/>
      <c r="L25" s="32"/>
      <c r="M25" s="107"/>
      <c r="N25" s="32"/>
      <c r="O25" s="60"/>
      <c r="P25" s="32"/>
    </row>
    <row r="26" ht="16.5" customHeight="1">
      <c r="A26" s="1"/>
      <c r="B26" s="32"/>
      <c r="C26" s="32"/>
      <c r="D26" s="32"/>
      <c r="E26" s="60"/>
      <c r="F26" s="32"/>
      <c r="G26" s="32"/>
      <c r="H26" s="60"/>
      <c r="I26" s="55"/>
      <c r="J26" s="32"/>
      <c r="K26" s="55"/>
      <c r="L26" s="32"/>
      <c r="M26" s="107"/>
      <c r="N26" s="32"/>
      <c r="O26" s="60"/>
      <c r="P26" s="32"/>
    </row>
    <row r="27" ht="16.5" customHeight="1">
      <c r="A27" s="1"/>
      <c r="B27" s="32"/>
      <c r="C27" s="32"/>
      <c r="D27" s="32"/>
      <c r="E27" s="60"/>
      <c r="F27" s="32"/>
      <c r="G27" s="32"/>
      <c r="H27" s="60"/>
      <c r="I27" s="55"/>
      <c r="J27" s="32"/>
      <c r="K27" s="55"/>
      <c r="L27" s="32"/>
      <c r="M27" s="107"/>
      <c r="N27" s="32"/>
      <c r="O27" s="60"/>
      <c r="P27" s="32"/>
    </row>
    <row r="28" ht="16.5" customHeight="1">
      <c r="A28" s="1"/>
      <c r="B28" s="32"/>
      <c r="C28" s="32"/>
      <c r="D28" s="32"/>
      <c r="E28" s="60"/>
      <c r="F28" s="32"/>
      <c r="G28" s="32"/>
      <c r="H28" s="60"/>
      <c r="I28" s="55"/>
      <c r="J28" s="32"/>
      <c r="K28" s="55"/>
      <c r="L28" s="32"/>
      <c r="M28" s="107"/>
      <c r="N28" s="32"/>
      <c r="O28" s="60"/>
      <c r="P28" s="32"/>
    </row>
    <row r="29" ht="16.5" customHeight="1">
      <c r="A29" s="1"/>
      <c r="B29" s="32"/>
      <c r="C29" s="32"/>
      <c r="D29" s="32"/>
      <c r="E29" s="60"/>
      <c r="F29" s="32"/>
      <c r="G29" s="32"/>
      <c r="H29" s="60"/>
      <c r="I29" s="55"/>
      <c r="J29" s="32"/>
      <c r="K29" s="55"/>
      <c r="L29" s="32"/>
      <c r="M29" s="107"/>
      <c r="N29" s="32"/>
      <c r="O29" s="60"/>
      <c r="P29" s="32"/>
    </row>
    <row r="30" ht="16.5" customHeight="1">
      <c r="A30" s="1"/>
      <c r="B30" s="32"/>
      <c r="C30" s="32"/>
      <c r="D30" s="32"/>
      <c r="E30" s="60"/>
      <c r="F30" s="32"/>
      <c r="G30" s="32"/>
      <c r="H30" s="60"/>
      <c r="I30" s="55"/>
      <c r="J30" s="32"/>
      <c r="K30" s="55"/>
      <c r="L30" s="32"/>
      <c r="M30" s="107"/>
      <c r="N30" s="32"/>
      <c r="O30" s="60"/>
      <c r="P30" s="32"/>
    </row>
    <row r="31" ht="16.5" customHeight="1">
      <c r="A31" s="1"/>
      <c r="B31" s="32"/>
      <c r="C31" s="32"/>
      <c r="D31" s="32"/>
      <c r="E31" s="60"/>
      <c r="F31" s="32"/>
      <c r="G31" s="32"/>
      <c r="H31" s="60"/>
      <c r="I31" s="32"/>
      <c r="J31" s="32"/>
      <c r="K31" s="32"/>
      <c r="L31" s="32"/>
      <c r="M31" s="60"/>
      <c r="N31" s="32"/>
      <c r="O31" s="60"/>
      <c r="P31" s="32"/>
    </row>
    <row r="32" ht="16.5" customHeight="1">
      <c r="A32" s="1"/>
      <c r="B32" s="32"/>
      <c r="C32" s="32"/>
      <c r="D32" s="32"/>
      <c r="E32" s="60"/>
      <c r="F32" s="32"/>
      <c r="G32" s="32"/>
      <c r="H32" s="60"/>
      <c r="I32" s="32"/>
      <c r="J32" s="32"/>
      <c r="K32" s="32"/>
      <c r="L32" s="32"/>
      <c r="M32" s="60"/>
      <c r="N32" s="32"/>
      <c r="O32" s="60"/>
      <c r="P32" s="32"/>
    </row>
    <row r="33" ht="21.75" customHeight="1">
      <c r="A33" s="5"/>
      <c r="B33" s="8" t="s">
        <v>227</v>
      </c>
      <c r="C33" s="8"/>
      <c r="D33" s="61"/>
      <c r="E33" s="61"/>
      <c r="F33" s="8"/>
      <c r="G33" s="8"/>
      <c r="H33" s="61"/>
      <c r="I33" s="8"/>
      <c r="J33" s="108">
        <f>SUM(J35:J54)</f>
        <v>0</v>
      </c>
      <c r="K33" s="8"/>
      <c r="L33" s="61"/>
      <c r="M33" s="61"/>
      <c r="N33" s="61"/>
      <c r="O33" s="61"/>
      <c r="P33" s="8"/>
    </row>
    <row r="34" ht="30.0" customHeight="1">
      <c r="A34" s="16"/>
      <c r="B34" s="17" t="s">
        <v>2098</v>
      </c>
      <c r="C34" s="17" t="s">
        <v>2099</v>
      </c>
      <c r="D34" s="17" t="s">
        <v>2100</v>
      </c>
      <c r="E34" s="17" t="s">
        <v>2101</v>
      </c>
      <c r="F34" s="17" t="s">
        <v>2102</v>
      </c>
      <c r="G34" s="17" t="s">
        <v>2103</v>
      </c>
      <c r="H34" s="17" t="s">
        <v>2104</v>
      </c>
      <c r="I34" s="17" t="s">
        <v>2105</v>
      </c>
      <c r="J34" s="17" t="s">
        <v>2106</v>
      </c>
      <c r="K34" s="17" t="s">
        <v>48</v>
      </c>
      <c r="L34" s="17" t="s">
        <v>2107</v>
      </c>
      <c r="M34" s="17" t="s">
        <v>2108</v>
      </c>
      <c r="N34" s="17" t="s">
        <v>2109</v>
      </c>
      <c r="O34" s="17" t="s">
        <v>2110</v>
      </c>
      <c r="P34" s="17" t="s">
        <v>50</v>
      </c>
    </row>
    <row r="35" ht="16.5" customHeight="1">
      <c r="A35" s="1"/>
      <c r="B35" s="32" t="s">
        <v>2111</v>
      </c>
      <c r="C35" s="32"/>
      <c r="D35" s="32" t="s">
        <v>2112</v>
      </c>
      <c r="E35" s="32"/>
      <c r="F35" s="24"/>
      <c r="G35" s="24"/>
      <c r="H35" s="32" t="str">
        <f t="shared" ref="H35:H54" si="1">IF(OR(F35="",G35=""),"",G35-F35)</f>
        <v/>
      </c>
      <c r="I35" s="38"/>
      <c r="J35" s="41" t="str">
        <f t="shared" ref="J35:J54" si="2">IF(H35="","",H35*I35)</f>
        <v/>
      </c>
      <c r="K35" s="32"/>
      <c r="L35" s="32"/>
      <c r="M35" s="32" t="s">
        <v>1240</v>
      </c>
      <c r="N35" s="32"/>
      <c r="O35" s="32"/>
      <c r="P35" s="32"/>
    </row>
    <row r="36" ht="16.5" customHeight="1">
      <c r="A36" s="1"/>
      <c r="B36" s="32" t="s">
        <v>2113</v>
      </c>
      <c r="C36" s="32"/>
      <c r="D36" s="32" t="s">
        <v>2114</v>
      </c>
      <c r="E36" s="32"/>
      <c r="F36" s="24"/>
      <c r="G36" s="24"/>
      <c r="H36" s="32" t="str">
        <f t="shared" si="1"/>
        <v/>
      </c>
      <c r="I36" s="38"/>
      <c r="J36" s="41" t="str">
        <f t="shared" si="2"/>
        <v/>
      </c>
      <c r="K36" s="32"/>
      <c r="L36" s="32"/>
      <c r="M36" s="32" t="s">
        <v>1240</v>
      </c>
      <c r="N36" s="32"/>
      <c r="O36" s="32"/>
      <c r="P36" s="32"/>
    </row>
    <row r="37" ht="16.5" customHeight="1">
      <c r="A37" s="1"/>
      <c r="B37" s="32" t="s">
        <v>2115</v>
      </c>
      <c r="C37" s="32"/>
      <c r="D37" s="32" t="s">
        <v>2114</v>
      </c>
      <c r="E37" s="32"/>
      <c r="F37" s="24"/>
      <c r="G37" s="24"/>
      <c r="H37" s="32" t="str">
        <f t="shared" si="1"/>
        <v/>
      </c>
      <c r="I37" s="38"/>
      <c r="J37" s="41" t="str">
        <f t="shared" si="2"/>
        <v/>
      </c>
      <c r="K37" s="32"/>
      <c r="L37" s="32"/>
      <c r="M37" s="32" t="s">
        <v>1240</v>
      </c>
      <c r="N37" s="32"/>
      <c r="O37" s="32"/>
      <c r="P37" s="32"/>
    </row>
    <row r="38" ht="16.5" customHeight="1">
      <c r="A38" s="1"/>
      <c r="B38" s="32" t="s">
        <v>1207</v>
      </c>
      <c r="C38" s="32"/>
      <c r="D38" s="32" t="s">
        <v>2116</v>
      </c>
      <c r="E38" s="32"/>
      <c r="F38" s="24"/>
      <c r="G38" s="24"/>
      <c r="H38" s="32" t="str">
        <f t="shared" si="1"/>
        <v/>
      </c>
      <c r="I38" s="38"/>
      <c r="J38" s="41" t="str">
        <f t="shared" si="2"/>
        <v/>
      </c>
      <c r="K38" s="32"/>
      <c r="L38" s="32"/>
      <c r="M38" s="32" t="s">
        <v>1240</v>
      </c>
      <c r="N38" s="32"/>
      <c r="O38" s="32"/>
      <c r="P38" s="32"/>
    </row>
    <row r="39" ht="16.5" customHeight="1">
      <c r="A39" s="1"/>
      <c r="B39" s="32" t="s">
        <v>1203</v>
      </c>
      <c r="C39" s="32"/>
      <c r="D39" s="32" t="s">
        <v>2116</v>
      </c>
      <c r="E39" s="32"/>
      <c r="F39" s="24"/>
      <c r="G39" s="24"/>
      <c r="H39" s="32" t="str">
        <f t="shared" si="1"/>
        <v/>
      </c>
      <c r="I39" s="38"/>
      <c r="J39" s="41" t="str">
        <f t="shared" si="2"/>
        <v/>
      </c>
      <c r="K39" s="32"/>
      <c r="L39" s="32"/>
      <c r="M39" s="32" t="s">
        <v>1240</v>
      </c>
      <c r="N39" s="32"/>
      <c r="O39" s="32"/>
      <c r="P39" s="32"/>
    </row>
    <row r="40" ht="16.5" customHeight="1">
      <c r="A40" s="1"/>
      <c r="B40" s="32" t="s">
        <v>2117</v>
      </c>
      <c r="C40" s="32"/>
      <c r="D40" s="32" t="s">
        <v>2116</v>
      </c>
      <c r="E40" s="32"/>
      <c r="F40" s="24"/>
      <c r="G40" s="24"/>
      <c r="H40" s="32" t="str">
        <f t="shared" si="1"/>
        <v/>
      </c>
      <c r="I40" s="38"/>
      <c r="J40" s="41" t="str">
        <f t="shared" si="2"/>
        <v/>
      </c>
      <c r="K40" s="32"/>
      <c r="L40" s="32"/>
      <c r="M40" s="32" t="s">
        <v>1240</v>
      </c>
      <c r="N40" s="32"/>
      <c r="O40" s="32"/>
      <c r="P40" s="32"/>
    </row>
    <row r="41" ht="16.5" customHeight="1">
      <c r="A41" s="1"/>
      <c r="B41" s="32" t="s">
        <v>2118</v>
      </c>
      <c r="C41" s="32"/>
      <c r="D41" s="32" t="s">
        <v>2116</v>
      </c>
      <c r="E41" s="32"/>
      <c r="F41" s="24"/>
      <c r="G41" s="24"/>
      <c r="H41" s="32" t="str">
        <f t="shared" si="1"/>
        <v/>
      </c>
      <c r="I41" s="38"/>
      <c r="J41" s="41" t="str">
        <f t="shared" si="2"/>
        <v/>
      </c>
      <c r="K41" s="32"/>
      <c r="L41" s="32"/>
      <c r="M41" s="32" t="s">
        <v>1240</v>
      </c>
      <c r="N41" s="32"/>
      <c r="O41" s="32"/>
      <c r="P41" s="32"/>
    </row>
    <row r="42" ht="16.5" customHeight="1">
      <c r="A42" s="1"/>
      <c r="B42" s="32" t="s">
        <v>2119</v>
      </c>
      <c r="C42" s="32"/>
      <c r="D42" s="32" t="s">
        <v>2116</v>
      </c>
      <c r="E42" s="32"/>
      <c r="F42" s="24"/>
      <c r="G42" s="24"/>
      <c r="H42" s="32" t="str">
        <f t="shared" si="1"/>
        <v/>
      </c>
      <c r="I42" s="38"/>
      <c r="J42" s="41" t="str">
        <f t="shared" si="2"/>
        <v/>
      </c>
      <c r="K42" s="32"/>
      <c r="L42" s="32"/>
      <c r="M42" s="32" t="s">
        <v>1240</v>
      </c>
      <c r="N42" s="32"/>
      <c r="O42" s="32"/>
      <c r="P42" s="32"/>
    </row>
    <row r="43" ht="16.5" customHeight="1">
      <c r="A43" s="1"/>
      <c r="B43" s="32" t="s">
        <v>2120</v>
      </c>
      <c r="C43" s="32"/>
      <c r="D43" s="32" t="s">
        <v>2116</v>
      </c>
      <c r="E43" s="32"/>
      <c r="F43" s="24"/>
      <c r="G43" s="24"/>
      <c r="H43" s="32" t="str">
        <f t="shared" si="1"/>
        <v/>
      </c>
      <c r="I43" s="38"/>
      <c r="J43" s="41" t="str">
        <f t="shared" si="2"/>
        <v/>
      </c>
      <c r="K43" s="32"/>
      <c r="L43" s="32"/>
      <c r="M43" s="32" t="s">
        <v>1240</v>
      </c>
      <c r="N43" s="32"/>
      <c r="O43" s="32"/>
      <c r="P43" s="32"/>
    </row>
    <row r="44" ht="16.5" customHeight="1">
      <c r="A44" s="1"/>
      <c r="B44" s="32" t="s">
        <v>2121</v>
      </c>
      <c r="C44" s="32"/>
      <c r="D44" s="32" t="s">
        <v>2116</v>
      </c>
      <c r="E44" s="32"/>
      <c r="F44" s="24"/>
      <c r="G44" s="24"/>
      <c r="H44" s="32" t="str">
        <f t="shared" si="1"/>
        <v/>
      </c>
      <c r="I44" s="38"/>
      <c r="J44" s="41" t="str">
        <f t="shared" si="2"/>
        <v/>
      </c>
      <c r="K44" s="32"/>
      <c r="L44" s="32"/>
      <c r="M44" s="32" t="s">
        <v>1240</v>
      </c>
      <c r="N44" s="32"/>
      <c r="O44" s="32"/>
      <c r="P44" s="32"/>
    </row>
    <row r="45" ht="16.5" customHeight="1">
      <c r="A45" s="1"/>
      <c r="B45" s="32" t="s">
        <v>2122</v>
      </c>
      <c r="C45" s="32"/>
      <c r="D45" s="32" t="s">
        <v>2116</v>
      </c>
      <c r="E45" s="32"/>
      <c r="F45" s="24"/>
      <c r="G45" s="24"/>
      <c r="H45" s="32" t="str">
        <f t="shared" si="1"/>
        <v/>
      </c>
      <c r="I45" s="38"/>
      <c r="J45" s="41" t="str">
        <f t="shared" si="2"/>
        <v/>
      </c>
      <c r="K45" s="32"/>
      <c r="L45" s="32"/>
      <c r="M45" s="32" t="s">
        <v>1240</v>
      </c>
      <c r="N45" s="32"/>
      <c r="O45" s="32"/>
      <c r="P45" s="32"/>
    </row>
    <row r="46" ht="16.5" customHeight="1">
      <c r="A46" s="1"/>
      <c r="B46" s="32" t="s">
        <v>2123</v>
      </c>
      <c r="C46" s="32"/>
      <c r="D46" s="32" t="s">
        <v>2124</v>
      </c>
      <c r="E46" s="32"/>
      <c r="F46" s="24"/>
      <c r="G46" s="24"/>
      <c r="H46" s="32" t="str">
        <f t="shared" si="1"/>
        <v/>
      </c>
      <c r="I46" s="38"/>
      <c r="J46" s="41" t="str">
        <f t="shared" si="2"/>
        <v/>
      </c>
      <c r="K46" s="32"/>
      <c r="L46" s="32"/>
      <c r="M46" s="32" t="s">
        <v>1240</v>
      </c>
      <c r="N46" s="32"/>
      <c r="O46" s="32"/>
      <c r="P46" s="32"/>
    </row>
    <row r="47" ht="16.5" customHeight="1">
      <c r="A47" s="1"/>
      <c r="B47" s="32"/>
      <c r="C47" s="32"/>
      <c r="D47" s="32"/>
      <c r="E47" s="32"/>
      <c r="F47" s="24"/>
      <c r="G47" s="24"/>
      <c r="H47" s="32" t="str">
        <f t="shared" si="1"/>
        <v/>
      </c>
      <c r="I47" s="38"/>
      <c r="J47" s="41" t="str">
        <f t="shared" si="2"/>
        <v/>
      </c>
      <c r="K47" s="32"/>
      <c r="L47" s="32"/>
      <c r="M47" s="32"/>
      <c r="N47" s="32"/>
      <c r="O47" s="32"/>
      <c r="P47" s="32"/>
    </row>
    <row r="48" ht="16.5" customHeight="1">
      <c r="A48" s="1"/>
      <c r="B48" s="32"/>
      <c r="C48" s="32"/>
      <c r="D48" s="32"/>
      <c r="E48" s="32"/>
      <c r="F48" s="24"/>
      <c r="G48" s="24"/>
      <c r="H48" s="32" t="str">
        <f t="shared" si="1"/>
        <v/>
      </c>
      <c r="I48" s="38"/>
      <c r="J48" s="41" t="str">
        <f t="shared" si="2"/>
        <v/>
      </c>
      <c r="K48" s="32"/>
      <c r="L48" s="32"/>
      <c r="M48" s="32"/>
      <c r="N48" s="32"/>
      <c r="O48" s="32"/>
      <c r="P48" s="32"/>
    </row>
    <row r="49" ht="16.5" customHeight="1">
      <c r="A49" s="1"/>
      <c r="B49" s="32"/>
      <c r="C49" s="32"/>
      <c r="D49" s="32"/>
      <c r="E49" s="32"/>
      <c r="F49" s="24"/>
      <c r="G49" s="24"/>
      <c r="H49" s="32" t="str">
        <f t="shared" si="1"/>
        <v/>
      </c>
      <c r="I49" s="38"/>
      <c r="J49" s="41" t="str">
        <f t="shared" si="2"/>
        <v/>
      </c>
      <c r="K49" s="32"/>
      <c r="L49" s="32"/>
      <c r="M49" s="32"/>
      <c r="N49" s="32"/>
      <c r="O49" s="32"/>
      <c r="P49" s="32"/>
    </row>
    <row r="50" ht="16.5" customHeight="1">
      <c r="A50" s="1"/>
      <c r="B50" s="32"/>
      <c r="C50" s="32"/>
      <c r="D50" s="32"/>
      <c r="E50" s="32"/>
      <c r="F50" s="24"/>
      <c r="G50" s="24"/>
      <c r="H50" s="32" t="str">
        <f t="shared" si="1"/>
        <v/>
      </c>
      <c r="I50" s="38"/>
      <c r="J50" s="41" t="str">
        <f t="shared" si="2"/>
        <v/>
      </c>
      <c r="K50" s="32"/>
      <c r="L50" s="32"/>
      <c r="M50" s="32"/>
      <c r="N50" s="32"/>
      <c r="O50" s="32"/>
      <c r="P50" s="32"/>
    </row>
    <row r="51" ht="16.5" customHeight="1">
      <c r="A51" s="1"/>
      <c r="B51" s="32"/>
      <c r="C51" s="32"/>
      <c r="D51" s="32"/>
      <c r="E51" s="32"/>
      <c r="F51" s="24"/>
      <c r="G51" s="24"/>
      <c r="H51" s="32" t="str">
        <f t="shared" si="1"/>
        <v/>
      </c>
      <c r="I51" s="38"/>
      <c r="J51" s="41" t="str">
        <f t="shared" si="2"/>
        <v/>
      </c>
      <c r="K51" s="32"/>
      <c r="L51" s="32"/>
      <c r="M51" s="32"/>
      <c r="N51" s="32"/>
      <c r="O51" s="32"/>
      <c r="P51" s="32"/>
    </row>
    <row r="52" ht="16.5" customHeight="1">
      <c r="A52" s="1"/>
      <c r="B52" s="32"/>
      <c r="C52" s="32"/>
      <c r="D52" s="32"/>
      <c r="E52" s="32"/>
      <c r="F52" s="24"/>
      <c r="G52" s="24"/>
      <c r="H52" s="32" t="str">
        <f t="shared" si="1"/>
        <v/>
      </c>
      <c r="I52" s="38"/>
      <c r="J52" s="41" t="str">
        <f t="shared" si="2"/>
        <v/>
      </c>
      <c r="K52" s="32"/>
      <c r="L52" s="32"/>
      <c r="M52" s="32"/>
      <c r="N52" s="32"/>
      <c r="O52" s="32"/>
      <c r="P52" s="32"/>
    </row>
    <row r="53" ht="16.5" customHeight="1">
      <c r="A53" s="1"/>
      <c r="B53" s="32"/>
      <c r="C53" s="32"/>
      <c r="D53" s="32"/>
      <c r="E53" s="32"/>
      <c r="F53" s="24"/>
      <c r="G53" s="24"/>
      <c r="H53" s="32" t="str">
        <f t="shared" si="1"/>
        <v/>
      </c>
      <c r="I53" s="38"/>
      <c r="J53" s="41" t="str">
        <f t="shared" si="2"/>
        <v/>
      </c>
      <c r="K53" s="32"/>
      <c r="L53" s="32"/>
      <c r="M53" s="32"/>
      <c r="N53" s="32"/>
      <c r="O53" s="32"/>
      <c r="P53" s="32"/>
    </row>
    <row r="54" ht="16.5" customHeight="1">
      <c r="A54" s="1"/>
      <c r="B54" s="32"/>
      <c r="C54" s="32"/>
      <c r="D54" s="32"/>
      <c r="E54" s="32"/>
      <c r="F54" s="24"/>
      <c r="G54" s="24"/>
      <c r="H54" s="32" t="str">
        <f t="shared" si="1"/>
        <v/>
      </c>
      <c r="I54" s="38"/>
      <c r="J54" s="41" t="str">
        <f t="shared" si="2"/>
        <v/>
      </c>
      <c r="K54" s="32"/>
      <c r="L54" s="32"/>
      <c r="M54" s="32"/>
      <c r="N54" s="32"/>
      <c r="O54" s="32"/>
      <c r="P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P54">
    <cfRule type="expression" dxfId="11" priority="1" stopIfTrue="1">
      <formula>$D7="Not Applicable"</formula>
    </cfRule>
  </conditionalFormatting>
  <conditionalFormatting sqref="F7:F30">
    <cfRule type="expression" dxfId="6" priority="2">
      <formula>AND($D7="Required",$F7="")</formula>
    </cfRule>
  </conditionalFormatting>
  <conditionalFormatting sqref="M35:M54">
    <cfRule type="cellIs" dxfId="6" priority="3" operator="equal">
      <formula>"No"</formula>
    </cfRule>
  </conditionalFormatting>
  <dataValidations>
    <dataValidation type="list" allowBlank="1" sqref="D35:D54">
      <formula1>"Suite,Deluxe,Double,Twin,Single,Triple,Family"</formula1>
    </dataValidation>
    <dataValidation type="list" allowBlank="1" sqref="D7:D30">
      <formula1>"Required,Optional,Not Applicable,Completed"</formula1>
    </dataValidation>
    <dataValidation type="list" allowBlank="1" sqref="L7:L30 N7:N30 M35:M54 O35:O54">
      <formula1>"Yes,No"</formula1>
    </dataValidation>
    <dataValidation type="list" allowBlank="1" sqref="K35:K54">
      <formula1>"Bride,Groom,Couple,Bride's Family,Groom's Family,Coordinator,Vendor,Shared"</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7A"/>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55.71"/>
    <col customWidth="1" min="4" max="4" width="11.86"/>
    <col customWidth="1" min="5" max="5" width="27.86"/>
    <col customWidth="1" min="6" max="6" width="17.14"/>
    <col customWidth="1" min="7" max="7" width="13.86"/>
    <col customWidth="1" min="8" max="8" width="21.43"/>
    <col customWidth="1" min="9" max="9" width="10.71"/>
    <col customWidth="1" min="10" max="10" width="30.0"/>
  </cols>
  <sheetData>
    <row r="1" ht="16.5" customHeight="1">
      <c r="A1" s="1"/>
      <c r="B1" s="1"/>
      <c r="C1" s="1"/>
      <c r="D1" s="1"/>
      <c r="E1" s="1"/>
      <c r="F1" s="1"/>
      <c r="G1" s="1"/>
      <c r="H1" s="1"/>
      <c r="I1" s="1"/>
      <c r="J1" s="1"/>
    </row>
    <row r="2" ht="33.75" customHeight="1">
      <c r="A2" s="2"/>
      <c r="B2" s="2" t="s">
        <v>2125</v>
      </c>
      <c r="C2" s="2"/>
      <c r="D2" s="2"/>
      <c r="E2" s="2"/>
      <c r="F2" s="2"/>
      <c r="G2" s="2"/>
      <c r="H2" s="2"/>
      <c r="I2" s="2"/>
      <c r="J2" s="2"/>
    </row>
    <row r="3" ht="15.75" customHeight="1">
      <c r="A3" s="3"/>
      <c r="B3" s="3" t="s">
        <v>2126</v>
      </c>
      <c r="C3" s="3"/>
      <c r="D3" s="3"/>
      <c r="E3" s="3"/>
      <c r="F3" s="3"/>
      <c r="G3" s="3"/>
      <c r="H3" s="3"/>
      <c r="I3" s="3"/>
      <c r="J3" s="3"/>
    </row>
    <row r="4" ht="16.5" customHeight="1">
      <c r="A4" s="1"/>
      <c r="B4" s="1"/>
      <c r="C4" s="1"/>
      <c r="D4" s="1"/>
      <c r="E4" s="1"/>
      <c r="F4" s="1"/>
      <c r="G4" s="1"/>
      <c r="H4" s="1"/>
      <c r="I4" s="1"/>
      <c r="J4" s="1"/>
    </row>
    <row r="5" ht="16.5" customHeight="1">
      <c r="A5" s="1"/>
      <c r="B5" s="1"/>
      <c r="C5" s="5" t="str">
        <f>"Must-have shots: "&amp;COUNTIF(D7:D80,"Must")&amp;"   |   Captured: "&amp;COUNTIFS(D7:D80,"Must",I7:I80,"Yes")</f>
        <v>Must-have shots: 52   |   Captured: 0</v>
      </c>
      <c r="D5" s="1"/>
      <c r="E5" s="1"/>
      <c r="F5" s="1"/>
      <c r="G5" s="1"/>
      <c r="H5" s="1"/>
      <c r="I5" s="1"/>
      <c r="J5" s="1"/>
    </row>
    <row r="6" ht="30.0" customHeight="1">
      <c r="A6" s="16"/>
      <c r="B6" s="17" t="s">
        <v>2127</v>
      </c>
      <c r="C6" s="17" t="s">
        <v>2128</v>
      </c>
      <c r="D6" s="17" t="s">
        <v>1228</v>
      </c>
      <c r="E6" s="17" t="s">
        <v>2129</v>
      </c>
      <c r="F6" s="17" t="s">
        <v>1804</v>
      </c>
      <c r="G6" s="17" t="s">
        <v>2130</v>
      </c>
      <c r="H6" s="17" t="s">
        <v>2131</v>
      </c>
      <c r="I6" s="17" t="s">
        <v>2132</v>
      </c>
      <c r="J6" s="17" t="s">
        <v>50</v>
      </c>
    </row>
    <row r="7" ht="16.5" customHeight="1">
      <c r="A7" s="1"/>
      <c r="B7" s="32" t="s">
        <v>2133</v>
      </c>
      <c r="C7" s="32" t="s">
        <v>2134</v>
      </c>
      <c r="D7" s="32" t="s">
        <v>2135</v>
      </c>
      <c r="E7" s="32" t="s">
        <v>1256</v>
      </c>
      <c r="F7" s="32" t="s">
        <v>2136</v>
      </c>
      <c r="G7" s="55"/>
      <c r="H7" s="32"/>
      <c r="I7" s="32"/>
      <c r="J7" s="32"/>
    </row>
    <row r="8" ht="16.5" customHeight="1">
      <c r="A8" s="1"/>
      <c r="B8" s="32" t="s">
        <v>2133</v>
      </c>
      <c r="C8" s="32" t="s">
        <v>2137</v>
      </c>
      <c r="D8" s="32" t="s">
        <v>2135</v>
      </c>
      <c r="E8" s="32" t="s">
        <v>1256</v>
      </c>
      <c r="F8" s="32" t="s">
        <v>2136</v>
      </c>
      <c r="G8" s="55"/>
      <c r="H8" s="32"/>
      <c r="I8" s="32"/>
      <c r="J8" s="32"/>
    </row>
    <row r="9" ht="16.5" customHeight="1">
      <c r="A9" s="1"/>
      <c r="B9" s="32" t="s">
        <v>2133</v>
      </c>
      <c r="C9" s="32" t="s">
        <v>2138</v>
      </c>
      <c r="D9" s="32" t="s">
        <v>2139</v>
      </c>
      <c r="E9" s="32" t="s">
        <v>1862</v>
      </c>
      <c r="F9" s="32" t="s">
        <v>2136</v>
      </c>
      <c r="G9" s="55"/>
      <c r="H9" s="32"/>
      <c r="I9" s="32"/>
      <c r="J9" s="32"/>
    </row>
    <row r="10" ht="16.5" customHeight="1">
      <c r="A10" s="1"/>
      <c r="B10" s="32" t="s">
        <v>2133</v>
      </c>
      <c r="C10" s="32" t="s">
        <v>2140</v>
      </c>
      <c r="D10" s="32" t="s">
        <v>2135</v>
      </c>
      <c r="E10" s="32" t="s">
        <v>1256</v>
      </c>
      <c r="F10" s="32" t="s">
        <v>2136</v>
      </c>
      <c r="G10" s="55"/>
      <c r="H10" s="32"/>
      <c r="I10" s="32"/>
      <c r="J10" s="32"/>
    </row>
    <row r="11" ht="16.5" customHeight="1">
      <c r="A11" s="1"/>
      <c r="B11" s="32" t="s">
        <v>2133</v>
      </c>
      <c r="C11" s="32" t="s">
        <v>2141</v>
      </c>
      <c r="D11" s="32" t="s">
        <v>2135</v>
      </c>
      <c r="E11" s="32" t="s">
        <v>2142</v>
      </c>
      <c r="F11" s="32" t="s">
        <v>2136</v>
      </c>
      <c r="G11" s="55"/>
      <c r="H11" s="32"/>
      <c r="I11" s="32"/>
      <c r="J11" s="32"/>
    </row>
    <row r="12" ht="16.5" customHeight="1">
      <c r="A12" s="1"/>
      <c r="B12" s="32" t="s">
        <v>2133</v>
      </c>
      <c r="C12" s="32" t="s">
        <v>2143</v>
      </c>
      <c r="D12" s="32" t="s">
        <v>2135</v>
      </c>
      <c r="E12" s="32" t="s">
        <v>2144</v>
      </c>
      <c r="F12" s="32" t="s">
        <v>2136</v>
      </c>
      <c r="G12" s="55"/>
      <c r="H12" s="32"/>
      <c r="I12" s="32"/>
      <c r="J12" s="32"/>
    </row>
    <row r="13" ht="16.5" customHeight="1">
      <c r="A13" s="1"/>
      <c r="B13" s="32" t="s">
        <v>2133</v>
      </c>
      <c r="C13" s="32" t="s">
        <v>2145</v>
      </c>
      <c r="D13" s="32" t="s">
        <v>2135</v>
      </c>
      <c r="E13" s="32" t="s">
        <v>2146</v>
      </c>
      <c r="F13" s="32" t="s">
        <v>2136</v>
      </c>
      <c r="G13" s="55"/>
      <c r="H13" s="32"/>
      <c r="I13" s="32"/>
      <c r="J13" s="32"/>
    </row>
    <row r="14" ht="16.5" customHeight="1">
      <c r="A14" s="1"/>
      <c r="B14" s="32" t="s">
        <v>2133</v>
      </c>
      <c r="C14" s="32" t="s">
        <v>2147</v>
      </c>
      <c r="D14" s="32" t="s">
        <v>2135</v>
      </c>
      <c r="E14" s="32" t="s">
        <v>1256</v>
      </c>
      <c r="F14" s="32" t="s">
        <v>2136</v>
      </c>
      <c r="G14" s="55"/>
      <c r="H14" s="32"/>
      <c r="I14" s="32"/>
      <c r="J14" s="32"/>
    </row>
    <row r="15" ht="16.5" customHeight="1">
      <c r="A15" s="1"/>
      <c r="B15" s="32" t="s">
        <v>2133</v>
      </c>
      <c r="C15" s="32" t="s">
        <v>2148</v>
      </c>
      <c r="D15" s="32" t="s">
        <v>2135</v>
      </c>
      <c r="E15" s="32" t="s">
        <v>129</v>
      </c>
      <c r="F15" s="32" t="s">
        <v>2149</v>
      </c>
      <c r="G15" s="55"/>
      <c r="H15" s="32"/>
      <c r="I15" s="32"/>
      <c r="J15" s="32"/>
    </row>
    <row r="16" ht="16.5" customHeight="1">
      <c r="A16" s="1"/>
      <c r="B16" s="32" t="s">
        <v>2133</v>
      </c>
      <c r="C16" s="32" t="s">
        <v>2150</v>
      </c>
      <c r="D16" s="32" t="s">
        <v>2135</v>
      </c>
      <c r="E16" s="32" t="s">
        <v>2151</v>
      </c>
      <c r="F16" s="32" t="s">
        <v>2149</v>
      </c>
      <c r="G16" s="55"/>
      <c r="H16" s="32"/>
      <c r="I16" s="32"/>
      <c r="J16" s="32"/>
    </row>
    <row r="17" ht="16.5" customHeight="1">
      <c r="A17" s="1"/>
      <c r="B17" s="32" t="s">
        <v>2133</v>
      </c>
      <c r="C17" s="32" t="s">
        <v>2152</v>
      </c>
      <c r="D17" s="32" t="s">
        <v>2135</v>
      </c>
      <c r="E17" s="32" t="s">
        <v>2153</v>
      </c>
      <c r="F17" s="32" t="s">
        <v>2149</v>
      </c>
      <c r="G17" s="55"/>
      <c r="H17" s="32"/>
      <c r="I17" s="32"/>
      <c r="J17" s="32"/>
    </row>
    <row r="18" ht="16.5" customHeight="1">
      <c r="A18" s="1"/>
      <c r="B18" s="32" t="s">
        <v>2133</v>
      </c>
      <c r="C18" s="32" t="s">
        <v>2154</v>
      </c>
      <c r="D18" s="32" t="s">
        <v>2135</v>
      </c>
      <c r="E18" s="32" t="s">
        <v>2155</v>
      </c>
      <c r="F18" s="32" t="s">
        <v>2149</v>
      </c>
      <c r="G18" s="55"/>
      <c r="H18" s="32"/>
      <c r="I18" s="32"/>
      <c r="J18" s="32"/>
    </row>
    <row r="19" ht="16.5" customHeight="1">
      <c r="A19" s="1"/>
      <c r="B19" s="32" t="s">
        <v>2156</v>
      </c>
      <c r="C19" s="32" t="s">
        <v>2157</v>
      </c>
      <c r="D19" s="32" t="s">
        <v>2135</v>
      </c>
      <c r="E19" s="32" t="s">
        <v>2158</v>
      </c>
      <c r="F19" s="32" t="s">
        <v>1882</v>
      </c>
      <c r="G19" s="55"/>
      <c r="H19" s="32"/>
      <c r="I19" s="32"/>
      <c r="J19" s="32"/>
    </row>
    <row r="20" ht="16.5" customHeight="1">
      <c r="A20" s="1"/>
      <c r="B20" s="32" t="s">
        <v>2156</v>
      </c>
      <c r="C20" s="32" t="s">
        <v>2159</v>
      </c>
      <c r="D20" s="32" t="s">
        <v>2135</v>
      </c>
      <c r="E20" s="32" t="s">
        <v>129</v>
      </c>
      <c r="F20" s="32" t="s">
        <v>65</v>
      </c>
      <c r="G20" s="55"/>
      <c r="H20" s="32"/>
      <c r="I20" s="32"/>
      <c r="J20" s="32"/>
    </row>
    <row r="21" ht="16.5" customHeight="1">
      <c r="A21" s="1"/>
      <c r="B21" s="32" t="s">
        <v>2156</v>
      </c>
      <c r="C21" s="32" t="s">
        <v>2160</v>
      </c>
      <c r="D21" s="32" t="s">
        <v>2135</v>
      </c>
      <c r="E21" s="32" t="s">
        <v>2144</v>
      </c>
      <c r="F21" s="32" t="s">
        <v>65</v>
      </c>
      <c r="G21" s="55"/>
      <c r="H21" s="32"/>
      <c r="I21" s="32"/>
      <c r="J21" s="32"/>
    </row>
    <row r="22" ht="16.5" customHeight="1">
      <c r="A22" s="1"/>
      <c r="B22" s="32" t="s">
        <v>349</v>
      </c>
      <c r="C22" s="32" t="s">
        <v>2161</v>
      </c>
      <c r="D22" s="32" t="s">
        <v>2135</v>
      </c>
      <c r="E22" s="32" t="s">
        <v>1038</v>
      </c>
      <c r="F22" s="32" t="s">
        <v>1861</v>
      </c>
      <c r="G22" s="55"/>
      <c r="H22" s="32"/>
      <c r="I22" s="32"/>
      <c r="J22" s="32"/>
    </row>
    <row r="23" ht="16.5" customHeight="1">
      <c r="A23" s="1"/>
      <c r="B23" s="32" t="s">
        <v>349</v>
      </c>
      <c r="C23" s="32" t="s">
        <v>2162</v>
      </c>
      <c r="D23" s="32" t="s">
        <v>2135</v>
      </c>
      <c r="E23" s="32" t="s">
        <v>1038</v>
      </c>
      <c r="F23" s="32" t="s">
        <v>1861</v>
      </c>
      <c r="G23" s="55"/>
      <c r="H23" s="32"/>
      <c r="I23" s="32"/>
      <c r="J23" s="32"/>
    </row>
    <row r="24" ht="16.5" customHeight="1">
      <c r="A24" s="1"/>
      <c r="B24" s="32" t="s">
        <v>349</v>
      </c>
      <c r="C24" s="32" t="s">
        <v>2163</v>
      </c>
      <c r="D24" s="32" t="s">
        <v>2135</v>
      </c>
      <c r="E24" s="32" t="s">
        <v>1038</v>
      </c>
      <c r="F24" s="32" t="s">
        <v>1861</v>
      </c>
      <c r="G24" s="55"/>
      <c r="H24" s="32"/>
      <c r="I24" s="32"/>
      <c r="J24" s="32"/>
    </row>
    <row r="25" ht="16.5" customHeight="1">
      <c r="A25" s="1"/>
      <c r="B25" s="32" t="s">
        <v>349</v>
      </c>
      <c r="C25" s="32" t="s">
        <v>2164</v>
      </c>
      <c r="D25" s="32" t="s">
        <v>2135</v>
      </c>
      <c r="E25" s="32" t="s">
        <v>1038</v>
      </c>
      <c r="F25" s="32" t="s">
        <v>1861</v>
      </c>
      <c r="G25" s="55"/>
      <c r="H25" s="32"/>
      <c r="I25" s="32"/>
      <c r="J25" s="32"/>
    </row>
    <row r="26" ht="16.5" customHeight="1">
      <c r="A26" s="1"/>
      <c r="B26" s="32" t="s">
        <v>349</v>
      </c>
      <c r="C26" s="32" t="s">
        <v>2165</v>
      </c>
      <c r="D26" s="32" t="s">
        <v>2135</v>
      </c>
      <c r="E26" s="32" t="s">
        <v>1038</v>
      </c>
      <c r="F26" s="32" t="s">
        <v>1861</v>
      </c>
      <c r="G26" s="55"/>
      <c r="H26" s="32"/>
      <c r="I26" s="32"/>
      <c r="J26" s="32"/>
    </row>
    <row r="27" ht="16.5" customHeight="1">
      <c r="A27" s="1"/>
      <c r="B27" s="32" t="s">
        <v>349</v>
      </c>
      <c r="C27" s="32" t="s">
        <v>2166</v>
      </c>
      <c r="D27" s="32" t="s">
        <v>2135</v>
      </c>
      <c r="E27" s="32" t="s">
        <v>1038</v>
      </c>
      <c r="F27" s="32" t="s">
        <v>1861</v>
      </c>
      <c r="G27" s="55"/>
      <c r="H27" s="32"/>
      <c r="I27" s="32"/>
      <c r="J27" s="32"/>
    </row>
    <row r="28" ht="16.5" customHeight="1">
      <c r="A28" s="1"/>
      <c r="B28" s="32" t="s">
        <v>349</v>
      </c>
      <c r="C28" s="32" t="s">
        <v>676</v>
      </c>
      <c r="D28" s="32" t="s">
        <v>2135</v>
      </c>
      <c r="E28" s="32" t="s">
        <v>1889</v>
      </c>
      <c r="F28" s="32" t="s">
        <v>1861</v>
      </c>
      <c r="G28" s="55"/>
      <c r="H28" s="32"/>
      <c r="I28" s="32"/>
      <c r="J28" s="32"/>
    </row>
    <row r="29" ht="16.5" customHeight="1">
      <c r="A29" s="1"/>
      <c r="B29" s="32" t="s">
        <v>349</v>
      </c>
      <c r="C29" s="32" t="s">
        <v>2167</v>
      </c>
      <c r="D29" s="32" t="s">
        <v>2135</v>
      </c>
      <c r="E29" s="32" t="s">
        <v>2153</v>
      </c>
      <c r="F29" s="32" t="s">
        <v>1861</v>
      </c>
      <c r="G29" s="55"/>
      <c r="H29" s="32"/>
      <c r="I29" s="32"/>
      <c r="J29" s="32"/>
    </row>
    <row r="30" ht="16.5" customHeight="1">
      <c r="A30" s="1"/>
      <c r="B30" s="32" t="s">
        <v>349</v>
      </c>
      <c r="C30" s="32" t="s">
        <v>2168</v>
      </c>
      <c r="D30" s="32" t="s">
        <v>2135</v>
      </c>
      <c r="E30" s="32" t="s">
        <v>1862</v>
      </c>
      <c r="F30" s="32" t="s">
        <v>1861</v>
      </c>
      <c r="G30" s="55"/>
      <c r="H30" s="32"/>
      <c r="I30" s="32"/>
      <c r="J30" s="32"/>
    </row>
    <row r="31" ht="16.5" customHeight="1">
      <c r="A31" s="1"/>
      <c r="B31" s="32" t="s">
        <v>349</v>
      </c>
      <c r="C31" s="32" t="s">
        <v>2169</v>
      </c>
      <c r="D31" s="32" t="s">
        <v>2135</v>
      </c>
      <c r="E31" s="32" t="s">
        <v>1038</v>
      </c>
      <c r="F31" s="32" t="s">
        <v>1861</v>
      </c>
      <c r="G31" s="55"/>
      <c r="H31" s="32"/>
      <c r="I31" s="32"/>
      <c r="J31" s="32"/>
    </row>
    <row r="32" ht="16.5" customHeight="1">
      <c r="A32" s="1"/>
      <c r="B32" s="32" t="s">
        <v>349</v>
      </c>
      <c r="C32" s="32" t="s">
        <v>2170</v>
      </c>
      <c r="D32" s="32" t="s">
        <v>2135</v>
      </c>
      <c r="E32" s="32" t="s">
        <v>2171</v>
      </c>
      <c r="F32" s="32" t="s">
        <v>1861</v>
      </c>
      <c r="G32" s="55"/>
      <c r="H32" s="32"/>
      <c r="I32" s="32"/>
      <c r="J32" s="32"/>
    </row>
    <row r="33" ht="16.5" customHeight="1">
      <c r="A33" s="1"/>
      <c r="B33" s="32" t="s">
        <v>349</v>
      </c>
      <c r="C33" s="32" t="s">
        <v>2172</v>
      </c>
      <c r="D33" s="32" t="s">
        <v>2135</v>
      </c>
      <c r="E33" s="32" t="s">
        <v>2173</v>
      </c>
      <c r="F33" s="32" t="s">
        <v>1904</v>
      </c>
      <c r="G33" s="55"/>
      <c r="H33" s="32"/>
      <c r="I33" s="32"/>
      <c r="J33" s="32"/>
    </row>
    <row r="34" ht="16.5" customHeight="1">
      <c r="A34" s="1"/>
      <c r="B34" s="32" t="s">
        <v>349</v>
      </c>
      <c r="C34" s="32" t="s">
        <v>2174</v>
      </c>
      <c r="D34" s="32" t="s">
        <v>2135</v>
      </c>
      <c r="E34" s="32" t="s">
        <v>2175</v>
      </c>
      <c r="F34" s="32" t="s">
        <v>1904</v>
      </c>
      <c r="G34" s="55"/>
      <c r="H34" s="32"/>
      <c r="I34" s="32"/>
      <c r="J34" s="32"/>
    </row>
    <row r="35" ht="16.5" customHeight="1">
      <c r="A35" s="1"/>
      <c r="B35" s="32" t="s">
        <v>349</v>
      </c>
      <c r="C35" s="32" t="s">
        <v>2176</v>
      </c>
      <c r="D35" s="32" t="s">
        <v>2135</v>
      </c>
      <c r="E35" s="32" t="s">
        <v>2177</v>
      </c>
      <c r="F35" s="32" t="s">
        <v>65</v>
      </c>
      <c r="G35" s="55"/>
      <c r="H35" s="32"/>
      <c r="I35" s="32"/>
      <c r="J35" s="32"/>
    </row>
    <row r="36" ht="16.5" customHeight="1">
      <c r="A36" s="1"/>
      <c r="B36" s="32" t="s">
        <v>2178</v>
      </c>
      <c r="C36" s="32" t="s">
        <v>2179</v>
      </c>
      <c r="D36" s="32" t="s">
        <v>2135</v>
      </c>
      <c r="E36" s="32" t="s">
        <v>2180</v>
      </c>
      <c r="F36" s="32" t="s">
        <v>2181</v>
      </c>
      <c r="G36" s="55"/>
      <c r="H36" s="32"/>
      <c r="I36" s="32"/>
      <c r="J36" s="32"/>
    </row>
    <row r="37" ht="16.5" customHeight="1">
      <c r="A37" s="1"/>
      <c r="B37" s="32" t="s">
        <v>2178</v>
      </c>
      <c r="C37" s="32" t="s">
        <v>2182</v>
      </c>
      <c r="D37" s="32" t="s">
        <v>2135</v>
      </c>
      <c r="E37" s="32" t="s">
        <v>2180</v>
      </c>
      <c r="F37" s="32" t="s">
        <v>2181</v>
      </c>
      <c r="G37" s="55"/>
      <c r="H37" s="32"/>
      <c r="I37" s="32"/>
      <c r="J37" s="32"/>
    </row>
    <row r="38" ht="16.5" customHeight="1">
      <c r="A38" s="1"/>
      <c r="B38" s="32" t="s">
        <v>2178</v>
      </c>
      <c r="C38" s="32" t="s">
        <v>2183</v>
      </c>
      <c r="D38" s="32" t="s">
        <v>2135</v>
      </c>
      <c r="E38" s="32" t="s">
        <v>2180</v>
      </c>
      <c r="F38" s="32" t="s">
        <v>2181</v>
      </c>
      <c r="G38" s="55"/>
      <c r="H38" s="32"/>
      <c r="I38" s="32"/>
      <c r="J38" s="32"/>
    </row>
    <row r="39" ht="16.5" customHeight="1">
      <c r="A39" s="1"/>
      <c r="B39" s="32" t="s">
        <v>2178</v>
      </c>
      <c r="C39" s="32" t="s">
        <v>2184</v>
      </c>
      <c r="D39" s="32" t="s">
        <v>2135</v>
      </c>
      <c r="E39" s="32" t="s">
        <v>2185</v>
      </c>
      <c r="F39" s="32" t="s">
        <v>2181</v>
      </c>
      <c r="G39" s="55"/>
      <c r="H39" s="32"/>
      <c r="I39" s="32"/>
      <c r="J39" s="32"/>
    </row>
    <row r="40" ht="16.5" customHeight="1">
      <c r="A40" s="1"/>
      <c r="B40" s="32" t="s">
        <v>2178</v>
      </c>
      <c r="C40" s="32" t="s">
        <v>2186</v>
      </c>
      <c r="D40" s="32" t="s">
        <v>2135</v>
      </c>
      <c r="E40" s="32" t="s">
        <v>2185</v>
      </c>
      <c r="F40" s="32" t="s">
        <v>2181</v>
      </c>
      <c r="G40" s="55"/>
      <c r="H40" s="32"/>
      <c r="I40" s="32"/>
      <c r="J40" s="32"/>
    </row>
    <row r="41" ht="16.5" customHeight="1">
      <c r="A41" s="1"/>
      <c r="B41" s="32" t="s">
        <v>2178</v>
      </c>
      <c r="C41" s="32" t="s">
        <v>2187</v>
      </c>
      <c r="D41" s="32" t="s">
        <v>2135</v>
      </c>
      <c r="E41" s="32" t="s">
        <v>2189</v>
      </c>
      <c r="F41" s="32" t="s">
        <v>2181</v>
      </c>
      <c r="G41" s="55"/>
      <c r="H41" s="32"/>
      <c r="I41" s="32"/>
      <c r="J41" s="32"/>
    </row>
    <row r="42" ht="16.5" customHeight="1">
      <c r="A42" s="1"/>
      <c r="B42" s="32" t="s">
        <v>2178</v>
      </c>
      <c r="C42" s="32" t="s">
        <v>2191</v>
      </c>
      <c r="D42" s="32" t="s">
        <v>2135</v>
      </c>
      <c r="E42" s="32" t="s">
        <v>1206</v>
      </c>
      <c r="F42" s="32" t="s">
        <v>2181</v>
      </c>
      <c r="G42" s="55"/>
      <c r="H42" s="32"/>
      <c r="I42" s="32"/>
      <c r="J42" s="32"/>
    </row>
    <row r="43" ht="16.5" customHeight="1">
      <c r="A43" s="1"/>
      <c r="B43" s="32" t="s">
        <v>2178</v>
      </c>
      <c r="C43" s="32" t="s">
        <v>2192</v>
      </c>
      <c r="D43" s="32" t="s">
        <v>2135</v>
      </c>
      <c r="E43" s="32" t="s">
        <v>1202</v>
      </c>
      <c r="F43" s="32" t="s">
        <v>2181</v>
      </c>
      <c r="G43" s="55"/>
      <c r="H43" s="32"/>
      <c r="I43" s="32"/>
      <c r="J43" s="32"/>
    </row>
    <row r="44" ht="16.5" customHeight="1">
      <c r="A44" s="1"/>
      <c r="B44" s="32" t="s">
        <v>2178</v>
      </c>
      <c r="C44" s="32" t="s">
        <v>2193</v>
      </c>
      <c r="D44" s="32" t="s">
        <v>2135</v>
      </c>
      <c r="E44" s="32" t="s">
        <v>2196</v>
      </c>
      <c r="F44" s="32" t="s">
        <v>2181</v>
      </c>
      <c r="G44" s="55"/>
      <c r="H44" s="32"/>
      <c r="I44" s="32"/>
      <c r="J44" s="32"/>
    </row>
    <row r="45" ht="16.5" customHeight="1">
      <c r="A45" s="1"/>
      <c r="B45" s="32" t="s">
        <v>2178</v>
      </c>
      <c r="C45" s="32" t="s">
        <v>2202</v>
      </c>
      <c r="D45" s="32" t="s">
        <v>2135</v>
      </c>
      <c r="E45" s="32" t="s">
        <v>2146</v>
      </c>
      <c r="F45" s="32" t="s">
        <v>2181</v>
      </c>
      <c r="G45" s="55"/>
      <c r="H45" s="32"/>
      <c r="I45" s="32"/>
      <c r="J45" s="32"/>
    </row>
    <row r="46" ht="16.5" customHeight="1">
      <c r="A46" s="1"/>
      <c r="B46" s="32" t="s">
        <v>2178</v>
      </c>
      <c r="C46" s="32" t="s">
        <v>2205</v>
      </c>
      <c r="D46" s="32" t="s">
        <v>2135</v>
      </c>
      <c r="E46" s="32" t="s">
        <v>2155</v>
      </c>
      <c r="F46" s="32" t="s">
        <v>2181</v>
      </c>
      <c r="G46" s="55"/>
      <c r="H46" s="32"/>
      <c r="I46" s="32"/>
      <c r="J46" s="32"/>
    </row>
    <row r="47" ht="16.5" customHeight="1">
      <c r="A47" s="1"/>
      <c r="B47" s="32" t="s">
        <v>2178</v>
      </c>
      <c r="C47" s="32" t="s">
        <v>2207</v>
      </c>
      <c r="D47" s="32" t="s">
        <v>2139</v>
      </c>
      <c r="E47" s="32" t="s">
        <v>2208</v>
      </c>
      <c r="F47" s="32" t="s">
        <v>2181</v>
      </c>
      <c r="G47" s="55"/>
      <c r="H47" s="32"/>
      <c r="I47" s="32"/>
      <c r="J47" s="32"/>
    </row>
    <row r="48" ht="16.5" customHeight="1">
      <c r="A48" s="1"/>
      <c r="B48" s="32" t="s">
        <v>1038</v>
      </c>
      <c r="C48" s="32" t="s">
        <v>2209</v>
      </c>
      <c r="D48" s="32" t="s">
        <v>2135</v>
      </c>
      <c r="E48" s="32" t="s">
        <v>1038</v>
      </c>
      <c r="F48" s="32" t="s">
        <v>2211</v>
      </c>
      <c r="G48" s="55"/>
      <c r="H48" s="32"/>
      <c r="I48" s="32"/>
      <c r="J48" s="32"/>
    </row>
    <row r="49" ht="16.5" customHeight="1">
      <c r="A49" s="1"/>
      <c r="B49" s="32" t="s">
        <v>1038</v>
      </c>
      <c r="C49" s="32" t="s">
        <v>2212</v>
      </c>
      <c r="D49" s="32" t="s">
        <v>2135</v>
      </c>
      <c r="E49" s="32" t="s">
        <v>1038</v>
      </c>
      <c r="F49" s="32" t="s">
        <v>65</v>
      </c>
      <c r="G49" s="55"/>
      <c r="H49" s="32"/>
      <c r="I49" s="32"/>
      <c r="J49" s="32"/>
    </row>
    <row r="50" ht="16.5" customHeight="1">
      <c r="A50" s="1"/>
      <c r="B50" s="32" t="s">
        <v>1038</v>
      </c>
      <c r="C50" s="32" t="s">
        <v>2214</v>
      </c>
      <c r="D50" s="32" t="s">
        <v>2135</v>
      </c>
      <c r="E50" s="32" t="s">
        <v>1038</v>
      </c>
      <c r="F50" s="32" t="s">
        <v>2215</v>
      </c>
      <c r="G50" s="55"/>
      <c r="H50" s="32"/>
      <c r="I50" s="32"/>
      <c r="J50" s="32"/>
    </row>
    <row r="51" ht="16.5" customHeight="1">
      <c r="A51" s="1"/>
      <c r="B51" s="32" t="s">
        <v>1038</v>
      </c>
      <c r="C51" s="32" t="s">
        <v>2218</v>
      </c>
      <c r="D51" s="32" t="s">
        <v>2135</v>
      </c>
      <c r="E51" s="32" t="s">
        <v>1038</v>
      </c>
      <c r="F51" s="32" t="s">
        <v>2215</v>
      </c>
      <c r="G51" s="55"/>
      <c r="H51" s="32"/>
      <c r="I51" s="32"/>
      <c r="J51" s="32"/>
    </row>
    <row r="52" ht="16.5" customHeight="1">
      <c r="A52" s="1"/>
      <c r="B52" s="32" t="s">
        <v>356</v>
      </c>
      <c r="C52" s="32" t="s">
        <v>2220</v>
      </c>
      <c r="D52" s="32" t="s">
        <v>2135</v>
      </c>
      <c r="E52" s="32" t="s">
        <v>1862</v>
      </c>
      <c r="F52" s="32" t="s">
        <v>65</v>
      </c>
      <c r="G52" s="55"/>
      <c r="H52" s="32"/>
      <c r="I52" s="32"/>
      <c r="J52" s="32"/>
    </row>
    <row r="53" ht="16.5" customHeight="1">
      <c r="A53" s="1"/>
      <c r="B53" s="32" t="s">
        <v>356</v>
      </c>
      <c r="C53" s="32" t="s">
        <v>2222</v>
      </c>
      <c r="D53" s="32" t="s">
        <v>2135</v>
      </c>
      <c r="E53" s="32" t="s">
        <v>1862</v>
      </c>
      <c r="F53" s="32" t="s">
        <v>65</v>
      </c>
      <c r="G53" s="55"/>
      <c r="H53" s="32"/>
      <c r="I53" s="32"/>
      <c r="J53" s="32"/>
    </row>
    <row r="54" ht="16.5" customHeight="1">
      <c r="A54" s="1"/>
      <c r="B54" s="32" t="s">
        <v>356</v>
      </c>
      <c r="C54" s="32" t="s">
        <v>2225</v>
      </c>
      <c r="D54" s="32" t="s">
        <v>2135</v>
      </c>
      <c r="E54" s="32" t="s">
        <v>1862</v>
      </c>
      <c r="F54" s="32" t="s">
        <v>65</v>
      </c>
      <c r="G54" s="55"/>
      <c r="H54" s="32"/>
      <c r="I54" s="32"/>
      <c r="J54" s="32"/>
    </row>
    <row r="55" ht="16.5" customHeight="1">
      <c r="A55" s="1"/>
      <c r="B55" s="32" t="s">
        <v>356</v>
      </c>
      <c r="C55" s="32" t="s">
        <v>2227</v>
      </c>
      <c r="D55" s="32" t="s">
        <v>2135</v>
      </c>
      <c r="E55" s="32" t="s">
        <v>1038</v>
      </c>
      <c r="F55" s="32" t="s">
        <v>65</v>
      </c>
      <c r="G55" s="55"/>
      <c r="H55" s="32"/>
      <c r="I55" s="32"/>
      <c r="J55" s="32"/>
    </row>
    <row r="56" ht="16.5" customHeight="1">
      <c r="A56" s="1"/>
      <c r="B56" s="32" t="s">
        <v>356</v>
      </c>
      <c r="C56" s="32" t="s">
        <v>2229</v>
      </c>
      <c r="D56" s="32" t="s">
        <v>2135</v>
      </c>
      <c r="E56" s="32" t="s">
        <v>1038</v>
      </c>
      <c r="F56" s="32" t="s">
        <v>2230</v>
      </c>
      <c r="G56" s="55"/>
      <c r="H56" s="32"/>
      <c r="I56" s="32"/>
      <c r="J56" s="32"/>
    </row>
    <row r="57" ht="16.5" customHeight="1">
      <c r="A57" s="1"/>
      <c r="B57" s="32" t="s">
        <v>356</v>
      </c>
      <c r="C57" s="32" t="s">
        <v>2231</v>
      </c>
      <c r="D57" s="32" t="s">
        <v>2135</v>
      </c>
      <c r="E57" s="32" t="s">
        <v>2233</v>
      </c>
      <c r="F57" s="32" t="s">
        <v>2181</v>
      </c>
      <c r="G57" s="55"/>
      <c r="H57" s="32"/>
      <c r="I57" s="32"/>
      <c r="J57" s="32"/>
    </row>
    <row r="58" ht="16.5" customHeight="1">
      <c r="A58" s="1"/>
      <c r="B58" s="32" t="s">
        <v>356</v>
      </c>
      <c r="C58" s="32" t="s">
        <v>2234</v>
      </c>
      <c r="D58" s="32" t="s">
        <v>240</v>
      </c>
      <c r="E58" s="32" t="s">
        <v>1038</v>
      </c>
      <c r="F58" s="32" t="s">
        <v>2236</v>
      </c>
      <c r="G58" s="55"/>
      <c r="H58" s="32"/>
      <c r="I58" s="32"/>
      <c r="J58" s="32"/>
    </row>
    <row r="59" ht="16.5" customHeight="1">
      <c r="A59" s="1"/>
      <c r="B59" s="32" t="s">
        <v>356</v>
      </c>
      <c r="C59" s="32" t="s">
        <v>1925</v>
      </c>
      <c r="D59" s="32" t="s">
        <v>240</v>
      </c>
      <c r="E59" s="32" t="s">
        <v>2158</v>
      </c>
      <c r="F59" s="32" t="s">
        <v>2236</v>
      </c>
      <c r="G59" s="55"/>
      <c r="H59" s="32"/>
      <c r="I59" s="32"/>
      <c r="J59" s="32"/>
    </row>
    <row r="60" ht="16.5" customHeight="1">
      <c r="A60" s="1"/>
      <c r="B60" s="32" t="s">
        <v>356</v>
      </c>
      <c r="C60" s="32" t="s">
        <v>2239</v>
      </c>
      <c r="D60" s="32" t="s">
        <v>2135</v>
      </c>
      <c r="E60" s="32" t="s">
        <v>2240</v>
      </c>
      <c r="F60" s="32" t="s">
        <v>65</v>
      </c>
      <c r="G60" s="55"/>
      <c r="H60" s="32"/>
      <c r="I60" s="32"/>
      <c r="J60" s="32"/>
    </row>
    <row r="61" ht="16.5" customHeight="1">
      <c r="A61" s="1"/>
      <c r="B61" s="32" t="s">
        <v>356</v>
      </c>
      <c r="C61" s="32" t="s">
        <v>2242</v>
      </c>
      <c r="D61" s="32" t="s">
        <v>2135</v>
      </c>
      <c r="E61" s="32" t="s">
        <v>2216</v>
      </c>
      <c r="F61" s="32" t="s">
        <v>2236</v>
      </c>
      <c r="G61" s="55"/>
      <c r="H61" s="32"/>
      <c r="I61" s="32"/>
      <c r="J61" s="32"/>
    </row>
    <row r="62" ht="16.5" customHeight="1">
      <c r="A62" s="1"/>
      <c r="B62" s="32" t="s">
        <v>356</v>
      </c>
      <c r="C62" s="32" t="s">
        <v>2243</v>
      </c>
      <c r="D62" s="32" t="s">
        <v>2139</v>
      </c>
      <c r="E62" s="32" t="s">
        <v>1862</v>
      </c>
      <c r="F62" s="32" t="s">
        <v>65</v>
      </c>
      <c r="G62" s="55"/>
      <c r="H62" s="32"/>
      <c r="I62" s="32"/>
      <c r="J62" s="32"/>
    </row>
    <row r="63" ht="16.5" customHeight="1">
      <c r="A63" s="1"/>
      <c r="B63" s="32" t="s">
        <v>356</v>
      </c>
      <c r="C63" s="32" t="s">
        <v>2246</v>
      </c>
      <c r="D63" s="32" t="s">
        <v>2139</v>
      </c>
      <c r="E63" s="32" t="s">
        <v>1862</v>
      </c>
      <c r="F63" s="32" t="s">
        <v>1895</v>
      </c>
      <c r="G63" s="55"/>
      <c r="H63" s="32"/>
      <c r="I63" s="32"/>
      <c r="J63" s="32"/>
    </row>
    <row r="64" ht="16.5" customHeight="1">
      <c r="A64" s="1"/>
      <c r="B64" s="32" t="s">
        <v>356</v>
      </c>
      <c r="C64" s="32" t="s">
        <v>2248</v>
      </c>
      <c r="D64" s="32" t="s">
        <v>2135</v>
      </c>
      <c r="E64" s="32" t="s">
        <v>1038</v>
      </c>
      <c r="F64" s="32" t="s">
        <v>1882</v>
      </c>
      <c r="G64" s="55"/>
      <c r="H64" s="32"/>
      <c r="I64" s="32"/>
      <c r="J64" s="32"/>
    </row>
    <row r="65" ht="16.5" customHeight="1">
      <c r="A65" s="1"/>
      <c r="B65" s="32" t="s">
        <v>2249</v>
      </c>
      <c r="C65" s="32" t="s">
        <v>2250</v>
      </c>
      <c r="D65" s="32" t="s">
        <v>240</v>
      </c>
      <c r="E65" s="32" t="s">
        <v>1862</v>
      </c>
      <c r="F65" s="32" t="s">
        <v>2252</v>
      </c>
      <c r="G65" s="55"/>
      <c r="H65" s="32"/>
      <c r="I65" s="32"/>
      <c r="J65" s="32"/>
    </row>
    <row r="66" ht="16.5" customHeight="1">
      <c r="A66" s="1"/>
      <c r="B66" s="32" t="s">
        <v>2249</v>
      </c>
      <c r="C66" s="32" t="s">
        <v>2253</v>
      </c>
      <c r="D66" s="32" t="s">
        <v>240</v>
      </c>
      <c r="E66" s="32" t="s">
        <v>2178</v>
      </c>
      <c r="F66" s="32" t="s">
        <v>2254</v>
      </c>
      <c r="G66" s="55"/>
      <c r="H66" s="32"/>
      <c r="I66" s="32"/>
      <c r="J66" s="32"/>
    </row>
    <row r="67" ht="16.5" customHeight="1">
      <c r="A67" s="1"/>
      <c r="B67" s="32" t="s">
        <v>2249</v>
      </c>
      <c r="C67" s="32" t="s">
        <v>2256</v>
      </c>
      <c r="D67" s="32" t="s">
        <v>240</v>
      </c>
      <c r="E67" s="32" t="s">
        <v>1862</v>
      </c>
      <c r="F67" s="32" t="s">
        <v>65</v>
      </c>
      <c r="G67" s="55"/>
      <c r="H67" s="32"/>
      <c r="I67" s="32"/>
      <c r="J67" s="32"/>
    </row>
    <row r="68" ht="16.5" customHeight="1">
      <c r="A68" s="1"/>
      <c r="B68" s="32" t="s">
        <v>2249</v>
      </c>
      <c r="C68" s="32" t="s">
        <v>2258</v>
      </c>
      <c r="D68" s="32" t="s">
        <v>240</v>
      </c>
      <c r="E68" s="32" t="s">
        <v>1862</v>
      </c>
      <c r="F68" s="32" t="s">
        <v>2259</v>
      </c>
      <c r="G68" s="55"/>
      <c r="H68" s="32"/>
      <c r="I68" s="32"/>
      <c r="J68" s="32"/>
    </row>
    <row r="69" ht="16.5" customHeight="1">
      <c r="A69" s="1"/>
      <c r="B69" s="32"/>
      <c r="C69" s="32"/>
      <c r="D69" s="32"/>
      <c r="E69" s="32"/>
      <c r="F69" s="32"/>
      <c r="G69" s="55"/>
      <c r="H69" s="32"/>
      <c r="I69" s="32"/>
      <c r="J69" s="32"/>
    </row>
    <row r="70" ht="16.5" customHeight="1">
      <c r="A70" s="1"/>
      <c r="B70" s="32"/>
      <c r="C70" s="32"/>
      <c r="D70" s="32"/>
      <c r="E70" s="32"/>
      <c r="F70" s="32"/>
      <c r="G70" s="55"/>
      <c r="H70" s="32"/>
      <c r="I70" s="32"/>
      <c r="J70" s="32"/>
    </row>
    <row r="71" ht="16.5" customHeight="1">
      <c r="A71" s="1"/>
      <c r="B71" s="32"/>
      <c r="C71" s="32"/>
      <c r="D71" s="32"/>
      <c r="E71" s="32"/>
      <c r="F71" s="32"/>
      <c r="G71" s="55"/>
      <c r="H71" s="32"/>
      <c r="I71" s="32"/>
      <c r="J71" s="32"/>
    </row>
    <row r="72" ht="16.5" customHeight="1">
      <c r="A72" s="1"/>
      <c r="B72" s="32"/>
      <c r="C72" s="32"/>
      <c r="D72" s="32"/>
      <c r="E72" s="32"/>
      <c r="F72" s="32"/>
      <c r="G72" s="55"/>
      <c r="H72" s="32"/>
      <c r="I72" s="32"/>
      <c r="J72" s="32"/>
    </row>
    <row r="73" ht="16.5" customHeight="1">
      <c r="A73" s="1"/>
      <c r="B73" s="32"/>
      <c r="C73" s="32"/>
      <c r="D73" s="32"/>
      <c r="E73" s="32"/>
      <c r="F73" s="32"/>
      <c r="G73" s="55"/>
      <c r="H73" s="32"/>
      <c r="I73" s="32"/>
      <c r="J73" s="32"/>
    </row>
    <row r="74" ht="16.5" customHeight="1">
      <c r="A74" s="1"/>
      <c r="B74" s="32"/>
      <c r="C74" s="32"/>
      <c r="D74" s="32"/>
      <c r="E74" s="32"/>
      <c r="F74" s="32"/>
      <c r="G74" s="55"/>
      <c r="H74" s="32"/>
      <c r="I74" s="32"/>
      <c r="J74" s="32"/>
    </row>
    <row r="75" ht="16.5" customHeight="1">
      <c r="A75" s="1"/>
      <c r="B75" s="32"/>
      <c r="C75" s="32"/>
      <c r="D75" s="32"/>
      <c r="E75" s="32"/>
      <c r="F75" s="32"/>
      <c r="G75" s="55"/>
      <c r="H75" s="32"/>
      <c r="I75" s="32"/>
      <c r="J75" s="32"/>
    </row>
    <row r="76" ht="16.5" customHeight="1">
      <c r="A76" s="1"/>
      <c r="B76" s="32"/>
      <c r="C76" s="32"/>
      <c r="D76" s="32"/>
      <c r="E76" s="32"/>
      <c r="F76" s="32"/>
      <c r="G76" s="55"/>
      <c r="H76" s="32"/>
      <c r="I76" s="32"/>
      <c r="J76" s="32"/>
    </row>
    <row r="77" ht="16.5" customHeight="1">
      <c r="A77" s="1"/>
      <c r="B77" s="32"/>
      <c r="C77" s="32"/>
      <c r="D77" s="32"/>
      <c r="E77" s="32"/>
      <c r="F77" s="32"/>
      <c r="G77" s="55"/>
      <c r="H77" s="32"/>
      <c r="I77" s="32"/>
      <c r="J77" s="32"/>
    </row>
    <row r="78" ht="16.5" customHeight="1">
      <c r="A78" s="1"/>
      <c r="B78" s="32"/>
      <c r="C78" s="32"/>
      <c r="D78" s="32"/>
      <c r="E78" s="32"/>
      <c r="F78" s="32"/>
      <c r="G78" s="55"/>
      <c r="H78" s="32"/>
      <c r="I78" s="32"/>
      <c r="J78" s="32"/>
    </row>
    <row r="79" ht="16.5" customHeight="1">
      <c r="A79" s="1"/>
      <c r="B79" s="32"/>
      <c r="C79" s="32"/>
      <c r="D79" s="32"/>
      <c r="E79" s="32"/>
      <c r="F79" s="32"/>
      <c r="G79" s="55"/>
      <c r="H79" s="32"/>
      <c r="I79" s="32"/>
      <c r="J79" s="32"/>
    </row>
    <row r="80" ht="16.5" customHeight="1">
      <c r="A80" s="1"/>
      <c r="B80" s="32"/>
      <c r="C80" s="32"/>
      <c r="D80" s="32"/>
      <c r="E80" s="32"/>
      <c r="F80" s="32"/>
      <c r="G80" s="55"/>
      <c r="H80" s="32"/>
      <c r="I80" s="32"/>
      <c r="J80" s="32"/>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J$80"/>
  <conditionalFormatting sqref="B7:J80">
    <cfRule type="expression" dxfId="12" priority="1">
      <formula>$I7="Yes"</formula>
    </cfRule>
  </conditionalFormatting>
  <conditionalFormatting sqref="D7:D80">
    <cfRule type="cellIs" dxfId="16" priority="2" operator="equal">
      <formula>"Must"</formula>
    </cfRule>
  </conditionalFormatting>
  <dataValidations>
    <dataValidation type="list" allowBlank="1" sqref="D7:D80">
      <formula1>"Must,Nice,Optional,Skip"</formula1>
    </dataValidation>
    <dataValidation type="list" allowBlank="1" sqref="I7:I80">
      <formula1>"Yes,No"</formula1>
    </dataValidation>
  </dataValidations>
  <printOptions horizontalCentered="1"/>
  <pageMargins bottom="0.4" footer="0.0" header="0.0" left="0.3" right="0.3" top="0.4"/>
  <pageSetup fitToHeight="0" orientation="landscape"/>
  <headerFooter>
    <oddFooter>&amp;C 18 Photo Video Plan   -   page &amp;P of </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5.0"/>
    <col customWidth="1" min="3" max="3" width="49.29"/>
    <col customWidth="1" min="4" max="4" width="23.57"/>
    <col customWidth="1" min="5" max="5" width="21.43"/>
    <col customWidth="1" min="6" max="6" width="19.29"/>
    <col customWidth="1" min="7" max="7" width="17.14"/>
    <col customWidth="1" min="8" max="8" width="21.43"/>
    <col customWidth="1" min="9" max="9" width="17.14"/>
    <col customWidth="1" min="10" max="10" width="12.86"/>
    <col customWidth="1" min="11" max="11" width="13.86"/>
    <col customWidth="1" min="12" max="12" width="30.0"/>
  </cols>
  <sheetData>
    <row r="1" ht="16.5" customHeight="1">
      <c r="A1" s="1"/>
      <c r="B1" s="1"/>
      <c r="C1" s="1"/>
      <c r="D1" s="1"/>
      <c r="E1" s="1"/>
      <c r="F1" s="1"/>
      <c r="G1" s="1"/>
      <c r="H1" s="1"/>
      <c r="I1" s="1"/>
      <c r="J1" s="1"/>
      <c r="K1" s="1"/>
      <c r="L1" s="1"/>
    </row>
    <row r="2" ht="33.75" customHeight="1">
      <c r="A2" s="2"/>
      <c r="B2" s="2" t="s">
        <v>2188</v>
      </c>
      <c r="C2" s="2"/>
      <c r="D2" s="2"/>
      <c r="E2" s="2"/>
      <c r="F2" s="2"/>
      <c r="G2" s="2"/>
      <c r="H2" s="2"/>
      <c r="I2" s="2"/>
      <c r="J2" s="2"/>
      <c r="K2" s="2"/>
      <c r="L2" s="2"/>
    </row>
    <row r="3" ht="15.75" customHeight="1">
      <c r="A3" s="3"/>
      <c r="B3" s="3" t="s">
        <v>2190</v>
      </c>
      <c r="C3" s="3"/>
      <c r="D3" s="3"/>
      <c r="E3" s="3"/>
      <c r="F3" s="3"/>
      <c r="G3" s="3"/>
      <c r="H3" s="3"/>
      <c r="I3" s="3"/>
      <c r="J3" s="3"/>
      <c r="K3" s="3"/>
      <c r="L3" s="3"/>
    </row>
    <row r="4" ht="16.5" customHeight="1">
      <c r="A4" s="1"/>
      <c r="B4" s="1"/>
      <c r="C4" s="1"/>
      <c r="D4" s="1"/>
      <c r="E4" s="1"/>
      <c r="F4" s="1"/>
      <c r="G4" s="1"/>
      <c r="H4" s="1"/>
      <c r="I4" s="1"/>
      <c r="J4" s="1"/>
      <c r="K4" s="1"/>
      <c r="L4" s="1"/>
    </row>
    <row r="5" ht="16.5" customHeight="1">
      <c r="A5" s="1"/>
      <c r="B5" s="1"/>
      <c r="C5" s="1"/>
      <c r="D5" s="1"/>
      <c r="E5" s="1"/>
      <c r="F5" s="1"/>
      <c r="G5" s="1"/>
      <c r="H5" s="1"/>
      <c r="I5" s="1"/>
      <c r="J5" s="1"/>
      <c r="K5" s="1"/>
      <c r="L5" s="1"/>
    </row>
    <row r="6" ht="30.0" customHeight="1">
      <c r="A6" s="16"/>
      <c r="B6" s="17" t="s">
        <v>288</v>
      </c>
      <c r="C6" s="17" t="s">
        <v>2194</v>
      </c>
      <c r="D6" s="17" t="s">
        <v>2195</v>
      </c>
      <c r="E6" s="17" t="s">
        <v>2197</v>
      </c>
      <c r="F6" s="17" t="s">
        <v>2198</v>
      </c>
      <c r="G6" s="17" t="s">
        <v>2199</v>
      </c>
      <c r="H6" s="17" t="s">
        <v>2200</v>
      </c>
      <c r="I6" s="17" t="s">
        <v>183</v>
      </c>
      <c r="J6" s="17" t="s">
        <v>2201</v>
      </c>
      <c r="K6" s="17" t="s">
        <v>88</v>
      </c>
      <c r="L6" s="17" t="s">
        <v>50</v>
      </c>
    </row>
    <row r="7" ht="16.5" customHeight="1">
      <c r="A7" s="1"/>
      <c r="B7" s="32" t="s">
        <v>2203</v>
      </c>
      <c r="C7" s="32" t="s">
        <v>2204</v>
      </c>
      <c r="D7" s="32" t="s">
        <v>1038</v>
      </c>
      <c r="E7" s="32" t="s">
        <v>1038</v>
      </c>
      <c r="F7" s="32" t="s">
        <v>2171</v>
      </c>
      <c r="G7" s="32" t="s">
        <v>360</v>
      </c>
      <c r="H7" s="32"/>
      <c r="I7" s="32"/>
      <c r="J7" s="24"/>
      <c r="K7" s="32"/>
      <c r="L7" s="32"/>
    </row>
    <row r="8" ht="16.5" customHeight="1">
      <c r="A8" s="1"/>
      <c r="B8" s="32" t="s">
        <v>2203</v>
      </c>
      <c r="C8" s="32" t="s">
        <v>2206</v>
      </c>
      <c r="D8" s="32" t="s">
        <v>1038</v>
      </c>
      <c r="E8" s="32" t="s">
        <v>129</v>
      </c>
      <c r="F8" s="32" t="s">
        <v>2171</v>
      </c>
      <c r="G8" s="32" t="s">
        <v>66</v>
      </c>
      <c r="H8" s="32"/>
      <c r="I8" s="32"/>
      <c r="J8" s="24"/>
      <c r="K8" s="32"/>
      <c r="L8" s="32"/>
    </row>
    <row r="9" ht="16.5" customHeight="1">
      <c r="A9" s="1"/>
      <c r="B9" s="32" t="s">
        <v>2203</v>
      </c>
      <c r="C9" s="32" t="s">
        <v>2210</v>
      </c>
      <c r="D9" s="32" t="s">
        <v>1759</v>
      </c>
      <c r="E9" s="32" t="s">
        <v>129</v>
      </c>
      <c r="F9" s="32" t="s">
        <v>1038</v>
      </c>
      <c r="G9" s="32" t="s">
        <v>360</v>
      </c>
      <c r="H9" s="32"/>
      <c r="I9" s="32"/>
      <c r="J9" s="24"/>
      <c r="K9" s="32"/>
      <c r="L9" s="32"/>
    </row>
    <row r="10" ht="16.5" customHeight="1">
      <c r="A10" s="1"/>
      <c r="B10" s="32" t="s">
        <v>2203</v>
      </c>
      <c r="C10" s="32" t="s">
        <v>2213</v>
      </c>
      <c r="D10" s="32" t="s">
        <v>1773</v>
      </c>
      <c r="E10" s="32" t="s">
        <v>217</v>
      </c>
      <c r="F10" s="32" t="s">
        <v>360</v>
      </c>
      <c r="G10" s="32" t="s">
        <v>1038</v>
      </c>
      <c r="H10" s="32"/>
      <c r="I10" s="32"/>
      <c r="J10" s="24"/>
      <c r="K10" s="32"/>
      <c r="L10" s="32"/>
    </row>
    <row r="11" ht="16.5" customHeight="1">
      <c r="A11" s="1"/>
      <c r="B11" s="32" t="s">
        <v>2216</v>
      </c>
      <c r="C11" s="32" t="s">
        <v>2217</v>
      </c>
      <c r="D11" s="32" t="s">
        <v>1038</v>
      </c>
      <c r="E11" s="32" t="s">
        <v>1038</v>
      </c>
      <c r="F11" s="32" t="s">
        <v>2171</v>
      </c>
      <c r="G11" s="32" t="s">
        <v>360</v>
      </c>
      <c r="H11" s="32"/>
      <c r="I11" s="32"/>
      <c r="J11" s="24"/>
      <c r="K11" s="32"/>
      <c r="L11" s="32"/>
    </row>
    <row r="12" ht="16.5" customHeight="1">
      <c r="A12" s="1"/>
      <c r="B12" s="32" t="s">
        <v>2216</v>
      </c>
      <c r="C12" s="32" t="s">
        <v>2219</v>
      </c>
      <c r="D12" s="32" t="s">
        <v>2221</v>
      </c>
      <c r="E12" s="32" t="s">
        <v>360</v>
      </c>
      <c r="F12" s="32" t="s">
        <v>2171</v>
      </c>
      <c r="G12" s="32" t="s">
        <v>295</v>
      </c>
      <c r="H12" s="32"/>
      <c r="I12" s="32"/>
      <c r="J12" s="24"/>
      <c r="K12" s="32"/>
      <c r="L12" s="32"/>
    </row>
    <row r="13" ht="16.5" customHeight="1">
      <c r="A13" s="1"/>
      <c r="B13" s="32" t="s">
        <v>2216</v>
      </c>
      <c r="C13" s="32" t="s">
        <v>2223</v>
      </c>
      <c r="D13" s="32" t="s">
        <v>2224</v>
      </c>
      <c r="E13" s="32" t="s">
        <v>2171</v>
      </c>
      <c r="F13" s="32" t="s">
        <v>360</v>
      </c>
      <c r="G13" s="32" t="s">
        <v>295</v>
      </c>
      <c r="H13" s="32"/>
      <c r="I13" s="32"/>
      <c r="J13" s="24"/>
      <c r="K13" s="32"/>
      <c r="L13" s="32"/>
    </row>
    <row r="14" ht="16.5" customHeight="1">
      <c r="A14" s="1"/>
      <c r="B14" s="32" t="s">
        <v>2216</v>
      </c>
      <c r="C14" s="32" t="s">
        <v>2226</v>
      </c>
      <c r="D14" s="32" t="s">
        <v>2224</v>
      </c>
      <c r="E14" s="32" t="s">
        <v>1038</v>
      </c>
      <c r="F14" s="32" t="s">
        <v>360</v>
      </c>
      <c r="G14" s="32" t="s">
        <v>2099</v>
      </c>
      <c r="H14" s="32"/>
      <c r="I14" s="32"/>
      <c r="J14" s="24"/>
      <c r="K14" s="32"/>
      <c r="L14" s="32"/>
    </row>
    <row r="15" ht="16.5" customHeight="1">
      <c r="A15" s="1"/>
      <c r="B15" s="32" t="s">
        <v>349</v>
      </c>
      <c r="C15" s="32" t="s">
        <v>2228</v>
      </c>
      <c r="D15" s="32" t="s">
        <v>217</v>
      </c>
      <c r="E15" s="32" t="s">
        <v>217</v>
      </c>
      <c r="F15" s="32" t="s">
        <v>1917</v>
      </c>
      <c r="G15" s="32" t="s">
        <v>360</v>
      </c>
      <c r="H15" s="32"/>
      <c r="I15" s="32"/>
      <c r="J15" s="24"/>
      <c r="K15" s="32"/>
      <c r="L15" s="32"/>
    </row>
    <row r="16" ht="16.5" customHeight="1">
      <c r="A16" s="1"/>
      <c r="B16" s="32" t="s">
        <v>349</v>
      </c>
      <c r="C16" s="32" t="s">
        <v>2232</v>
      </c>
      <c r="D16" s="32" t="s">
        <v>1038</v>
      </c>
      <c r="E16" s="32" t="s">
        <v>1038</v>
      </c>
      <c r="F16" s="32" t="s">
        <v>1946</v>
      </c>
      <c r="G16" s="32" t="s">
        <v>360</v>
      </c>
      <c r="H16" s="32"/>
      <c r="I16" s="32"/>
      <c r="J16" s="24"/>
      <c r="K16" s="32"/>
      <c r="L16" s="32"/>
    </row>
    <row r="17" ht="16.5" customHeight="1">
      <c r="A17" s="1"/>
      <c r="B17" s="32" t="s">
        <v>349</v>
      </c>
      <c r="C17" s="32" t="s">
        <v>2235</v>
      </c>
      <c r="D17" s="32" t="s">
        <v>360</v>
      </c>
      <c r="E17" s="32" t="s">
        <v>1038</v>
      </c>
      <c r="F17" s="32" t="s">
        <v>2175</v>
      </c>
      <c r="G17" s="32" t="s">
        <v>1946</v>
      </c>
      <c r="H17" s="32"/>
      <c r="I17" s="32"/>
      <c r="J17" s="24"/>
      <c r="K17" s="32"/>
      <c r="L17" s="32"/>
    </row>
    <row r="18" ht="16.5" customHeight="1">
      <c r="A18" s="1"/>
      <c r="B18" s="32" t="s">
        <v>349</v>
      </c>
      <c r="C18" s="32" t="s">
        <v>2237</v>
      </c>
      <c r="D18" s="32" t="s">
        <v>1759</v>
      </c>
      <c r="E18" s="32" t="s">
        <v>129</v>
      </c>
      <c r="F18" s="32" t="s">
        <v>2238</v>
      </c>
      <c r="G18" s="32" t="s">
        <v>1038</v>
      </c>
      <c r="H18" s="32"/>
      <c r="I18" s="32"/>
      <c r="J18" s="24"/>
      <c r="K18" s="32"/>
      <c r="L18" s="32"/>
    </row>
    <row r="19" ht="16.5" customHeight="1">
      <c r="A19" s="1"/>
      <c r="B19" s="32" t="s">
        <v>349</v>
      </c>
      <c r="C19" s="32" t="s">
        <v>2241</v>
      </c>
      <c r="D19" s="32" t="s">
        <v>360</v>
      </c>
      <c r="E19" s="32" t="s">
        <v>360</v>
      </c>
      <c r="F19" s="32" t="s">
        <v>1917</v>
      </c>
      <c r="G19" s="32" t="s">
        <v>322</v>
      </c>
      <c r="H19" s="32"/>
      <c r="I19" s="32"/>
      <c r="J19" s="24"/>
      <c r="K19" s="32"/>
      <c r="L19" s="32"/>
    </row>
    <row r="20" ht="16.5" customHeight="1">
      <c r="A20" s="1"/>
      <c r="B20" s="32" t="s">
        <v>2244</v>
      </c>
      <c r="C20" s="32" t="s">
        <v>2245</v>
      </c>
      <c r="D20" s="32" t="s">
        <v>360</v>
      </c>
      <c r="E20" s="32" t="s">
        <v>360</v>
      </c>
      <c r="F20" s="32" t="s">
        <v>295</v>
      </c>
      <c r="G20" s="32" t="s">
        <v>1038</v>
      </c>
      <c r="H20" s="32"/>
      <c r="I20" s="32"/>
      <c r="J20" s="24"/>
      <c r="K20" s="32"/>
      <c r="L20" s="32"/>
    </row>
    <row r="21" ht="16.5" customHeight="1">
      <c r="A21" s="1"/>
      <c r="B21" s="32" t="s">
        <v>2244</v>
      </c>
      <c r="C21" s="32" t="s">
        <v>2247</v>
      </c>
      <c r="D21" s="32" t="s">
        <v>360</v>
      </c>
      <c r="E21" s="32" t="s">
        <v>1038</v>
      </c>
      <c r="F21" s="32" t="s">
        <v>278</v>
      </c>
      <c r="G21" s="32" t="s">
        <v>295</v>
      </c>
      <c r="H21" s="32"/>
      <c r="I21" s="32"/>
      <c r="J21" s="24"/>
      <c r="K21" s="32"/>
      <c r="L21" s="32"/>
    </row>
    <row r="22" ht="16.5" customHeight="1">
      <c r="A22" s="1"/>
      <c r="B22" s="32" t="s">
        <v>2244</v>
      </c>
      <c r="C22" s="32" t="s">
        <v>2251</v>
      </c>
      <c r="D22" s="32" t="s">
        <v>360</v>
      </c>
      <c r="E22" s="32" t="s">
        <v>1038</v>
      </c>
      <c r="F22" s="32" t="s">
        <v>219</v>
      </c>
      <c r="G22" s="32" t="s">
        <v>295</v>
      </c>
      <c r="H22" s="32"/>
      <c r="I22" s="32"/>
      <c r="J22" s="24"/>
      <c r="K22" s="32"/>
      <c r="L22" s="32"/>
    </row>
    <row r="23" ht="16.5" customHeight="1">
      <c r="A23" s="1"/>
      <c r="B23" s="32" t="s">
        <v>2244</v>
      </c>
      <c r="C23" s="32" t="s">
        <v>2255</v>
      </c>
      <c r="D23" s="32" t="s">
        <v>360</v>
      </c>
      <c r="E23" s="32" t="s">
        <v>1038</v>
      </c>
      <c r="F23" s="32" t="s">
        <v>295</v>
      </c>
      <c r="G23" s="32" t="s">
        <v>2171</v>
      </c>
      <c r="H23" s="32"/>
      <c r="I23" s="32"/>
      <c r="J23" s="24"/>
      <c r="K23" s="32"/>
      <c r="L23" s="32"/>
    </row>
    <row r="24" ht="16.5" customHeight="1">
      <c r="A24" s="1"/>
      <c r="B24" s="32" t="s">
        <v>366</v>
      </c>
      <c r="C24" s="32" t="s">
        <v>2257</v>
      </c>
      <c r="D24" s="32" t="s">
        <v>2238</v>
      </c>
      <c r="E24" s="32" t="s">
        <v>1256</v>
      </c>
      <c r="F24" s="32" t="s">
        <v>1845</v>
      </c>
      <c r="G24" s="32" t="s">
        <v>360</v>
      </c>
      <c r="H24" s="32"/>
      <c r="I24" s="32"/>
      <c r="J24" s="24"/>
      <c r="K24" s="32"/>
      <c r="L24" s="32"/>
    </row>
    <row r="25" ht="16.5" customHeight="1">
      <c r="A25" s="1"/>
      <c r="B25" s="32" t="s">
        <v>366</v>
      </c>
      <c r="C25" s="32" t="s">
        <v>2260</v>
      </c>
      <c r="D25" s="32" t="s">
        <v>2261</v>
      </c>
      <c r="E25" s="32" t="s">
        <v>129</v>
      </c>
      <c r="F25" s="32" t="s">
        <v>217</v>
      </c>
      <c r="G25" s="32" t="s">
        <v>2262</v>
      </c>
      <c r="H25" s="32"/>
      <c r="I25" s="32"/>
      <c r="J25" s="24"/>
      <c r="K25" s="32"/>
      <c r="L25" s="32"/>
    </row>
    <row r="26" ht="16.5" customHeight="1">
      <c r="A26" s="1"/>
      <c r="B26" s="32" t="s">
        <v>366</v>
      </c>
      <c r="C26" s="32" t="s">
        <v>2263</v>
      </c>
      <c r="D26" s="32" t="s">
        <v>1845</v>
      </c>
      <c r="E26" s="32" t="s">
        <v>1038</v>
      </c>
      <c r="F26" s="32" t="s">
        <v>360</v>
      </c>
      <c r="G26" s="32" t="s">
        <v>295</v>
      </c>
      <c r="H26" s="32"/>
      <c r="I26" s="32"/>
      <c r="J26" s="24"/>
      <c r="K26" s="32"/>
      <c r="L26" s="32"/>
    </row>
    <row r="27" ht="16.5" customHeight="1">
      <c r="A27" s="1"/>
      <c r="B27" s="32" t="s">
        <v>366</v>
      </c>
      <c r="C27" s="32" t="s">
        <v>2264</v>
      </c>
      <c r="D27" s="32" t="s">
        <v>360</v>
      </c>
      <c r="E27" s="32" t="s">
        <v>1038</v>
      </c>
      <c r="F27" s="32" t="s">
        <v>2244</v>
      </c>
      <c r="G27" s="32" t="s">
        <v>2171</v>
      </c>
      <c r="H27" s="32"/>
      <c r="I27" s="32"/>
      <c r="J27" s="24"/>
      <c r="K27" s="32"/>
      <c r="L27" s="32"/>
    </row>
    <row r="28" ht="16.5" customHeight="1">
      <c r="A28" s="1"/>
      <c r="B28" s="32" t="s">
        <v>366</v>
      </c>
      <c r="C28" s="32" t="s">
        <v>2265</v>
      </c>
      <c r="D28" s="32" t="s">
        <v>360</v>
      </c>
      <c r="E28" s="32" t="s">
        <v>1038</v>
      </c>
      <c r="F28" s="32" t="s">
        <v>295</v>
      </c>
      <c r="G28" s="32" t="s">
        <v>2171</v>
      </c>
      <c r="H28" s="32"/>
      <c r="I28" s="32"/>
      <c r="J28" s="24"/>
      <c r="K28" s="32"/>
      <c r="L28" s="32"/>
    </row>
    <row r="29" ht="16.5" customHeight="1">
      <c r="A29" s="1"/>
      <c r="B29" s="32" t="s">
        <v>2266</v>
      </c>
      <c r="C29" s="32" t="s">
        <v>2267</v>
      </c>
      <c r="D29" s="32" t="s">
        <v>360</v>
      </c>
      <c r="E29" s="32" t="s">
        <v>360</v>
      </c>
      <c r="F29" s="32" t="s">
        <v>322</v>
      </c>
      <c r="G29" s="32" t="s">
        <v>1038</v>
      </c>
      <c r="H29" s="32"/>
      <c r="I29" s="32"/>
      <c r="J29" s="24"/>
      <c r="K29" s="32"/>
      <c r="L29" s="32"/>
    </row>
    <row r="30" ht="16.5" customHeight="1">
      <c r="A30" s="1"/>
      <c r="B30" s="32" t="s">
        <v>2266</v>
      </c>
      <c r="C30" s="32" t="s">
        <v>2268</v>
      </c>
      <c r="D30" s="32" t="s">
        <v>322</v>
      </c>
      <c r="E30" s="32" t="s">
        <v>1038</v>
      </c>
      <c r="F30" s="32" t="s">
        <v>2171</v>
      </c>
      <c r="G30" s="32" t="s">
        <v>329</v>
      </c>
      <c r="H30" s="32"/>
      <c r="I30" s="32"/>
      <c r="J30" s="24"/>
      <c r="K30" s="32"/>
      <c r="L30" s="32"/>
    </row>
    <row r="31" ht="16.5" customHeight="1">
      <c r="A31" s="1"/>
      <c r="B31" s="32" t="s">
        <v>2266</v>
      </c>
      <c r="C31" s="32" t="s">
        <v>2269</v>
      </c>
      <c r="D31" s="32" t="s">
        <v>329</v>
      </c>
      <c r="E31" s="32" t="s">
        <v>360</v>
      </c>
      <c r="F31" s="32" t="s">
        <v>1038</v>
      </c>
      <c r="G31" s="32" t="s">
        <v>322</v>
      </c>
      <c r="H31" s="32"/>
      <c r="I31" s="32"/>
      <c r="J31" s="24"/>
      <c r="K31" s="32"/>
      <c r="L31" s="32"/>
    </row>
    <row r="32" ht="16.5" customHeight="1">
      <c r="A32" s="1"/>
      <c r="B32" s="32" t="s">
        <v>2266</v>
      </c>
      <c r="C32" s="32" t="s">
        <v>2270</v>
      </c>
      <c r="D32" s="32" t="s">
        <v>322</v>
      </c>
      <c r="E32" s="32" t="s">
        <v>360</v>
      </c>
      <c r="F32" s="32" t="s">
        <v>2233</v>
      </c>
      <c r="G32" s="32" t="s">
        <v>1038</v>
      </c>
      <c r="H32" s="32"/>
      <c r="I32" s="32"/>
      <c r="J32" s="24"/>
      <c r="K32" s="32"/>
      <c r="L32" s="32"/>
    </row>
    <row r="33" ht="16.5" customHeight="1">
      <c r="A33" s="1"/>
      <c r="B33" s="32" t="s">
        <v>315</v>
      </c>
      <c r="C33" s="32" t="s">
        <v>2271</v>
      </c>
      <c r="D33" s="32" t="s">
        <v>2224</v>
      </c>
      <c r="E33" s="32" t="s">
        <v>360</v>
      </c>
      <c r="F33" s="32" t="s">
        <v>228</v>
      </c>
      <c r="G33" s="32" t="s">
        <v>1038</v>
      </c>
      <c r="H33" s="32"/>
      <c r="I33" s="32"/>
      <c r="J33" s="24"/>
      <c r="K33" s="32"/>
      <c r="L33" s="32"/>
    </row>
    <row r="34" ht="16.5" customHeight="1">
      <c r="A34" s="1"/>
      <c r="B34" s="32" t="s">
        <v>315</v>
      </c>
      <c r="C34" s="32" t="s">
        <v>2272</v>
      </c>
      <c r="D34" s="32" t="s">
        <v>228</v>
      </c>
      <c r="E34" s="32" t="s">
        <v>1038</v>
      </c>
      <c r="F34" s="32" t="s">
        <v>2224</v>
      </c>
      <c r="G34" s="32" t="s">
        <v>360</v>
      </c>
      <c r="H34" s="32"/>
      <c r="I34" s="32"/>
      <c r="J34" s="24"/>
      <c r="K34" s="32"/>
      <c r="L34" s="32"/>
    </row>
    <row r="35" ht="16.5" customHeight="1">
      <c r="A35" s="1"/>
      <c r="B35" s="32" t="s">
        <v>2273</v>
      </c>
      <c r="C35" s="32" t="s">
        <v>2274</v>
      </c>
      <c r="D35" s="32" t="s">
        <v>1038</v>
      </c>
      <c r="E35" s="32" t="s">
        <v>1038</v>
      </c>
      <c r="F35" s="32" t="s">
        <v>2244</v>
      </c>
      <c r="G35" s="32" t="s">
        <v>2171</v>
      </c>
      <c r="H35" s="32"/>
      <c r="I35" s="32"/>
      <c r="J35" s="24"/>
      <c r="K35" s="32"/>
      <c r="L35" s="32"/>
    </row>
    <row r="36" ht="16.5" customHeight="1">
      <c r="A36" s="1"/>
      <c r="B36" s="32" t="s">
        <v>2273</v>
      </c>
      <c r="C36" s="32" t="s">
        <v>2275</v>
      </c>
      <c r="D36" s="32" t="s">
        <v>1038</v>
      </c>
      <c r="E36" s="32" t="s">
        <v>1256</v>
      </c>
      <c r="F36" s="32" t="s">
        <v>2171</v>
      </c>
      <c r="G36" s="32" t="s">
        <v>1862</v>
      </c>
      <c r="H36" s="32"/>
      <c r="I36" s="32"/>
      <c r="J36" s="24"/>
      <c r="K36" s="32"/>
      <c r="L36" s="32"/>
    </row>
    <row r="37" ht="16.5" customHeight="1">
      <c r="A37" s="1"/>
      <c r="B37" s="32"/>
      <c r="C37" s="32"/>
      <c r="D37" s="32"/>
      <c r="E37" s="32"/>
      <c r="F37" s="32"/>
      <c r="G37" s="32"/>
      <c r="H37" s="32"/>
      <c r="I37" s="32"/>
      <c r="J37" s="24"/>
      <c r="K37" s="32"/>
      <c r="L37" s="32"/>
    </row>
    <row r="38" ht="16.5" customHeight="1">
      <c r="A38" s="1"/>
      <c r="B38" s="32"/>
      <c r="C38" s="32"/>
      <c r="D38" s="32"/>
      <c r="E38" s="32"/>
      <c r="F38" s="32"/>
      <c r="G38" s="32"/>
      <c r="H38" s="32"/>
      <c r="I38" s="32"/>
      <c r="J38" s="24"/>
      <c r="K38" s="32"/>
      <c r="L38" s="32"/>
    </row>
    <row r="39" ht="16.5" customHeight="1">
      <c r="A39" s="1"/>
      <c r="B39" s="32"/>
      <c r="C39" s="32"/>
      <c r="D39" s="32"/>
      <c r="E39" s="32"/>
      <c r="F39" s="32"/>
      <c r="G39" s="32"/>
      <c r="H39" s="32"/>
      <c r="I39" s="32"/>
      <c r="J39" s="24"/>
      <c r="K39" s="32"/>
      <c r="L39" s="32"/>
    </row>
    <row r="40" ht="16.5" customHeight="1">
      <c r="A40" s="1"/>
      <c r="B40" s="32"/>
      <c r="C40" s="32"/>
      <c r="D40" s="32"/>
      <c r="E40" s="32"/>
      <c r="F40" s="32"/>
      <c r="G40" s="32"/>
      <c r="H40" s="32"/>
      <c r="I40" s="32"/>
      <c r="J40" s="24"/>
      <c r="K40" s="32"/>
      <c r="L40" s="32"/>
    </row>
    <row r="41" ht="16.5" customHeight="1">
      <c r="A41" s="1"/>
      <c r="B41" s="32"/>
      <c r="C41" s="32"/>
      <c r="D41" s="32"/>
      <c r="E41" s="32"/>
      <c r="F41" s="32"/>
      <c r="G41" s="32"/>
      <c r="H41" s="32"/>
      <c r="I41" s="32"/>
      <c r="J41" s="24"/>
      <c r="K41" s="32"/>
      <c r="L41" s="32"/>
    </row>
    <row r="42" ht="16.5" customHeight="1">
      <c r="A42" s="1"/>
      <c r="B42" s="32"/>
      <c r="C42" s="32"/>
      <c r="D42" s="32"/>
      <c r="E42" s="32"/>
      <c r="F42" s="32"/>
      <c r="G42" s="32"/>
      <c r="H42" s="32"/>
      <c r="I42" s="32"/>
      <c r="J42" s="24"/>
      <c r="K42" s="32"/>
      <c r="L42" s="32"/>
    </row>
    <row r="43" ht="16.5" customHeight="1">
      <c r="A43" s="1"/>
      <c r="B43" s="32"/>
      <c r="C43" s="32"/>
      <c r="D43" s="32"/>
      <c r="E43" s="32"/>
      <c r="F43" s="32"/>
      <c r="G43" s="32"/>
      <c r="H43" s="32"/>
      <c r="I43" s="32"/>
      <c r="J43" s="24"/>
      <c r="K43" s="32"/>
      <c r="L43" s="32"/>
    </row>
    <row r="44" ht="16.5" customHeight="1">
      <c r="A44" s="1"/>
      <c r="B44" s="32"/>
      <c r="C44" s="32"/>
      <c r="D44" s="32"/>
      <c r="E44" s="32"/>
      <c r="F44" s="32"/>
      <c r="G44" s="32"/>
      <c r="H44" s="32"/>
      <c r="I44" s="32"/>
      <c r="J44" s="24"/>
      <c r="K44" s="32"/>
      <c r="L44" s="3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L$44"/>
  <conditionalFormatting sqref="B7:L44">
    <cfRule type="expression" dxfId="3" priority="1">
      <formula>$K7="Completed"</formula>
    </cfRule>
  </conditionalFormatting>
  <conditionalFormatting sqref="B7:L44">
    <cfRule type="expression" dxfId="13" priority="2">
      <formula>$K7="Cancelled"</formula>
    </cfRule>
  </conditionalFormatting>
  <conditionalFormatting sqref="H7:H44">
    <cfRule type="expression" dxfId="6" priority="3">
      <formula>AND($C7&lt;&gt;"",$H7="")</formula>
    </cfRule>
  </conditionalFormatting>
  <dataValidations>
    <dataValidation type="list" allowBlank="1" sqref="K7:K44">
      <formula1>"Not Started,In Progress,Waiting,Completed,Cancelled"</formula1>
    </dataValidation>
  </dataValidations>
  <printOptions horizontalCentered="1"/>
  <pageMargins bottom="0.4" footer="0.0" header="0.0" left="0.3" right="0.3" top="0.4"/>
  <pageSetup fitToHeight="0" orientation="landscape"/>
  <headerFooter>
    <oddFooter>&amp;C 19 Responsibilities   -   page &amp;P of </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19.29"/>
    <col customWidth="1" min="3" max="4" width="10.71"/>
    <col customWidth="1" min="5" max="5" width="7.43"/>
    <col customWidth="1" min="6" max="6" width="57.86"/>
    <col customWidth="1" min="7" max="7" width="23.57"/>
    <col customWidth="1" min="8" max="8" width="19.29"/>
    <col customWidth="1" min="9" max="9" width="21.43"/>
    <col customWidth="1" min="10" max="10" width="11.86"/>
    <col customWidth="1" min="11" max="11" width="9.71"/>
    <col customWidth="1" min="12" max="12" width="36.43"/>
  </cols>
  <sheetData>
    <row r="1" ht="16.5" customHeight="1">
      <c r="A1" s="1"/>
      <c r="B1" s="1"/>
      <c r="C1" s="1"/>
      <c r="D1" s="1"/>
      <c r="E1" s="1"/>
      <c r="F1" s="1"/>
      <c r="G1" s="1"/>
      <c r="H1" s="1"/>
      <c r="I1" s="1"/>
      <c r="J1" s="1"/>
      <c r="K1" s="1"/>
      <c r="L1" s="1"/>
    </row>
    <row r="2" ht="33.75" customHeight="1">
      <c r="A2" s="2"/>
      <c r="B2" s="2" t="s">
        <v>2276</v>
      </c>
      <c r="C2" s="2"/>
      <c r="D2" s="2"/>
      <c r="E2" s="2"/>
      <c r="F2" s="2"/>
      <c r="G2" s="2"/>
      <c r="H2" s="2"/>
      <c r="I2" s="2"/>
      <c r="J2" s="2"/>
      <c r="K2" s="2"/>
      <c r="L2" s="2"/>
    </row>
    <row r="3" ht="15.75" customHeight="1">
      <c r="A3" s="3"/>
      <c r="B3" s="3" t="s">
        <v>2277</v>
      </c>
      <c r="C3" s="3"/>
      <c r="D3" s="3"/>
      <c r="E3" s="3"/>
      <c r="F3" s="3"/>
      <c r="G3" s="3"/>
      <c r="H3" s="3"/>
      <c r="I3" s="3"/>
      <c r="J3" s="3"/>
      <c r="K3" s="3"/>
      <c r="L3" s="3"/>
    </row>
    <row r="4" ht="16.5" customHeight="1">
      <c r="A4" s="1"/>
      <c r="B4" s="1"/>
      <c r="C4" s="1"/>
      <c r="D4" s="1"/>
      <c r="E4" s="1"/>
      <c r="F4" s="1"/>
      <c r="G4" s="1"/>
      <c r="H4" s="1"/>
      <c r="I4" s="1"/>
      <c r="J4" s="1"/>
      <c r="K4" s="1"/>
      <c r="L4" s="1"/>
    </row>
    <row r="5" ht="16.5" customHeight="1">
      <c r="A5" s="1"/>
      <c r="B5" s="1"/>
      <c r="C5" s="1"/>
      <c r="D5" s="1"/>
      <c r="E5" s="1"/>
      <c r="F5" s="1"/>
      <c r="G5" s="1"/>
      <c r="H5" s="1"/>
      <c r="I5" s="1"/>
      <c r="J5" s="1"/>
      <c r="K5" s="1"/>
      <c r="L5" s="1"/>
    </row>
    <row r="6" ht="30.0" customHeight="1">
      <c r="A6" s="16"/>
      <c r="B6" s="17" t="s">
        <v>2278</v>
      </c>
      <c r="C6" s="17" t="s">
        <v>1803</v>
      </c>
      <c r="D6" s="17" t="s">
        <v>2279</v>
      </c>
      <c r="E6" s="17" t="s">
        <v>2280</v>
      </c>
      <c r="F6" s="17" t="s">
        <v>2281</v>
      </c>
      <c r="G6" s="17" t="s">
        <v>1782</v>
      </c>
      <c r="H6" s="17" t="s">
        <v>2282</v>
      </c>
      <c r="I6" s="17" t="s">
        <v>66</v>
      </c>
      <c r="J6" s="17" t="s">
        <v>62</v>
      </c>
      <c r="K6" s="17" t="s">
        <v>1224</v>
      </c>
      <c r="L6" s="17" t="s">
        <v>50</v>
      </c>
    </row>
    <row r="7" ht="16.5" customHeight="1">
      <c r="A7" s="1"/>
      <c r="B7" s="32" t="s">
        <v>2283</v>
      </c>
      <c r="C7" s="55">
        <v>0.2916666666666667</v>
      </c>
      <c r="D7" s="55">
        <f t="shared" ref="D7:D62" si="1">IF($C7="","",$C7+TIME(0,$E7,0))</f>
        <v>0.3333333333</v>
      </c>
      <c r="E7" s="32">
        <v>60.0</v>
      </c>
      <c r="F7" s="60" t="s">
        <v>2284</v>
      </c>
      <c r="G7" s="60" t="s">
        <v>360</v>
      </c>
      <c r="H7" s="60" t="s">
        <v>295</v>
      </c>
      <c r="I7" s="32"/>
      <c r="J7" s="32" t="s">
        <v>128</v>
      </c>
      <c r="K7" s="32" t="s">
        <v>1240</v>
      </c>
      <c r="L7" s="32"/>
    </row>
    <row r="8" ht="16.5" customHeight="1">
      <c r="A8" s="1"/>
      <c r="B8" s="32" t="s">
        <v>2283</v>
      </c>
      <c r="C8" s="55">
        <v>0.3333333333333333</v>
      </c>
      <c r="D8" s="55">
        <f t="shared" si="1"/>
        <v>0.375</v>
      </c>
      <c r="E8" s="32">
        <v>60.0</v>
      </c>
      <c r="F8" s="60" t="s">
        <v>2285</v>
      </c>
      <c r="G8" s="60" t="s">
        <v>66</v>
      </c>
      <c r="H8" s="60" t="s">
        <v>65</v>
      </c>
      <c r="I8" s="32" t="s">
        <v>278</v>
      </c>
      <c r="J8" s="32" t="s">
        <v>128</v>
      </c>
      <c r="K8" s="32" t="s">
        <v>1240</v>
      </c>
      <c r="L8" s="32"/>
    </row>
    <row r="9" ht="16.5" customHeight="1">
      <c r="A9" s="1"/>
      <c r="B9" s="32" t="s">
        <v>2283</v>
      </c>
      <c r="C9" s="55">
        <v>0.375</v>
      </c>
      <c r="D9" s="55">
        <f t="shared" si="1"/>
        <v>0.5</v>
      </c>
      <c r="E9" s="32">
        <v>180.0</v>
      </c>
      <c r="F9" s="60" t="s">
        <v>2286</v>
      </c>
      <c r="G9" s="60" t="s">
        <v>66</v>
      </c>
      <c r="H9" s="60" t="s">
        <v>65</v>
      </c>
      <c r="I9" s="32" t="s">
        <v>278</v>
      </c>
      <c r="J9" s="32" t="s">
        <v>128</v>
      </c>
      <c r="K9" s="32" t="s">
        <v>1240</v>
      </c>
      <c r="L9" s="32"/>
    </row>
    <row r="10" ht="16.5" customHeight="1">
      <c r="A10" s="1"/>
      <c r="B10" s="32" t="s">
        <v>2283</v>
      </c>
      <c r="C10" s="55">
        <v>0.375</v>
      </c>
      <c r="D10" s="55">
        <f t="shared" si="1"/>
        <v>0.4583333333</v>
      </c>
      <c r="E10" s="32">
        <v>120.0</v>
      </c>
      <c r="F10" s="60" t="s">
        <v>2287</v>
      </c>
      <c r="G10" s="60" t="s">
        <v>66</v>
      </c>
      <c r="H10" s="60" t="s">
        <v>65</v>
      </c>
      <c r="I10" s="32" t="s">
        <v>295</v>
      </c>
      <c r="J10" s="32" t="s">
        <v>128</v>
      </c>
      <c r="K10" s="32" t="s">
        <v>1240</v>
      </c>
      <c r="L10" s="32"/>
    </row>
    <row r="11" ht="16.5" customHeight="1">
      <c r="A11" s="1"/>
      <c r="B11" s="32" t="s">
        <v>2283</v>
      </c>
      <c r="C11" s="55">
        <v>0.4583333333333333</v>
      </c>
      <c r="D11" s="55">
        <f t="shared" si="1"/>
        <v>0.5208333333</v>
      </c>
      <c r="E11" s="32">
        <v>90.0</v>
      </c>
      <c r="F11" s="60" t="s">
        <v>2288</v>
      </c>
      <c r="G11" s="60" t="s">
        <v>66</v>
      </c>
      <c r="H11" s="60" t="s">
        <v>65</v>
      </c>
      <c r="I11" s="32" t="s">
        <v>353</v>
      </c>
      <c r="J11" s="32" t="s">
        <v>128</v>
      </c>
      <c r="K11" s="32" t="s">
        <v>1240</v>
      </c>
      <c r="L11" s="32"/>
    </row>
    <row r="12" ht="16.5" customHeight="1">
      <c r="A12" s="1"/>
      <c r="B12" s="32" t="s">
        <v>2283</v>
      </c>
      <c r="C12" s="55">
        <v>0.5</v>
      </c>
      <c r="D12" s="55">
        <f t="shared" si="1"/>
        <v>0.5625</v>
      </c>
      <c r="E12" s="32">
        <v>90.0</v>
      </c>
      <c r="F12" s="60" t="s">
        <v>2289</v>
      </c>
      <c r="G12" s="60" t="s">
        <v>66</v>
      </c>
      <c r="H12" s="60" t="s">
        <v>65</v>
      </c>
      <c r="I12" s="32" t="s">
        <v>278</v>
      </c>
      <c r="J12" s="32" t="s">
        <v>128</v>
      </c>
      <c r="K12" s="32" t="s">
        <v>1240</v>
      </c>
      <c r="L12" s="32"/>
    </row>
    <row r="13" ht="16.5" customHeight="1">
      <c r="A13" s="1"/>
      <c r="B13" s="32" t="s">
        <v>2133</v>
      </c>
      <c r="C13" s="55">
        <v>0.5416666666666666</v>
      </c>
      <c r="D13" s="55">
        <f t="shared" si="1"/>
        <v>0.5625</v>
      </c>
      <c r="E13" s="32">
        <v>30.0</v>
      </c>
      <c r="F13" s="60" t="s">
        <v>2290</v>
      </c>
      <c r="G13" s="60" t="s">
        <v>66</v>
      </c>
      <c r="H13" s="60" t="s">
        <v>2136</v>
      </c>
      <c r="I13" s="32" t="s">
        <v>245</v>
      </c>
      <c r="J13" s="32" t="s">
        <v>128</v>
      </c>
      <c r="K13" s="32" t="s">
        <v>1240</v>
      </c>
      <c r="L13" s="32"/>
    </row>
    <row r="14" ht="16.5" customHeight="1">
      <c r="A14" s="1"/>
      <c r="B14" s="32" t="s">
        <v>2133</v>
      </c>
      <c r="C14" s="55">
        <v>0.5625</v>
      </c>
      <c r="D14" s="55">
        <f t="shared" si="1"/>
        <v>0.6666666667</v>
      </c>
      <c r="E14" s="32">
        <v>150.0</v>
      </c>
      <c r="F14" s="60" t="s">
        <v>2291</v>
      </c>
      <c r="G14" s="60" t="s">
        <v>1256</v>
      </c>
      <c r="H14" s="60" t="s">
        <v>2136</v>
      </c>
      <c r="I14" s="32" t="s">
        <v>245</v>
      </c>
      <c r="J14" s="32" t="s">
        <v>128</v>
      </c>
      <c r="K14" s="32" t="s">
        <v>1240</v>
      </c>
      <c r="L14" s="32"/>
    </row>
    <row r="15" ht="16.5" customHeight="1">
      <c r="A15" s="1"/>
      <c r="B15" s="32" t="s">
        <v>2133</v>
      </c>
      <c r="C15" s="55">
        <v>0.5625</v>
      </c>
      <c r="D15" s="55">
        <f t="shared" si="1"/>
        <v>0.625</v>
      </c>
      <c r="E15" s="32">
        <v>90.0</v>
      </c>
      <c r="F15" s="60" t="s">
        <v>2294</v>
      </c>
      <c r="G15" s="60" t="s">
        <v>1845</v>
      </c>
      <c r="H15" s="60" t="s">
        <v>2136</v>
      </c>
      <c r="I15" s="32" t="s">
        <v>245</v>
      </c>
      <c r="J15" s="32" t="s">
        <v>128</v>
      </c>
      <c r="K15" s="32" t="s">
        <v>1240</v>
      </c>
      <c r="L15" s="32"/>
    </row>
    <row r="16" ht="16.5" customHeight="1">
      <c r="A16" s="1"/>
      <c r="B16" s="32" t="s">
        <v>2133</v>
      </c>
      <c r="C16" s="55">
        <v>0.6041666666666666</v>
      </c>
      <c r="D16" s="55">
        <f t="shared" si="1"/>
        <v>0.625</v>
      </c>
      <c r="E16" s="32">
        <v>30.0</v>
      </c>
      <c r="F16" s="60" t="s">
        <v>2295</v>
      </c>
      <c r="G16" s="60" t="s">
        <v>66</v>
      </c>
      <c r="H16" s="60" t="s">
        <v>2136</v>
      </c>
      <c r="I16" s="32" t="s">
        <v>228</v>
      </c>
      <c r="J16" s="32" t="s">
        <v>128</v>
      </c>
      <c r="K16" s="32" t="s">
        <v>1240</v>
      </c>
      <c r="L16" s="32"/>
    </row>
    <row r="17" ht="16.5" customHeight="1">
      <c r="A17" s="1"/>
      <c r="B17" s="32" t="s">
        <v>2133</v>
      </c>
      <c r="C17" s="55">
        <v>0.6041666666666666</v>
      </c>
      <c r="D17" s="55">
        <f t="shared" si="1"/>
        <v>0.6458333333</v>
      </c>
      <c r="E17" s="32">
        <v>60.0</v>
      </c>
      <c r="F17" s="60" t="s">
        <v>2296</v>
      </c>
      <c r="G17" s="60" t="s">
        <v>66</v>
      </c>
      <c r="H17" s="60" t="s">
        <v>2136</v>
      </c>
      <c r="I17" s="32" t="s">
        <v>228</v>
      </c>
      <c r="J17" s="32" t="s">
        <v>128</v>
      </c>
      <c r="K17" s="32" t="s">
        <v>1240</v>
      </c>
      <c r="L17" s="32"/>
    </row>
    <row r="18" ht="16.5" customHeight="1">
      <c r="A18" s="1"/>
      <c r="B18" s="32" t="s">
        <v>2283</v>
      </c>
      <c r="C18" s="55">
        <v>0.5833333333333334</v>
      </c>
      <c r="D18" s="55">
        <f t="shared" si="1"/>
        <v>0.6666666667</v>
      </c>
      <c r="E18" s="32">
        <v>120.0</v>
      </c>
      <c r="F18" s="60" t="s">
        <v>2304</v>
      </c>
      <c r="G18" s="60" t="s">
        <v>66</v>
      </c>
      <c r="H18" s="60" t="s">
        <v>65</v>
      </c>
      <c r="I18" s="32" t="s">
        <v>2307</v>
      </c>
      <c r="J18" s="32" t="s">
        <v>128</v>
      </c>
      <c r="K18" s="32" t="s">
        <v>1240</v>
      </c>
      <c r="L18" s="32"/>
    </row>
    <row r="19" ht="16.5" customHeight="1">
      <c r="A19" s="1"/>
      <c r="B19" s="32" t="s">
        <v>2283</v>
      </c>
      <c r="C19" s="55">
        <v>0.6458333333333334</v>
      </c>
      <c r="D19" s="55">
        <f t="shared" si="1"/>
        <v>0.6666666667</v>
      </c>
      <c r="E19" s="32">
        <v>30.0</v>
      </c>
      <c r="F19" s="60" t="s">
        <v>2311</v>
      </c>
      <c r="G19" s="60" t="s">
        <v>66</v>
      </c>
      <c r="H19" s="60" t="s">
        <v>65</v>
      </c>
      <c r="I19" s="32" t="s">
        <v>284</v>
      </c>
      <c r="J19" s="32" t="s">
        <v>128</v>
      </c>
      <c r="K19" s="32" t="s">
        <v>1240</v>
      </c>
      <c r="L19" s="32"/>
    </row>
    <row r="20" ht="16.5" customHeight="1">
      <c r="A20" s="1"/>
      <c r="B20" s="32" t="s">
        <v>2133</v>
      </c>
      <c r="C20" s="55">
        <v>0.6458333333333334</v>
      </c>
      <c r="D20" s="55">
        <f t="shared" si="1"/>
        <v>0.6875</v>
      </c>
      <c r="E20" s="32">
        <v>60.0</v>
      </c>
      <c r="F20" s="60" t="s">
        <v>2313</v>
      </c>
      <c r="G20" s="60" t="s">
        <v>129</v>
      </c>
      <c r="H20" s="60" t="s">
        <v>2149</v>
      </c>
      <c r="I20" s="32"/>
      <c r="J20" s="32" t="s">
        <v>128</v>
      </c>
      <c r="K20" s="32" t="s">
        <v>1240</v>
      </c>
      <c r="L20" s="32"/>
    </row>
    <row r="21" ht="16.5" customHeight="1">
      <c r="A21" s="1"/>
      <c r="B21" s="32" t="s">
        <v>2133</v>
      </c>
      <c r="C21" s="55">
        <v>0.6666666666666666</v>
      </c>
      <c r="D21" s="55">
        <f t="shared" si="1"/>
        <v>0.6979166667</v>
      </c>
      <c r="E21" s="32">
        <v>45.0</v>
      </c>
      <c r="F21" s="60" t="s">
        <v>2314</v>
      </c>
      <c r="G21" s="60" t="s">
        <v>129</v>
      </c>
      <c r="H21" s="60" t="s">
        <v>2149</v>
      </c>
      <c r="I21" s="32" t="s">
        <v>228</v>
      </c>
      <c r="J21" s="32" t="s">
        <v>128</v>
      </c>
      <c r="K21" s="32" t="s">
        <v>1240</v>
      </c>
      <c r="L21" s="32"/>
    </row>
    <row r="22" ht="16.5" customHeight="1">
      <c r="A22" s="1"/>
      <c r="B22" s="32" t="s">
        <v>2283</v>
      </c>
      <c r="C22" s="55">
        <v>0.6666666666666666</v>
      </c>
      <c r="D22" s="55">
        <f t="shared" si="1"/>
        <v>0.7083333333</v>
      </c>
      <c r="E22" s="32">
        <v>60.0</v>
      </c>
      <c r="F22" s="60" t="s">
        <v>2315</v>
      </c>
      <c r="G22" s="60" t="s">
        <v>360</v>
      </c>
      <c r="H22" s="60" t="s">
        <v>1895</v>
      </c>
      <c r="I22" s="32"/>
      <c r="J22" s="32" t="s">
        <v>128</v>
      </c>
      <c r="K22" s="32" t="s">
        <v>1240</v>
      </c>
      <c r="L22" s="32"/>
    </row>
    <row r="23" ht="16.5" customHeight="1">
      <c r="A23" s="1"/>
      <c r="B23" s="32" t="s">
        <v>2283</v>
      </c>
      <c r="C23" s="55">
        <v>0.6875</v>
      </c>
      <c r="D23" s="55">
        <f t="shared" si="1"/>
        <v>0.7083333333</v>
      </c>
      <c r="E23" s="32">
        <v>30.0</v>
      </c>
      <c r="F23" s="60" t="s">
        <v>2317</v>
      </c>
      <c r="G23" s="60" t="s">
        <v>360</v>
      </c>
      <c r="H23" s="60" t="s">
        <v>1895</v>
      </c>
      <c r="I23" s="32"/>
      <c r="J23" s="32" t="s">
        <v>128</v>
      </c>
      <c r="K23" s="32" t="s">
        <v>1240</v>
      </c>
      <c r="L23" s="32"/>
    </row>
    <row r="24" ht="16.5" customHeight="1">
      <c r="A24" s="1"/>
      <c r="B24" s="32" t="s">
        <v>2133</v>
      </c>
      <c r="C24" s="55">
        <v>0.6666666666666666</v>
      </c>
      <c r="D24" s="55">
        <f t="shared" si="1"/>
        <v>0.7083333333</v>
      </c>
      <c r="E24" s="32">
        <v>60.0</v>
      </c>
      <c r="F24" s="60" t="s">
        <v>2320</v>
      </c>
      <c r="G24" s="60" t="s">
        <v>1256</v>
      </c>
      <c r="H24" s="60" t="s">
        <v>2136</v>
      </c>
      <c r="I24" s="32" t="s">
        <v>245</v>
      </c>
      <c r="J24" s="32" t="s">
        <v>128</v>
      </c>
      <c r="K24" s="32" t="s">
        <v>1240</v>
      </c>
      <c r="L24" s="32"/>
    </row>
    <row r="25" ht="16.5" customHeight="1">
      <c r="A25" s="1"/>
      <c r="B25" s="32" t="s">
        <v>2133</v>
      </c>
      <c r="C25" s="55">
        <v>0.7083333333333334</v>
      </c>
      <c r="D25" s="55">
        <f t="shared" si="1"/>
        <v>0.7291666667</v>
      </c>
      <c r="E25" s="32">
        <v>30.0</v>
      </c>
      <c r="F25" s="60" t="s">
        <v>2323</v>
      </c>
      <c r="G25" s="60" t="s">
        <v>1256</v>
      </c>
      <c r="H25" s="60" t="s">
        <v>2136</v>
      </c>
      <c r="I25" s="32" t="s">
        <v>228</v>
      </c>
      <c r="J25" s="32" t="s">
        <v>128</v>
      </c>
      <c r="K25" s="32" t="s">
        <v>1240</v>
      </c>
      <c r="L25" s="32"/>
    </row>
    <row r="26" ht="16.5" customHeight="1">
      <c r="A26" s="1"/>
      <c r="B26" s="32" t="s">
        <v>2133</v>
      </c>
      <c r="C26" s="55">
        <v>0.7083333333333334</v>
      </c>
      <c r="D26" s="55">
        <f t="shared" si="1"/>
        <v>0.7395833333</v>
      </c>
      <c r="E26" s="32">
        <v>45.0</v>
      </c>
      <c r="F26" s="60" t="s">
        <v>2324</v>
      </c>
      <c r="G26" s="60" t="s">
        <v>1256</v>
      </c>
      <c r="H26" s="60" t="s">
        <v>2136</v>
      </c>
      <c r="I26" s="32" t="s">
        <v>228</v>
      </c>
      <c r="J26" s="32" t="s">
        <v>128</v>
      </c>
      <c r="K26" s="32" t="s">
        <v>1240</v>
      </c>
      <c r="L26" s="32"/>
    </row>
    <row r="27" ht="16.5" customHeight="1">
      <c r="A27" s="1"/>
      <c r="B27" s="32" t="s">
        <v>2283</v>
      </c>
      <c r="C27" s="55">
        <v>0.7083333333333334</v>
      </c>
      <c r="D27" s="55">
        <f t="shared" si="1"/>
        <v>0.7395833333</v>
      </c>
      <c r="E27" s="32">
        <v>45.0</v>
      </c>
      <c r="F27" s="60" t="s">
        <v>2328</v>
      </c>
      <c r="G27" s="60" t="s">
        <v>360</v>
      </c>
      <c r="H27" s="60" t="s">
        <v>65</v>
      </c>
      <c r="I27" s="32" t="s">
        <v>278</v>
      </c>
      <c r="J27" s="32" t="s">
        <v>128</v>
      </c>
      <c r="K27" s="32" t="s">
        <v>1240</v>
      </c>
      <c r="L27" s="32"/>
    </row>
    <row r="28" ht="16.5" customHeight="1">
      <c r="A28" s="1"/>
      <c r="B28" s="32" t="s">
        <v>2283</v>
      </c>
      <c r="C28" s="55">
        <v>0.7083333333333334</v>
      </c>
      <c r="D28" s="55">
        <f t="shared" si="1"/>
        <v>0.75</v>
      </c>
      <c r="E28" s="32">
        <v>60.0</v>
      </c>
      <c r="F28" s="60" t="s">
        <v>2329</v>
      </c>
      <c r="G28" s="60" t="s">
        <v>66</v>
      </c>
      <c r="H28" s="60" t="s">
        <v>2330</v>
      </c>
      <c r="I28" s="32" t="s">
        <v>297</v>
      </c>
      <c r="J28" s="32" t="s">
        <v>128</v>
      </c>
      <c r="K28" s="32" t="s">
        <v>1240</v>
      </c>
      <c r="L28" s="32"/>
    </row>
    <row r="29" ht="16.5" customHeight="1">
      <c r="A29" s="1"/>
      <c r="B29" s="32" t="s">
        <v>2283</v>
      </c>
      <c r="C29" s="55">
        <v>0.7291666666666666</v>
      </c>
      <c r="D29" s="55">
        <f t="shared" si="1"/>
        <v>0.75</v>
      </c>
      <c r="E29" s="32">
        <v>30.0</v>
      </c>
      <c r="F29" s="60" t="s">
        <v>2331</v>
      </c>
      <c r="G29" s="60" t="s">
        <v>66</v>
      </c>
      <c r="H29" s="60" t="s">
        <v>65</v>
      </c>
      <c r="I29" s="32" t="s">
        <v>353</v>
      </c>
      <c r="J29" s="32" t="s">
        <v>128</v>
      </c>
      <c r="K29" s="32" t="s">
        <v>1240</v>
      </c>
      <c r="L29" s="32"/>
    </row>
    <row r="30" ht="16.5" customHeight="1">
      <c r="A30" s="1"/>
      <c r="B30" s="32" t="s">
        <v>2283</v>
      </c>
      <c r="C30" s="55">
        <v>0.7291666666666666</v>
      </c>
      <c r="D30" s="55">
        <f t="shared" si="1"/>
        <v>0.75</v>
      </c>
      <c r="E30" s="32">
        <v>30.0</v>
      </c>
      <c r="F30" s="60" t="s">
        <v>2333</v>
      </c>
      <c r="G30" s="60" t="s">
        <v>66</v>
      </c>
      <c r="H30" s="60" t="s">
        <v>1895</v>
      </c>
      <c r="I30" s="32" t="s">
        <v>219</v>
      </c>
      <c r="J30" s="32" t="s">
        <v>128</v>
      </c>
      <c r="K30" s="32" t="s">
        <v>1240</v>
      </c>
      <c r="L30" s="32"/>
    </row>
    <row r="31" ht="16.5" customHeight="1">
      <c r="A31" s="1"/>
      <c r="B31" s="32" t="s">
        <v>2156</v>
      </c>
      <c r="C31" s="55">
        <v>0.7291666666666666</v>
      </c>
      <c r="D31" s="55">
        <f t="shared" si="1"/>
        <v>0.75</v>
      </c>
      <c r="E31" s="32">
        <v>30.0</v>
      </c>
      <c r="F31" s="60" t="s">
        <v>2334</v>
      </c>
      <c r="G31" s="60" t="s">
        <v>129</v>
      </c>
      <c r="H31" s="60" t="s">
        <v>2335</v>
      </c>
      <c r="I31" s="32"/>
      <c r="J31" s="32" t="s">
        <v>128</v>
      </c>
      <c r="K31" s="32" t="s">
        <v>1240</v>
      </c>
      <c r="L31" s="32"/>
    </row>
    <row r="32" ht="16.5" customHeight="1">
      <c r="A32" s="1"/>
      <c r="B32" s="32" t="s">
        <v>2156</v>
      </c>
      <c r="C32" s="55">
        <v>0.75</v>
      </c>
      <c r="D32" s="55">
        <f t="shared" si="1"/>
        <v>0.7916666667</v>
      </c>
      <c r="E32" s="32">
        <v>60.0</v>
      </c>
      <c r="F32" s="60" t="s">
        <v>2336</v>
      </c>
      <c r="G32" s="60" t="s">
        <v>2221</v>
      </c>
      <c r="H32" s="60" t="s">
        <v>1895</v>
      </c>
      <c r="I32" s="32" t="s">
        <v>295</v>
      </c>
      <c r="J32" s="32" t="s">
        <v>128</v>
      </c>
      <c r="K32" s="32" t="s">
        <v>1240</v>
      </c>
      <c r="L32" s="32"/>
    </row>
    <row r="33" ht="16.5" customHeight="1">
      <c r="A33" s="1"/>
      <c r="B33" s="32" t="s">
        <v>2156</v>
      </c>
      <c r="C33" s="55">
        <v>0.7604166666666666</v>
      </c>
      <c r="D33" s="55">
        <f t="shared" si="1"/>
        <v>0.78125</v>
      </c>
      <c r="E33" s="32">
        <v>30.0</v>
      </c>
      <c r="F33" s="60" t="s">
        <v>2337</v>
      </c>
      <c r="G33" s="60" t="s">
        <v>1256</v>
      </c>
      <c r="H33" s="60" t="s">
        <v>2335</v>
      </c>
      <c r="I33" s="32"/>
      <c r="J33" s="32" t="s">
        <v>128</v>
      </c>
      <c r="K33" s="32" t="s">
        <v>1240</v>
      </c>
      <c r="L33" s="32"/>
    </row>
    <row r="34" ht="16.5" customHeight="1">
      <c r="A34" s="1"/>
      <c r="B34" s="32" t="s">
        <v>2156</v>
      </c>
      <c r="C34" s="55">
        <v>0.78125</v>
      </c>
      <c r="D34" s="55">
        <f t="shared" si="1"/>
        <v>0.7916666667</v>
      </c>
      <c r="E34" s="32">
        <v>15.0</v>
      </c>
      <c r="F34" s="60" t="s">
        <v>2338</v>
      </c>
      <c r="G34" s="60" t="s">
        <v>360</v>
      </c>
      <c r="H34" s="60" t="s">
        <v>295</v>
      </c>
      <c r="I34" s="32"/>
      <c r="J34" s="32" t="s">
        <v>128</v>
      </c>
      <c r="K34" s="32" t="s">
        <v>1240</v>
      </c>
      <c r="L34" s="32"/>
    </row>
    <row r="35" ht="16.5" customHeight="1">
      <c r="A35" s="1"/>
      <c r="B35" s="32" t="s">
        <v>2156</v>
      </c>
      <c r="C35" s="55">
        <v>0.7847222222222222</v>
      </c>
      <c r="D35" s="55">
        <f t="shared" si="1"/>
        <v>0.7916666667</v>
      </c>
      <c r="E35" s="32">
        <v>10.0</v>
      </c>
      <c r="F35" s="60" t="s">
        <v>2339</v>
      </c>
      <c r="G35" s="60" t="s">
        <v>322</v>
      </c>
      <c r="H35" s="60" t="s">
        <v>65</v>
      </c>
      <c r="I35" s="32" t="s">
        <v>322</v>
      </c>
      <c r="J35" s="32" t="s">
        <v>128</v>
      </c>
      <c r="K35" s="32" t="s">
        <v>1240</v>
      </c>
      <c r="L35" s="32"/>
    </row>
    <row r="36" ht="16.5" customHeight="1">
      <c r="A36" s="1"/>
      <c r="B36" s="32" t="s">
        <v>349</v>
      </c>
      <c r="C36" s="55">
        <v>0.7916666666666666</v>
      </c>
      <c r="D36" s="55">
        <f t="shared" si="1"/>
        <v>0.7951388889</v>
      </c>
      <c r="E36" s="32">
        <v>5.0</v>
      </c>
      <c r="F36" s="60" t="s">
        <v>2341</v>
      </c>
      <c r="G36" s="60" t="s">
        <v>66</v>
      </c>
      <c r="H36" s="60" t="s">
        <v>65</v>
      </c>
      <c r="I36" s="32" t="s">
        <v>297</v>
      </c>
      <c r="J36" s="32" t="s">
        <v>128</v>
      </c>
      <c r="K36" s="32" t="s">
        <v>1240</v>
      </c>
      <c r="L36" s="32"/>
    </row>
    <row r="37" ht="16.5" customHeight="1">
      <c r="A37" s="1"/>
      <c r="B37" s="32" t="s">
        <v>349</v>
      </c>
      <c r="C37" s="55">
        <v>0.7951388888888888</v>
      </c>
      <c r="D37" s="55">
        <f t="shared" si="1"/>
        <v>0.7986111111</v>
      </c>
      <c r="E37" s="32">
        <v>5.0</v>
      </c>
      <c r="F37" s="60" t="s">
        <v>2343</v>
      </c>
      <c r="G37" s="60" t="s">
        <v>1256</v>
      </c>
      <c r="H37" s="60" t="s">
        <v>65</v>
      </c>
      <c r="I37" s="32"/>
      <c r="J37" s="32" t="s">
        <v>128</v>
      </c>
      <c r="K37" s="32" t="s">
        <v>1240</v>
      </c>
      <c r="L37" s="32"/>
    </row>
    <row r="38" ht="16.5" customHeight="1">
      <c r="A38" s="1"/>
      <c r="B38" s="32" t="s">
        <v>349</v>
      </c>
      <c r="C38" s="55">
        <v>0.7986111111111112</v>
      </c>
      <c r="D38" s="55">
        <f t="shared" si="1"/>
        <v>0.8125</v>
      </c>
      <c r="E38" s="32">
        <v>20.0</v>
      </c>
      <c r="F38" s="60" t="s">
        <v>2345</v>
      </c>
      <c r="G38" s="60" t="s">
        <v>1038</v>
      </c>
      <c r="H38" s="60" t="s">
        <v>1861</v>
      </c>
      <c r="I38" s="32" t="s">
        <v>313</v>
      </c>
      <c r="J38" s="32" t="s">
        <v>128</v>
      </c>
      <c r="K38" s="32" t="s">
        <v>1240</v>
      </c>
      <c r="L38" s="32"/>
    </row>
    <row r="39" ht="16.5" customHeight="1">
      <c r="A39" s="1"/>
      <c r="B39" s="32" t="s">
        <v>349</v>
      </c>
      <c r="C39" s="55">
        <v>0.8125</v>
      </c>
      <c r="D39" s="55">
        <f t="shared" si="1"/>
        <v>0.8229166667</v>
      </c>
      <c r="E39" s="32">
        <v>15.0</v>
      </c>
      <c r="F39" s="60" t="s">
        <v>2346</v>
      </c>
      <c r="G39" s="60" t="s">
        <v>1038</v>
      </c>
      <c r="H39" s="60" t="s">
        <v>1904</v>
      </c>
      <c r="I39" s="32"/>
      <c r="J39" s="32" t="s">
        <v>128</v>
      </c>
      <c r="K39" s="32" t="s">
        <v>1240</v>
      </c>
      <c r="L39" s="32"/>
    </row>
    <row r="40" ht="16.5" customHeight="1">
      <c r="A40" s="1"/>
      <c r="B40" s="32" t="s">
        <v>349</v>
      </c>
      <c r="C40" s="55">
        <v>0.8229166666666666</v>
      </c>
      <c r="D40" s="55">
        <f t="shared" si="1"/>
        <v>0.8298611111</v>
      </c>
      <c r="E40" s="32">
        <v>10.0</v>
      </c>
      <c r="F40" s="60" t="s">
        <v>2347</v>
      </c>
      <c r="G40" s="60" t="s">
        <v>1038</v>
      </c>
      <c r="H40" s="60" t="s">
        <v>65</v>
      </c>
      <c r="I40" s="32"/>
      <c r="J40" s="32" t="s">
        <v>128</v>
      </c>
      <c r="K40" s="32" t="s">
        <v>1240</v>
      </c>
      <c r="L40" s="32"/>
    </row>
    <row r="41" ht="16.5" customHeight="1">
      <c r="A41" s="1"/>
      <c r="B41" s="32" t="s">
        <v>356</v>
      </c>
      <c r="C41" s="55">
        <v>0.8298611111111112</v>
      </c>
      <c r="D41" s="55">
        <f t="shared" si="1"/>
        <v>0.8472222222</v>
      </c>
      <c r="E41" s="32">
        <v>25.0</v>
      </c>
      <c r="F41" s="60" t="s">
        <v>2350</v>
      </c>
      <c r="G41" s="60" t="s">
        <v>360</v>
      </c>
      <c r="H41" s="60" t="s">
        <v>2181</v>
      </c>
      <c r="I41" s="32" t="s">
        <v>228</v>
      </c>
      <c r="J41" s="32" t="s">
        <v>128</v>
      </c>
      <c r="K41" s="32" t="s">
        <v>1240</v>
      </c>
      <c r="L41" s="32"/>
    </row>
    <row r="42" ht="16.5" customHeight="1">
      <c r="A42" s="1"/>
      <c r="B42" s="32" t="s">
        <v>356</v>
      </c>
      <c r="C42" s="55">
        <v>0.8298611111111112</v>
      </c>
      <c r="D42" s="55">
        <f t="shared" si="1"/>
        <v>0.8472222222</v>
      </c>
      <c r="E42" s="32">
        <v>25.0</v>
      </c>
      <c r="F42" s="60" t="s">
        <v>2354</v>
      </c>
      <c r="G42" s="60" t="s">
        <v>2221</v>
      </c>
      <c r="H42" s="60" t="s">
        <v>65</v>
      </c>
      <c r="I42" s="32" t="s">
        <v>329</v>
      </c>
      <c r="J42" s="32" t="s">
        <v>128</v>
      </c>
      <c r="K42" s="32" t="s">
        <v>1240</v>
      </c>
      <c r="L42" s="32"/>
    </row>
    <row r="43" ht="16.5" customHeight="1">
      <c r="A43" s="1"/>
      <c r="B43" s="32" t="s">
        <v>356</v>
      </c>
      <c r="C43" s="55">
        <v>0.8472222222222222</v>
      </c>
      <c r="D43" s="55">
        <f t="shared" si="1"/>
        <v>0.8541666667</v>
      </c>
      <c r="E43" s="32">
        <v>10.0</v>
      </c>
      <c r="F43" s="60" t="s">
        <v>2355</v>
      </c>
      <c r="G43" s="60" t="s">
        <v>1038</v>
      </c>
      <c r="H43" s="60" t="s">
        <v>65</v>
      </c>
      <c r="I43" s="32" t="s">
        <v>322</v>
      </c>
      <c r="J43" s="32" t="s">
        <v>128</v>
      </c>
      <c r="K43" s="32" t="s">
        <v>1240</v>
      </c>
      <c r="L43" s="32"/>
    </row>
    <row r="44" ht="16.5" customHeight="1">
      <c r="A44" s="1"/>
      <c r="B44" s="32" t="s">
        <v>356</v>
      </c>
      <c r="C44" s="55">
        <v>0.8541666666666666</v>
      </c>
      <c r="D44" s="55">
        <f t="shared" si="1"/>
        <v>0.8645833333</v>
      </c>
      <c r="E44" s="32">
        <v>15.0</v>
      </c>
      <c r="F44" s="60" t="s">
        <v>2356</v>
      </c>
      <c r="G44" s="60" t="s">
        <v>217</v>
      </c>
      <c r="H44" s="60" t="s">
        <v>2181</v>
      </c>
      <c r="I44" s="32" t="s">
        <v>322</v>
      </c>
      <c r="J44" s="32" t="s">
        <v>128</v>
      </c>
      <c r="K44" s="32" t="s">
        <v>1240</v>
      </c>
      <c r="L44" s="32"/>
    </row>
    <row r="45" ht="16.5" customHeight="1">
      <c r="A45" s="1"/>
      <c r="B45" s="32" t="s">
        <v>356</v>
      </c>
      <c r="C45" s="55">
        <v>0.8645833333333334</v>
      </c>
      <c r="D45" s="55">
        <f t="shared" si="1"/>
        <v>0.875</v>
      </c>
      <c r="E45" s="32">
        <v>15.0</v>
      </c>
      <c r="F45" s="60" t="s">
        <v>1925</v>
      </c>
      <c r="G45" s="60" t="s">
        <v>66</v>
      </c>
      <c r="H45" s="60" t="s">
        <v>2236</v>
      </c>
      <c r="I45" s="32" t="s">
        <v>297</v>
      </c>
      <c r="J45" s="32" t="s">
        <v>128</v>
      </c>
      <c r="K45" s="32" t="s">
        <v>1240</v>
      </c>
      <c r="L45" s="32"/>
    </row>
    <row r="46" ht="16.5" customHeight="1">
      <c r="A46" s="1"/>
      <c r="B46" s="32" t="s">
        <v>356</v>
      </c>
      <c r="C46" s="55">
        <v>0.875</v>
      </c>
      <c r="D46" s="55">
        <f t="shared" si="1"/>
        <v>0.9166666667</v>
      </c>
      <c r="E46" s="32">
        <v>60.0</v>
      </c>
      <c r="F46" s="60" t="s">
        <v>2357</v>
      </c>
      <c r="G46" s="60" t="s">
        <v>66</v>
      </c>
      <c r="H46" s="60" t="s">
        <v>65</v>
      </c>
      <c r="I46" s="32" t="s">
        <v>219</v>
      </c>
      <c r="J46" s="32" t="s">
        <v>128</v>
      </c>
      <c r="K46" s="32" t="s">
        <v>1240</v>
      </c>
      <c r="L46" s="32"/>
    </row>
    <row r="47" ht="16.5" customHeight="1">
      <c r="A47" s="1"/>
      <c r="B47" s="32" t="s">
        <v>356</v>
      </c>
      <c r="C47" s="55">
        <v>0.875</v>
      </c>
      <c r="D47" s="55">
        <f t="shared" si="1"/>
        <v>0.90625</v>
      </c>
      <c r="E47" s="32">
        <v>45.0</v>
      </c>
      <c r="F47" s="60" t="s">
        <v>2358</v>
      </c>
      <c r="G47" s="60" t="s">
        <v>1038</v>
      </c>
      <c r="H47" s="60" t="s">
        <v>2211</v>
      </c>
      <c r="I47" s="32" t="s">
        <v>228</v>
      </c>
      <c r="J47" s="32" t="s">
        <v>128</v>
      </c>
      <c r="K47" s="32" t="s">
        <v>1240</v>
      </c>
      <c r="L47" s="32"/>
    </row>
    <row r="48" ht="16.5" customHeight="1">
      <c r="A48" s="1"/>
      <c r="B48" s="32" t="s">
        <v>356</v>
      </c>
      <c r="C48" s="55">
        <v>0.8958333333333334</v>
      </c>
      <c r="D48" s="55">
        <f t="shared" si="1"/>
        <v>0.9027777778</v>
      </c>
      <c r="E48" s="32">
        <v>10.0</v>
      </c>
      <c r="F48" s="60" t="s">
        <v>2359</v>
      </c>
      <c r="G48" s="60" t="s">
        <v>1038</v>
      </c>
      <c r="H48" s="60" t="s">
        <v>2230</v>
      </c>
      <c r="I48" s="32" t="s">
        <v>322</v>
      </c>
      <c r="J48" s="32" t="s">
        <v>128</v>
      </c>
      <c r="K48" s="32" t="s">
        <v>1240</v>
      </c>
      <c r="L48" s="32"/>
    </row>
    <row r="49" ht="16.5" customHeight="1">
      <c r="A49" s="1"/>
      <c r="B49" s="32" t="s">
        <v>356</v>
      </c>
      <c r="C49" s="55">
        <v>0.90625</v>
      </c>
      <c r="D49" s="55">
        <f t="shared" si="1"/>
        <v>0.9201388889</v>
      </c>
      <c r="E49" s="32">
        <v>20.0</v>
      </c>
      <c r="F49" s="60" t="s">
        <v>2360</v>
      </c>
      <c r="G49" s="60" t="s">
        <v>2233</v>
      </c>
      <c r="H49" s="60" t="s">
        <v>2181</v>
      </c>
      <c r="I49" s="32" t="s">
        <v>322</v>
      </c>
      <c r="J49" s="32" t="s">
        <v>128</v>
      </c>
      <c r="K49" s="32" t="s">
        <v>1240</v>
      </c>
      <c r="L49" s="32"/>
    </row>
    <row r="50" ht="16.5" customHeight="1">
      <c r="A50" s="1"/>
      <c r="B50" s="32" t="s">
        <v>356</v>
      </c>
      <c r="C50" s="55">
        <v>0.9201388888888888</v>
      </c>
      <c r="D50" s="55">
        <f t="shared" si="1"/>
        <v>0.9270833333</v>
      </c>
      <c r="E50" s="32">
        <v>10.0</v>
      </c>
      <c r="F50" s="60" t="s">
        <v>2234</v>
      </c>
      <c r="G50" s="60" t="s">
        <v>1038</v>
      </c>
      <c r="H50" s="60" t="s">
        <v>2236</v>
      </c>
      <c r="I50" s="32" t="s">
        <v>329</v>
      </c>
      <c r="J50" s="32" t="s">
        <v>128</v>
      </c>
      <c r="K50" s="32" t="s">
        <v>1240</v>
      </c>
      <c r="L50" s="32"/>
    </row>
    <row r="51" ht="16.5" customHeight="1">
      <c r="A51" s="1"/>
      <c r="B51" s="32" t="s">
        <v>356</v>
      </c>
      <c r="C51" s="55">
        <v>0.9270833333333334</v>
      </c>
      <c r="D51" s="55">
        <f t="shared" si="1"/>
        <v>0.96875</v>
      </c>
      <c r="E51" s="32">
        <v>60.0</v>
      </c>
      <c r="F51" s="60" t="s">
        <v>2362</v>
      </c>
      <c r="G51" s="60" t="s">
        <v>1038</v>
      </c>
      <c r="H51" s="60" t="s">
        <v>65</v>
      </c>
      <c r="I51" s="32" t="s">
        <v>329</v>
      </c>
      <c r="J51" s="32" t="s">
        <v>128</v>
      </c>
      <c r="K51" s="32" t="s">
        <v>1240</v>
      </c>
      <c r="L51" s="32"/>
    </row>
    <row r="52" ht="16.5" customHeight="1">
      <c r="A52" s="1"/>
      <c r="B52" s="32" t="s">
        <v>356</v>
      </c>
      <c r="C52" s="55">
        <v>0.9270833333333334</v>
      </c>
      <c r="D52" s="55">
        <f t="shared" si="1"/>
        <v>0.9583333333</v>
      </c>
      <c r="E52" s="32">
        <v>45.0</v>
      </c>
      <c r="F52" s="60" t="s">
        <v>2363</v>
      </c>
      <c r="G52" s="60" t="s">
        <v>66</v>
      </c>
      <c r="H52" s="60" t="s">
        <v>65</v>
      </c>
      <c r="I52" s="32" t="s">
        <v>228</v>
      </c>
      <c r="J52" s="32" t="s">
        <v>128</v>
      </c>
      <c r="K52" s="32" t="s">
        <v>1240</v>
      </c>
      <c r="L52" s="32"/>
    </row>
    <row r="53" ht="16.5" customHeight="1">
      <c r="A53" s="1"/>
      <c r="B53" s="32" t="s">
        <v>2364</v>
      </c>
      <c r="C53" s="55">
        <v>0.96875</v>
      </c>
      <c r="D53" s="55">
        <f t="shared" si="1"/>
        <v>0.9756944444</v>
      </c>
      <c r="E53" s="32">
        <v>10.0</v>
      </c>
      <c r="F53" s="60" t="s">
        <v>2365</v>
      </c>
      <c r="G53" s="60" t="s">
        <v>1038</v>
      </c>
      <c r="H53" s="60" t="s">
        <v>2181</v>
      </c>
      <c r="I53" s="32" t="s">
        <v>322</v>
      </c>
      <c r="J53" s="32" t="s">
        <v>128</v>
      </c>
      <c r="K53" s="32" t="s">
        <v>1240</v>
      </c>
      <c r="L53" s="32"/>
    </row>
    <row r="54" ht="16.5" customHeight="1">
      <c r="A54" s="1"/>
      <c r="B54" s="32" t="s">
        <v>2364</v>
      </c>
      <c r="C54" s="55">
        <v>0.9756944444444444</v>
      </c>
      <c r="D54" s="55">
        <f t="shared" si="1"/>
        <v>0.9791666667</v>
      </c>
      <c r="E54" s="32">
        <v>5.0</v>
      </c>
      <c r="F54" s="60" t="s">
        <v>2367</v>
      </c>
      <c r="G54" s="60" t="s">
        <v>2221</v>
      </c>
      <c r="H54" s="60" t="s">
        <v>1895</v>
      </c>
      <c r="I54" s="32"/>
      <c r="J54" s="32" t="s">
        <v>128</v>
      </c>
      <c r="K54" s="32" t="s">
        <v>1240</v>
      </c>
      <c r="L54" s="32"/>
    </row>
    <row r="55" ht="16.5" customHeight="1">
      <c r="A55" s="1"/>
      <c r="B55" s="32" t="s">
        <v>2364</v>
      </c>
      <c r="C55" s="55">
        <v>0.9791666666666666</v>
      </c>
      <c r="D55" s="55">
        <f t="shared" si="1"/>
        <v>1</v>
      </c>
      <c r="E55" s="32">
        <v>30.0</v>
      </c>
      <c r="F55" s="60" t="s">
        <v>2369</v>
      </c>
      <c r="G55" s="60" t="s">
        <v>360</v>
      </c>
      <c r="H55" s="60" t="s">
        <v>1882</v>
      </c>
      <c r="I55" s="32" t="s">
        <v>338</v>
      </c>
      <c r="J55" s="32" t="s">
        <v>128</v>
      </c>
      <c r="K55" s="32" t="s">
        <v>1240</v>
      </c>
      <c r="L55" s="32"/>
    </row>
    <row r="56" ht="16.5" customHeight="1">
      <c r="A56" s="1"/>
      <c r="B56" s="32" t="s">
        <v>2364</v>
      </c>
      <c r="C56" s="55">
        <v>0.9791666666666666</v>
      </c>
      <c r="D56" s="55">
        <f t="shared" si="1"/>
        <v>0.9895833333</v>
      </c>
      <c r="E56" s="32">
        <v>15.0</v>
      </c>
      <c r="F56" s="60" t="s">
        <v>2370</v>
      </c>
      <c r="G56" s="60" t="s">
        <v>217</v>
      </c>
      <c r="H56" s="60" t="s">
        <v>1895</v>
      </c>
      <c r="I56" s="32"/>
      <c r="J56" s="32" t="s">
        <v>128</v>
      </c>
      <c r="K56" s="32" t="s">
        <v>1240</v>
      </c>
      <c r="L56" s="32"/>
    </row>
    <row r="57" ht="16.5" customHeight="1">
      <c r="A57" s="1"/>
      <c r="B57" s="32" t="s">
        <v>2364</v>
      </c>
      <c r="C57" s="55">
        <v>0.9826388888888888</v>
      </c>
      <c r="D57" s="55">
        <f t="shared" si="1"/>
        <v>1</v>
      </c>
      <c r="E57" s="32">
        <v>25.0</v>
      </c>
      <c r="F57" s="60" t="s">
        <v>2371</v>
      </c>
      <c r="G57" s="60" t="s">
        <v>129</v>
      </c>
      <c r="H57" s="60" t="s">
        <v>2136</v>
      </c>
      <c r="I57" s="32"/>
      <c r="J57" s="32" t="s">
        <v>128</v>
      </c>
      <c r="K57" s="32" t="s">
        <v>1240</v>
      </c>
      <c r="L57" s="32"/>
    </row>
    <row r="58" ht="16.5" customHeight="1">
      <c r="A58" s="1"/>
      <c r="B58" s="32" t="s">
        <v>2364</v>
      </c>
      <c r="C58" s="55">
        <v>0.9861111111111112</v>
      </c>
      <c r="D58" s="55">
        <f t="shared" si="1"/>
        <v>1</v>
      </c>
      <c r="E58" s="32">
        <v>20.0</v>
      </c>
      <c r="F58" s="60" t="s">
        <v>2373</v>
      </c>
      <c r="G58" s="60" t="s">
        <v>1845</v>
      </c>
      <c r="H58" s="60" t="s">
        <v>295</v>
      </c>
      <c r="I58" s="32"/>
      <c r="J58" s="32" t="s">
        <v>128</v>
      </c>
      <c r="K58" s="32" t="s">
        <v>1240</v>
      </c>
      <c r="L58" s="32"/>
    </row>
    <row r="59" ht="16.5" customHeight="1">
      <c r="A59" s="1"/>
      <c r="B59" s="32" t="s">
        <v>2364</v>
      </c>
      <c r="C59" s="55">
        <v>0.9895833333333334</v>
      </c>
      <c r="D59" s="55">
        <f t="shared" si="1"/>
        <v>1.010416667</v>
      </c>
      <c r="E59" s="32">
        <v>30.0</v>
      </c>
      <c r="F59" s="60" t="s">
        <v>2374</v>
      </c>
      <c r="G59" s="60" t="s">
        <v>360</v>
      </c>
      <c r="H59" s="60" t="s">
        <v>295</v>
      </c>
      <c r="I59" s="32"/>
      <c r="J59" s="32" t="s">
        <v>128</v>
      </c>
      <c r="K59" s="32" t="s">
        <v>1240</v>
      </c>
      <c r="L59" s="32"/>
    </row>
    <row r="60" ht="16.5" customHeight="1">
      <c r="A60" s="1"/>
      <c r="B60" s="32" t="s">
        <v>2364</v>
      </c>
      <c r="C60" s="55">
        <v>0.9895833333333334</v>
      </c>
      <c r="D60" s="55">
        <f t="shared" si="1"/>
        <v>1.003472222</v>
      </c>
      <c r="E60" s="32">
        <v>20.0</v>
      </c>
      <c r="F60" s="60" t="s">
        <v>2375</v>
      </c>
      <c r="G60" s="60" t="s">
        <v>1759</v>
      </c>
      <c r="H60" s="60" t="s">
        <v>295</v>
      </c>
      <c r="I60" s="32"/>
      <c r="J60" s="32" t="s">
        <v>128</v>
      </c>
      <c r="K60" s="32" t="s">
        <v>1240</v>
      </c>
      <c r="L60" s="32"/>
    </row>
    <row r="61" ht="16.5" customHeight="1">
      <c r="A61" s="1"/>
      <c r="B61" s="32" t="s">
        <v>2364</v>
      </c>
      <c r="C61" s="55">
        <v>0.0</v>
      </c>
      <c r="D61" s="55">
        <f t="shared" si="1"/>
        <v>0.03125</v>
      </c>
      <c r="E61" s="32">
        <v>45.0</v>
      </c>
      <c r="F61" s="60" t="s">
        <v>2376</v>
      </c>
      <c r="G61" s="60" t="s">
        <v>66</v>
      </c>
      <c r="H61" s="60" t="s">
        <v>65</v>
      </c>
      <c r="I61" s="32" t="s">
        <v>278</v>
      </c>
      <c r="J61" s="32" t="s">
        <v>128</v>
      </c>
      <c r="K61" s="32" t="s">
        <v>1240</v>
      </c>
      <c r="L61" s="32"/>
    </row>
    <row r="62" ht="16.5" customHeight="1">
      <c r="A62" s="1"/>
      <c r="B62" s="32" t="s">
        <v>2364</v>
      </c>
      <c r="C62" s="55">
        <v>0.01041666666666667</v>
      </c>
      <c r="D62" s="55">
        <f t="shared" si="1"/>
        <v>0.02083333333</v>
      </c>
      <c r="E62" s="32">
        <v>15.0</v>
      </c>
      <c r="F62" s="60" t="s">
        <v>2378</v>
      </c>
      <c r="G62" s="60" t="s">
        <v>360</v>
      </c>
      <c r="H62" s="60" t="s">
        <v>295</v>
      </c>
      <c r="I62" s="32" t="s">
        <v>206</v>
      </c>
      <c r="J62" s="32" t="s">
        <v>128</v>
      </c>
      <c r="K62" s="32" t="s">
        <v>1240</v>
      </c>
      <c r="L62" s="32"/>
    </row>
    <row r="63" ht="16.5" customHeight="1">
      <c r="A63" s="1"/>
      <c r="B63" s="32"/>
      <c r="C63" s="55"/>
      <c r="D63" s="55"/>
      <c r="E63" s="32"/>
      <c r="F63" s="60"/>
      <c r="G63" s="60"/>
      <c r="H63" s="60"/>
      <c r="I63" s="32"/>
      <c r="J63" s="32"/>
      <c r="K63" s="32"/>
      <c r="L63" s="32"/>
    </row>
    <row r="64" ht="16.5" customHeight="1">
      <c r="A64" s="1"/>
      <c r="B64" s="32"/>
      <c r="C64" s="55"/>
      <c r="D64" s="55"/>
      <c r="E64" s="32"/>
      <c r="F64" s="60"/>
      <c r="G64" s="60"/>
      <c r="H64" s="60"/>
      <c r="I64" s="32"/>
      <c r="J64" s="32"/>
      <c r="K64" s="32"/>
      <c r="L64" s="32"/>
    </row>
    <row r="65" ht="21.75" customHeight="1">
      <c r="A65" s="5"/>
      <c r="B65" s="8" t="s">
        <v>2381</v>
      </c>
      <c r="C65" s="114"/>
      <c r="D65" s="114"/>
      <c r="E65" s="61"/>
      <c r="F65" s="61"/>
      <c r="G65" s="61"/>
      <c r="H65" s="61"/>
      <c r="I65" s="8"/>
      <c r="J65" s="61"/>
      <c r="K65" s="78" t="str">
        <f>"Confirmed with DJ: "&amp;COUNTIF(K67:K91,"Yes")&amp;" of "&amp;COUNTA(B67:B91)</f>
        <v>Confirmed with DJ: 0 of 25</v>
      </c>
      <c r="L65" s="8"/>
    </row>
    <row r="66" ht="30.0" customHeight="1">
      <c r="A66" s="16"/>
      <c r="B66" s="17" t="s">
        <v>2382</v>
      </c>
      <c r="C66" s="115"/>
      <c r="D66" s="115"/>
      <c r="E66" s="62"/>
      <c r="F66" s="17" t="s">
        <v>2383</v>
      </c>
      <c r="G66" s="17" t="s">
        <v>2384</v>
      </c>
      <c r="H66" s="17" t="s">
        <v>2385</v>
      </c>
      <c r="I66" s="17" t="s">
        <v>2387</v>
      </c>
      <c r="J66" s="17" t="s">
        <v>62</v>
      </c>
      <c r="K66" s="17" t="s">
        <v>2388</v>
      </c>
      <c r="L66" s="17" t="s">
        <v>50</v>
      </c>
    </row>
    <row r="67" ht="16.5" customHeight="1">
      <c r="A67" s="1"/>
      <c r="B67" s="32" t="s">
        <v>2390</v>
      </c>
      <c r="C67" s="55"/>
      <c r="D67" s="55"/>
      <c r="E67" s="32"/>
      <c r="F67" s="32" t="s">
        <v>2391</v>
      </c>
      <c r="G67" s="32" t="s">
        <v>329</v>
      </c>
      <c r="H67" s="32" t="s">
        <v>322</v>
      </c>
      <c r="I67" s="32" t="s">
        <v>2392</v>
      </c>
      <c r="J67" s="32" t="s">
        <v>128</v>
      </c>
      <c r="K67" s="32" t="s">
        <v>1240</v>
      </c>
      <c r="L67" s="32"/>
    </row>
    <row r="68" ht="16.5" customHeight="1">
      <c r="A68" s="1"/>
      <c r="B68" s="32" t="s">
        <v>2159</v>
      </c>
      <c r="C68" s="55"/>
      <c r="D68" s="55"/>
      <c r="E68" s="32"/>
      <c r="F68" s="32" t="s">
        <v>2393</v>
      </c>
      <c r="G68" s="32" t="s">
        <v>305</v>
      </c>
      <c r="H68" s="32" t="s">
        <v>322</v>
      </c>
      <c r="I68" s="32" t="s">
        <v>2394</v>
      </c>
      <c r="J68" s="32" t="s">
        <v>128</v>
      </c>
      <c r="K68" s="32" t="s">
        <v>1240</v>
      </c>
      <c r="L68" s="32"/>
    </row>
    <row r="69" ht="16.5" customHeight="1">
      <c r="A69" s="1"/>
      <c r="B69" s="32" t="s">
        <v>2395</v>
      </c>
      <c r="C69" s="55"/>
      <c r="D69" s="55"/>
      <c r="E69" s="32"/>
      <c r="F69" s="32" t="s">
        <v>2396</v>
      </c>
      <c r="G69" s="32" t="s">
        <v>329</v>
      </c>
      <c r="H69" s="32" t="s">
        <v>322</v>
      </c>
      <c r="I69" s="32" t="s">
        <v>2392</v>
      </c>
      <c r="J69" s="32" t="s">
        <v>128</v>
      </c>
      <c r="K69" s="32" t="s">
        <v>1240</v>
      </c>
      <c r="L69" s="32"/>
    </row>
    <row r="70" ht="16.5" customHeight="1">
      <c r="A70" s="1"/>
      <c r="B70" s="32" t="s">
        <v>2397</v>
      </c>
      <c r="C70" s="55"/>
      <c r="D70" s="55"/>
      <c r="E70" s="32"/>
      <c r="F70" s="32" t="s">
        <v>1867</v>
      </c>
      <c r="G70" s="32" t="s">
        <v>1917</v>
      </c>
      <c r="H70" s="32" t="s">
        <v>322</v>
      </c>
      <c r="I70" s="32" t="s">
        <v>2394</v>
      </c>
      <c r="J70" s="32" t="s">
        <v>128</v>
      </c>
      <c r="K70" s="32" t="s">
        <v>1240</v>
      </c>
      <c r="L70" s="32"/>
    </row>
    <row r="71" ht="16.5" customHeight="1">
      <c r="A71" s="1"/>
      <c r="B71" s="32" t="s">
        <v>2398</v>
      </c>
      <c r="C71" s="55"/>
      <c r="D71" s="55"/>
      <c r="E71" s="32"/>
      <c r="F71" s="32" t="s">
        <v>2400</v>
      </c>
      <c r="G71" s="32" t="s">
        <v>1862</v>
      </c>
      <c r="H71" s="32" t="s">
        <v>322</v>
      </c>
      <c r="I71" s="32" t="s">
        <v>2394</v>
      </c>
      <c r="J71" s="32" t="s">
        <v>128</v>
      </c>
      <c r="K71" s="32" t="s">
        <v>1240</v>
      </c>
      <c r="L71" s="32"/>
    </row>
    <row r="72" ht="16.5" customHeight="1">
      <c r="A72" s="1"/>
      <c r="B72" s="32" t="s">
        <v>2401</v>
      </c>
      <c r="C72" s="55"/>
      <c r="D72" s="55"/>
      <c r="E72" s="32"/>
      <c r="F72" s="32" t="s">
        <v>2402</v>
      </c>
      <c r="G72" s="32" t="s">
        <v>1889</v>
      </c>
      <c r="H72" s="32" t="s">
        <v>322</v>
      </c>
      <c r="I72" s="32" t="s">
        <v>2394</v>
      </c>
      <c r="J72" s="32" t="s">
        <v>128</v>
      </c>
      <c r="K72" s="32" t="s">
        <v>1240</v>
      </c>
      <c r="L72" s="32"/>
    </row>
    <row r="73" ht="16.5" customHeight="1">
      <c r="A73" s="1"/>
      <c r="B73" s="32" t="s">
        <v>2404</v>
      </c>
      <c r="C73" s="32"/>
      <c r="D73" s="32"/>
      <c r="E73" s="32"/>
      <c r="F73" s="32" t="s">
        <v>2405</v>
      </c>
      <c r="G73" s="32" t="s">
        <v>329</v>
      </c>
      <c r="H73" s="32" t="s">
        <v>322</v>
      </c>
      <c r="I73" s="32" t="s">
        <v>2392</v>
      </c>
      <c r="J73" s="32" t="s">
        <v>128</v>
      </c>
      <c r="K73" s="32" t="s">
        <v>1240</v>
      </c>
      <c r="L73" s="32"/>
    </row>
    <row r="74" ht="16.5" customHeight="1">
      <c r="A74" s="1"/>
      <c r="B74" s="32" t="s">
        <v>2406</v>
      </c>
      <c r="C74" s="32"/>
      <c r="D74" s="32"/>
      <c r="E74" s="32"/>
      <c r="F74" s="32" t="s">
        <v>2407</v>
      </c>
      <c r="G74" s="32" t="s">
        <v>329</v>
      </c>
      <c r="H74" s="32" t="s">
        <v>322</v>
      </c>
      <c r="I74" s="32" t="s">
        <v>2392</v>
      </c>
      <c r="J74" s="32" t="s">
        <v>128</v>
      </c>
      <c r="K74" s="32" t="s">
        <v>1240</v>
      </c>
      <c r="L74" s="32"/>
    </row>
    <row r="75" ht="16.5" customHeight="1">
      <c r="A75" s="1"/>
      <c r="B75" s="32" t="s">
        <v>2355</v>
      </c>
      <c r="C75" s="32"/>
      <c r="D75" s="32"/>
      <c r="E75" s="32"/>
      <c r="F75" s="32" t="s">
        <v>2409</v>
      </c>
      <c r="G75" s="32" t="s">
        <v>329</v>
      </c>
      <c r="H75" s="32" t="s">
        <v>322</v>
      </c>
      <c r="I75" s="32" t="s">
        <v>2392</v>
      </c>
      <c r="J75" s="32" t="s">
        <v>128</v>
      </c>
      <c r="K75" s="32" t="s">
        <v>1240</v>
      </c>
      <c r="L75" s="32"/>
    </row>
    <row r="76" ht="16.5" customHeight="1">
      <c r="A76" s="1"/>
      <c r="B76" s="32" t="s">
        <v>2356</v>
      </c>
      <c r="C76" s="32"/>
      <c r="D76" s="32"/>
      <c r="E76" s="32"/>
      <c r="F76" s="32" t="s">
        <v>2411</v>
      </c>
      <c r="G76" s="32" t="s">
        <v>322</v>
      </c>
      <c r="H76" s="32" t="s">
        <v>322</v>
      </c>
      <c r="I76" s="32" t="s">
        <v>1862</v>
      </c>
      <c r="J76" s="32" t="s">
        <v>128</v>
      </c>
      <c r="K76" s="32" t="s">
        <v>1240</v>
      </c>
      <c r="L76" s="32"/>
    </row>
    <row r="77" ht="16.5" customHeight="1">
      <c r="A77" s="1"/>
      <c r="B77" s="32" t="s">
        <v>1925</v>
      </c>
      <c r="C77" s="32"/>
      <c r="D77" s="32"/>
      <c r="E77" s="32"/>
      <c r="F77" s="32" t="s">
        <v>2412</v>
      </c>
      <c r="G77" s="32" t="s">
        <v>1926</v>
      </c>
      <c r="H77" s="32" t="s">
        <v>322</v>
      </c>
      <c r="I77" s="32" t="s">
        <v>2394</v>
      </c>
      <c r="J77" s="32" t="s">
        <v>240</v>
      </c>
      <c r="K77" s="32" t="s">
        <v>1240</v>
      </c>
      <c r="L77" s="32"/>
    </row>
    <row r="78" ht="16.5" customHeight="1">
      <c r="A78" s="1"/>
      <c r="B78" s="32" t="s">
        <v>2413</v>
      </c>
      <c r="C78" s="32"/>
      <c r="D78" s="32"/>
      <c r="E78" s="32"/>
      <c r="F78" s="32" t="s">
        <v>2414</v>
      </c>
      <c r="G78" s="32" t="s">
        <v>329</v>
      </c>
      <c r="H78" s="32" t="s">
        <v>322</v>
      </c>
      <c r="I78" s="32" t="s">
        <v>2392</v>
      </c>
      <c r="J78" s="32" t="s">
        <v>128</v>
      </c>
      <c r="K78" s="32" t="s">
        <v>1240</v>
      </c>
      <c r="L78" s="32"/>
    </row>
    <row r="79" ht="16.5" customHeight="1">
      <c r="A79" s="1"/>
      <c r="B79" s="32" t="s">
        <v>2229</v>
      </c>
      <c r="C79" s="32"/>
      <c r="D79" s="32"/>
      <c r="E79" s="32"/>
      <c r="F79" s="32" t="s">
        <v>2416</v>
      </c>
      <c r="G79" s="32" t="s">
        <v>329</v>
      </c>
      <c r="H79" s="32" t="s">
        <v>322</v>
      </c>
      <c r="I79" s="32" t="s">
        <v>2392</v>
      </c>
      <c r="J79" s="32" t="s">
        <v>128</v>
      </c>
      <c r="K79" s="32" t="s">
        <v>1240</v>
      </c>
      <c r="L79" s="32"/>
    </row>
    <row r="80" ht="16.5" customHeight="1">
      <c r="A80" s="1"/>
      <c r="B80" s="32" t="s">
        <v>2419</v>
      </c>
      <c r="C80" s="32"/>
      <c r="D80" s="32"/>
      <c r="E80" s="32"/>
      <c r="F80" s="32" t="s">
        <v>2411</v>
      </c>
      <c r="G80" s="32" t="s">
        <v>322</v>
      </c>
      <c r="H80" s="32" t="s">
        <v>322</v>
      </c>
      <c r="I80" s="32" t="s">
        <v>1862</v>
      </c>
      <c r="J80" s="32" t="s">
        <v>128</v>
      </c>
      <c r="K80" s="32" t="s">
        <v>1240</v>
      </c>
      <c r="L80" s="32"/>
    </row>
    <row r="81" ht="16.5" customHeight="1">
      <c r="A81" s="1"/>
      <c r="B81" s="32" t="s">
        <v>2234</v>
      </c>
      <c r="C81" s="32"/>
      <c r="D81" s="32"/>
      <c r="E81" s="32"/>
      <c r="F81" s="32" t="s">
        <v>2423</v>
      </c>
      <c r="G81" s="32" t="s">
        <v>329</v>
      </c>
      <c r="H81" s="32" t="s">
        <v>322</v>
      </c>
      <c r="I81" s="32" t="s">
        <v>2392</v>
      </c>
      <c r="J81" s="32" t="s">
        <v>240</v>
      </c>
      <c r="K81" s="32" t="s">
        <v>1240</v>
      </c>
      <c r="L81" s="32"/>
    </row>
    <row r="82" ht="16.5" customHeight="1">
      <c r="A82" s="1"/>
      <c r="B82" s="32" t="s">
        <v>2424</v>
      </c>
      <c r="C82" s="32"/>
      <c r="D82" s="32"/>
      <c r="E82" s="32"/>
      <c r="F82" s="32" t="s">
        <v>2425</v>
      </c>
      <c r="G82" s="32" t="s">
        <v>329</v>
      </c>
      <c r="H82" s="32" t="s">
        <v>322</v>
      </c>
      <c r="I82" s="32" t="s">
        <v>2392</v>
      </c>
      <c r="J82" s="32" t="s">
        <v>128</v>
      </c>
      <c r="K82" s="32" t="s">
        <v>1240</v>
      </c>
      <c r="L82" s="32"/>
    </row>
    <row r="83" ht="16.5" customHeight="1">
      <c r="A83" s="1"/>
      <c r="B83" s="32" t="s">
        <v>2426</v>
      </c>
      <c r="C83" s="32"/>
      <c r="D83" s="32"/>
      <c r="E83" s="32"/>
      <c r="F83" s="32" t="s">
        <v>2427</v>
      </c>
      <c r="G83" s="32" t="s">
        <v>329</v>
      </c>
      <c r="H83" s="32" t="s">
        <v>322</v>
      </c>
      <c r="I83" s="32" t="s">
        <v>2392</v>
      </c>
      <c r="J83" s="32" t="s">
        <v>240</v>
      </c>
      <c r="K83" s="32" t="s">
        <v>1240</v>
      </c>
      <c r="L83" s="32"/>
    </row>
    <row r="84" ht="16.5" customHeight="1">
      <c r="A84" s="1"/>
      <c r="B84" s="32" t="s">
        <v>2428</v>
      </c>
      <c r="C84" s="32"/>
      <c r="D84" s="32"/>
      <c r="E84" s="32"/>
      <c r="F84" s="32" t="s">
        <v>2411</v>
      </c>
      <c r="G84" s="32" t="s">
        <v>322</v>
      </c>
      <c r="H84" s="32" t="s">
        <v>322</v>
      </c>
      <c r="I84" s="32" t="s">
        <v>1862</v>
      </c>
      <c r="J84" s="32" t="s">
        <v>128</v>
      </c>
      <c r="K84" s="32" t="s">
        <v>1240</v>
      </c>
      <c r="L84" s="32"/>
    </row>
    <row r="85" ht="16.5" customHeight="1">
      <c r="A85" s="1"/>
      <c r="B85" s="32" t="s">
        <v>2433</v>
      </c>
      <c r="C85" s="32"/>
      <c r="D85" s="32"/>
      <c r="E85" s="32"/>
      <c r="F85" s="32" t="s">
        <v>2434</v>
      </c>
      <c r="G85" s="32" t="s">
        <v>329</v>
      </c>
      <c r="H85" s="32" t="s">
        <v>322</v>
      </c>
      <c r="I85" s="32" t="s">
        <v>2392</v>
      </c>
      <c r="J85" s="32" t="s">
        <v>128</v>
      </c>
      <c r="K85" s="32" t="s">
        <v>1240</v>
      </c>
      <c r="L85" s="32"/>
    </row>
    <row r="86" ht="16.5" customHeight="1">
      <c r="A86" s="1"/>
      <c r="B86" s="32" t="s">
        <v>2438</v>
      </c>
      <c r="C86" s="32"/>
      <c r="D86" s="32"/>
      <c r="E86" s="32"/>
      <c r="F86" s="32" t="s">
        <v>2439</v>
      </c>
      <c r="G86" s="32" t="s">
        <v>329</v>
      </c>
      <c r="H86" s="32" t="s">
        <v>322</v>
      </c>
      <c r="I86" s="32" t="s">
        <v>2392</v>
      </c>
      <c r="J86" s="32" t="s">
        <v>128</v>
      </c>
      <c r="K86" s="32" t="s">
        <v>1240</v>
      </c>
      <c r="L86" s="32"/>
    </row>
    <row r="87" ht="16.5" customHeight="1">
      <c r="A87" s="1"/>
      <c r="B87" s="32" t="s">
        <v>2442</v>
      </c>
      <c r="C87" s="32"/>
      <c r="D87" s="32"/>
      <c r="E87" s="32"/>
      <c r="F87" s="32"/>
      <c r="G87" s="32"/>
      <c r="H87" s="32" t="s">
        <v>322</v>
      </c>
      <c r="I87" s="32" t="s">
        <v>2392</v>
      </c>
      <c r="J87" s="32" t="s">
        <v>240</v>
      </c>
      <c r="K87" s="32" t="s">
        <v>1240</v>
      </c>
      <c r="L87" s="32"/>
    </row>
    <row r="88" ht="16.5" customHeight="1">
      <c r="A88" s="1"/>
      <c r="B88" s="32" t="s">
        <v>2445</v>
      </c>
      <c r="C88" s="32"/>
      <c r="D88" s="32"/>
      <c r="E88" s="32"/>
      <c r="F88" s="32"/>
      <c r="G88" s="32"/>
      <c r="H88" s="32" t="s">
        <v>322</v>
      </c>
      <c r="I88" s="32" t="s">
        <v>2392</v>
      </c>
      <c r="J88" s="32" t="s">
        <v>240</v>
      </c>
      <c r="K88" s="32" t="s">
        <v>1240</v>
      </c>
      <c r="L88" s="32"/>
    </row>
    <row r="89" ht="16.5" customHeight="1">
      <c r="A89" s="1"/>
      <c r="B89" s="32" t="s">
        <v>2447</v>
      </c>
      <c r="C89" s="32"/>
      <c r="D89" s="32"/>
      <c r="E89" s="32"/>
      <c r="F89" s="32"/>
      <c r="G89" s="32"/>
      <c r="H89" s="32" t="s">
        <v>322</v>
      </c>
      <c r="I89" s="32" t="s">
        <v>2392</v>
      </c>
      <c r="J89" s="32" t="s">
        <v>240</v>
      </c>
      <c r="K89" s="32" t="s">
        <v>1240</v>
      </c>
      <c r="L89" s="32"/>
    </row>
    <row r="90" ht="16.5" customHeight="1">
      <c r="A90" s="1"/>
      <c r="B90" s="116" t="s">
        <v>2448</v>
      </c>
      <c r="C90" s="32"/>
      <c r="D90" s="32"/>
      <c r="E90" s="32"/>
      <c r="F90" s="32"/>
      <c r="G90" s="32"/>
      <c r="H90" s="32" t="s">
        <v>322</v>
      </c>
      <c r="I90" s="32" t="s">
        <v>1862</v>
      </c>
      <c r="J90" s="32" t="s">
        <v>128</v>
      </c>
      <c r="K90" s="32" t="s">
        <v>1240</v>
      </c>
      <c r="L90" s="32"/>
    </row>
    <row r="91" ht="16.5" customHeight="1">
      <c r="A91" s="1"/>
      <c r="B91" s="116" t="s">
        <v>2450</v>
      </c>
      <c r="C91" s="32"/>
      <c r="D91" s="32"/>
      <c r="E91" s="32"/>
      <c r="F91" s="32"/>
      <c r="G91" s="32"/>
      <c r="H91" s="32" t="s">
        <v>322</v>
      </c>
      <c r="I91" s="32" t="s">
        <v>1862</v>
      </c>
      <c r="J91" s="32" t="s">
        <v>128</v>
      </c>
      <c r="K91" s="32" t="s">
        <v>1240</v>
      </c>
      <c r="L91" s="32"/>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L$72"/>
  <conditionalFormatting sqref="B7:L91">
    <cfRule type="expression" dxfId="11" priority="1" stopIfTrue="1">
      <formula>$J7="Not Applicable"</formula>
    </cfRule>
  </conditionalFormatting>
  <conditionalFormatting sqref="B7:L72">
    <cfRule type="expression" dxfId="7" priority="2">
      <formula>$B7="Setup"</formula>
    </cfRule>
  </conditionalFormatting>
  <conditionalFormatting sqref="B7:L72">
    <cfRule type="expression" dxfId="17" priority="3">
      <formula>$B7="Preparation"</formula>
    </cfRule>
  </conditionalFormatting>
  <conditionalFormatting sqref="B7:L72">
    <cfRule type="expression" dxfId="19" priority="4">
      <formula>$B7="Arrival"</formula>
    </cfRule>
  </conditionalFormatting>
  <conditionalFormatting sqref="B7:L72">
    <cfRule type="expression" dxfId="18" priority="5">
      <formula>$B7="Ceremony"</formula>
    </cfRule>
  </conditionalFormatting>
  <conditionalFormatting sqref="B7:L72">
    <cfRule type="expression" dxfId="22" priority="6">
      <formula>$B7="Reception"</formula>
    </cfRule>
  </conditionalFormatting>
  <conditionalFormatting sqref="B7:L72">
    <cfRule type="expression" dxfId="20" priority="7">
      <formula>$B7="Close"</formula>
    </cfRule>
  </conditionalFormatting>
  <conditionalFormatting sqref="B7:L72">
    <cfRule type="expression" dxfId="23" priority="8">
      <formula>$K7="Yes"</formula>
    </cfRule>
  </conditionalFormatting>
  <conditionalFormatting sqref="B67:I91">
    <cfRule type="expression" dxfId="3" priority="9">
      <formula>$H67="Yes"</formula>
    </cfRule>
  </conditionalFormatting>
  <conditionalFormatting sqref="B67:B91">
    <cfRule type="expression" dxfId="15" priority="10">
      <formula>LEFT($B67,8)="DO NOT P"</formula>
    </cfRule>
  </conditionalFormatting>
  <dataValidations>
    <dataValidation type="list" allowBlank="1" sqref="I67:I91">
      <formula1>"Live,Recorded,-"</formula1>
    </dataValidation>
    <dataValidation type="list" allowBlank="1" sqref="J67:J91">
      <formula1>"Required,Optional,Not Applicable"</formula1>
    </dataValidation>
    <dataValidation type="list" allowBlank="1" sqref="B7:B72">
      <formula1>"Setup,Preparation,Arrival,Ceremony,Reception,Close"</formula1>
    </dataValidation>
    <dataValidation type="list" allowBlank="1" sqref="J7:J66">
      <formula1>"Required,Optional,Not Applicable,Completed"</formula1>
    </dataValidation>
    <dataValidation type="list" allowBlank="1" sqref="K7:K91">
      <formula1>"Yes,No"</formula1>
    </dataValidation>
  </dataValidations>
  <printOptions horizontalCentered="1"/>
  <pageMargins bottom="0.4" footer="0.0" header="0.0" left="0.3" right="0.3" top="0.4"/>
  <pageSetup fitToHeight="0" orientation="landscape"/>
  <headerFooter>
    <oddFooter>&amp;C 20 Day Timeline   -   page &amp;P of </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1.86"/>
    <col customWidth="1" min="3" max="3" width="25.86"/>
    <col customWidth="1" min="4" max="4" width="27.86"/>
    <col customWidth="1" min="5" max="5" width="12.86"/>
    <col customWidth="1" min="6" max="6" width="13.86"/>
    <col customWidth="1" min="7" max="7" width="12.86"/>
    <col customWidth="1" min="8" max="9" width="13.86"/>
    <col customWidth="1" min="10" max="10" width="11.86"/>
    <col customWidth="1" min="11" max="12" width="23.57"/>
    <col customWidth="1" min="13" max="13" width="17.14"/>
    <col customWidth="1" min="14" max="14" width="11.86"/>
    <col customWidth="1" min="15" max="15" width="12.86"/>
    <col customWidth="1" min="16" max="16" width="32.14"/>
  </cols>
  <sheetData>
    <row r="1" ht="16.5" customHeight="1">
      <c r="A1" s="1"/>
      <c r="B1" s="1"/>
      <c r="C1" s="1"/>
      <c r="D1" s="1"/>
      <c r="E1" s="1"/>
      <c r="F1" s="1"/>
      <c r="G1" s="1"/>
      <c r="H1" s="1"/>
      <c r="I1" s="1"/>
      <c r="J1" s="1"/>
      <c r="K1" s="1"/>
      <c r="L1" s="1"/>
      <c r="M1" s="1"/>
      <c r="N1" s="1"/>
      <c r="O1" s="1"/>
      <c r="P1" s="1"/>
    </row>
    <row r="2" ht="33.75" customHeight="1">
      <c r="A2" s="2"/>
      <c r="B2" s="2" t="s">
        <v>2292</v>
      </c>
      <c r="C2" s="2"/>
      <c r="D2" s="2"/>
      <c r="E2" s="2"/>
      <c r="F2" s="2"/>
      <c r="G2" s="2"/>
      <c r="H2" s="2"/>
      <c r="I2" s="2"/>
      <c r="J2" s="2"/>
      <c r="K2" s="2"/>
      <c r="L2" s="2"/>
      <c r="M2" s="2"/>
      <c r="N2" s="2"/>
      <c r="O2" s="2"/>
      <c r="P2" s="2"/>
    </row>
    <row r="3" ht="15.75" customHeight="1">
      <c r="A3" s="3"/>
      <c r="B3" s="3" t="s">
        <v>2293</v>
      </c>
      <c r="C3" s="3"/>
      <c r="D3" s="3"/>
      <c r="E3" s="3"/>
      <c r="F3" s="3"/>
      <c r="G3" s="3"/>
      <c r="H3" s="3"/>
      <c r="I3" s="3"/>
      <c r="J3" s="3"/>
      <c r="K3" s="3"/>
      <c r="L3" s="3"/>
      <c r="M3" s="3"/>
      <c r="N3" s="3"/>
      <c r="O3" s="3"/>
      <c r="P3" s="3"/>
    </row>
    <row r="4" ht="16.5" customHeight="1">
      <c r="A4" s="1"/>
      <c r="B4" s="1"/>
      <c r="C4" s="1"/>
      <c r="D4" s="1"/>
      <c r="E4" s="1"/>
      <c r="F4" s="1"/>
      <c r="G4" s="1"/>
      <c r="H4" s="1"/>
      <c r="I4" s="1"/>
      <c r="J4" s="1"/>
      <c r="K4" s="1"/>
      <c r="L4" s="1"/>
      <c r="M4" s="1"/>
      <c r="N4" s="1"/>
      <c r="O4" s="1"/>
      <c r="P4" s="1"/>
    </row>
    <row r="5" ht="16.5" customHeight="1">
      <c r="A5" s="1"/>
      <c r="B5" s="1"/>
      <c r="C5" s="1"/>
      <c r="D5" s="1"/>
      <c r="E5" s="1"/>
      <c r="F5" s="1"/>
      <c r="G5" s="1"/>
      <c r="H5" s="1"/>
      <c r="I5" s="1"/>
      <c r="J5" s="1"/>
      <c r="K5" s="1"/>
      <c r="L5" s="1"/>
      <c r="M5" s="1"/>
      <c r="N5" s="1"/>
      <c r="O5" s="1"/>
      <c r="P5" s="1"/>
    </row>
    <row r="6" ht="30.0" customHeight="1">
      <c r="A6" s="16"/>
      <c r="B6" s="17" t="s">
        <v>2156</v>
      </c>
      <c r="C6" s="17" t="s">
        <v>66</v>
      </c>
      <c r="D6" s="17" t="s">
        <v>2093</v>
      </c>
      <c r="E6" s="17" t="s">
        <v>2297</v>
      </c>
      <c r="F6" s="17" t="s">
        <v>199</v>
      </c>
      <c r="G6" s="17" t="s">
        <v>2298</v>
      </c>
      <c r="H6" s="17" t="s">
        <v>2299</v>
      </c>
      <c r="I6" s="17" t="s">
        <v>2301</v>
      </c>
      <c r="J6" s="17" t="s">
        <v>2302</v>
      </c>
      <c r="K6" s="17" t="s">
        <v>2303</v>
      </c>
      <c r="L6" s="17" t="s">
        <v>182</v>
      </c>
      <c r="M6" s="17" t="s">
        <v>183</v>
      </c>
      <c r="N6" s="17" t="s">
        <v>2306</v>
      </c>
      <c r="O6" s="17" t="s">
        <v>2308</v>
      </c>
      <c r="P6" s="17" t="s">
        <v>50</v>
      </c>
    </row>
    <row r="7" ht="16.5" customHeight="1">
      <c r="A7" s="1"/>
      <c r="B7" s="55">
        <v>0.2916666666666667</v>
      </c>
      <c r="C7" s="32" t="s">
        <v>360</v>
      </c>
      <c r="D7" s="32" t="s">
        <v>2309</v>
      </c>
      <c r="E7" s="55">
        <v>0.2916666666666667</v>
      </c>
      <c r="F7" s="55">
        <v>0.3125</v>
      </c>
      <c r="G7" s="55">
        <v>0.2916666666666667</v>
      </c>
      <c r="H7" s="55">
        <v>0.02083333333333333</v>
      </c>
      <c r="I7" s="55">
        <v>0.01041666666666667</v>
      </c>
      <c r="J7" s="55">
        <v>0.03125</v>
      </c>
      <c r="K7" s="32" t="s">
        <v>2312</v>
      </c>
      <c r="L7" s="33" t="str">
        <f t="array" ref="L7">IFERROR(INDEX('05 Vendors'!$E$7:$E$200,MATCH($C7,'05 Vendors'!$C$7:$C$200,0))&amp;"","")</f>
        <v/>
      </c>
      <c r="M7" s="113" t="str">
        <f t="array" ref="M7">IFERROR(INDEX('05 Vendors'!$F$7:$F$200,MATCH($C7,'05 Vendors'!$C$7:$C$200,0))&amp;"","")</f>
        <v/>
      </c>
      <c r="N7" s="32" t="s">
        <v>1240</v>
      </c>
      <c r="O7" s="32" t="s">
        <v>1240</v>
      </c>
      <c r="P7" s="32"/>
    </row>
    <row r="8" ht="16.5" customHeight="1">
      <c r="A8" s="1"/>
      <c r="B8" s="55">
        <v>0.3333333333333333</v>
      </c>
      <c r="C8" s="32" t="s">
        <v>278</v>
      </c>
      <c r="D8" s="32" t="s">
        <v>2319</v>
      </c>
      <c r="E8" s="55">
        <v>0.3333333333333333</v>
      </c>
      <c r="F8" s="55">
        <v>0.7083333333333334</v>
      </c>
      <c r="G8" s="55">
        <v>0.7083333333333334</v>
      </c>
      <c r="H8" s="55">
        <v>0.9791666666666666</v>
      </c>
      <c r="I8" s="55">
        <v>0.0</v>
      </c>
      <c r="J8" s="55">
        <v>0.04166666666666666</v>
      </c>
      <c r="K8" s="32" t="s">
        <v>65</v>
      </c>
      <c r="L8" s="33" t="str">
        <f t="array" ref="L8">IFERROR(INDEX('05 Vendors'!$E$7:$E$200,MATCH($C8,'05 Vendors'!$C$7:$C$200,0))&amp;"","")</f>
        <v/>
      </c>
      <c r="M8" s="113" t="str">
        <f t="array" ref="M8">IFERROR(INDEX('05 Vendors'!$F$7:$F$200,MATCH($C8,'05 Vendors'!$C$7:$C$200,0))&amp;"","")</f>
        <v/>
      </c>
      <c r="N8" s="32" t="s">
        <v>1240</v>
      </c>
      <c r="O8" s="32" t="s">
        <v>1240</v>
      </c>
      <c r="P8" s="32"/>
    </row>
    <row r="9" ht="16.5" customHeight="1">
      <c r="A9" s="1"/>
      <c r="B9" s="55">
        <v>0.4583333333333333</v>
      </c>
      <c r="C9" s="32" t="s">
        <v>353</v>
      </c>
      <c r="D9" s="32" t="s">
        <v>2325</v>
      </c>
      <c r="E9" s="55">
        <v>0.4583333333333333</v>
      </c>
      <c r="F9" s="55">
        <v>0.5208333333333334</v>
      </c>
      <c r="G9" s="55">
        <v>0.75</v>
      </c>
      <c r="H9" s="55">
        <v>0.9791666666666666</v>
      </c>
      <c r="I9" s="55">
        <v>0.0</v>
      </c>
      <c r="J9" s="55">
        <v>0.03125</v>
      </c>
      <c r="K9" s="32" t="s">
        <v>2327</v>
      </c>
      <c r="L9" s="33" t="str">
        <f t="array" ref="L9">IFERROR(INDEX('05 Vendors'!$E$7:$E$200,MATCH($C9,'05 Vendors'!$C$7:$C$200,0))&amp;"","")</f>
        <v/>
      </c>
      <c r="M9" s="113" t="str">
        <f t="array" ref="M9">IFERROR(INDEX('05 Vendors'!$F$7:$F$200,MATCH($C9,'05 Vendors'!$C$7:$C$200,0))&amp;"","")</f>
        <v/>
      </c>
      <c r="N9" s="32" t="s">
        <v>1240</v>
      </c>
      <c r="O9" s="32" t="s">
        <v>1240</v>
      </c>
      <c r="P9" s="32"/>
    </row>
    <row r="10" ht="16.5" customHeight="1">
      <c r="A10" s="1"/>
      <c r="B10" s="55">
        <v>0.5416666666666666</v>
      </c>
      <c r="C10" s="32" t="s">
        <v>245</v>
      </c>
      <c r="D10" s="32" t="s">
        <v>2332</v>
      </c>
      <c r="E10" s="55">
        <v>0.5416666666666666</v>
      </c>
      <c r="F10" s="55">
        <v>0.5625</v>
      </c>
      <c r="G10" s="55">
        <v>0.5625</v>
      </c>
      <c r="H10" s="55">
        <v>0.7604166666666666</v>
      </c>
      <c r="I10" s="55"/>
      <c r="J10" s="55">
        <v>0.7708333333333334</v>
      </c>
      <c r="K10" s="32" t="s">
        <v>2136</v>
      </c>
      <c r="L10" s="33" t="str">
        <f t="array" ref="L10">IFERROR(INDEX('05 Vendors'!$E$7:$E$200,MATCH($C10,'05 Vendors'!$C$7:$C$200,0))&amp;"","")</f>
        <v/>
      </c>
      <c r="M10" s="113" t="str">
        <f t="array" ref="M10">IFERROR(INDEX('05 Vendors'!$F$7:$F$200,MATCH($C10,'05 Vendors'!$C$7:$C$200,0))&amp;"","")</f>
        <v/>
      </c>
      <c r="N10" s="32" t="s">
        <v>1240</v>
      </c>
      <c r="O10" s="32" t="s">
        <v>1240</v>
      </c>
      <c r="P10" s="32"/>
    </row>
    <row r="11" ht="16.5" customHeight="1">
      <c r="A11" s="1"/>
      <c r="B11" s="55">
        <v>0.5833333333333334</v>
      </c>
      <c r="C11" s="32" t="s">
        <v>2307</v>
      </c>
      <c r="D11" s="32" t="s">
        <v>2340</v>
      </c>
      <c r="E11" s="55">
        <v>0.5833333333333334</v>
      </c>
      <c r="F11" s="55">
        <v>0.6666666666666666</v>
      </c>
      <c r="G11" s="55">
        <v>0.6666666666666666</v>
      </c>
      <c r="H11" s="55"/>
      <c r="I11" s="55"/>
      <c r="J11" s="55">
        <v>0.6875</v>
      </c>
      <c r="K11" s="32" t="s">
        <v>2342</v>
      </c>
      <c r="L11" s="33" t="str">
        <f t="array" ref="L11">IFERROR(INDEX('05 Vendors'!$E$7:$E$200,MATCH($C11,'05 Vendors'!$C$7:$C$200,0))&amp;"","")</f>
        <v/>
      </c>
      <c r="M11" s="113" t="str">
        <f t="array" ref="M11">IFERROR(INDEX('05 Vendors'!$F$7:$F$200,MATCH($C11,'05 Vendors'!$C$7:$C$200,0))&amp;"","")</f>
        <v/>
      </c>
      <c r="N11" s="32" t="s">
        <v>1240</v>
      </c>
      <c r="O11" s="32" t="s">
        <v>1240</v>
      </c>
      <c r="P11" s="32"/>
    </row>
    <row r="12" ht="16.5" customHeight="1">
      <c r="A12" s="1"/>
      <c r="B12" s="55">
        <v>0.6041666666666666</v>
      </c>
      <c r="C12" s="32" t="s">
        <v>228</v>
      </c>
      <c r="D12" s="32" t="s">
        <v>2349</v>
      </c>
      <c r="E12" s="55"/>
      <c r="F12" s="55"/>
      <c r="G12" s="55">
        <v>0.6041666666666666</v>
      </c>
      <c r="H12" s="55">
        <v>0.9791666666666666</v>
      </c>
      <c r="I12" s="55"/>
      <c r="J12" s="55">
        <v>0.9895833333333334</v>
      </c>
      <c r="K12" s="32" t="s">
        <v>2352</v>
      </c>
      <c r="L12" s="33" t="str">
        <f t="array" ref="L12">IFERROR(INDEX('05 Vendors'!$E$7:$E$200,MATCH($C12,'05 Vendors'!$C$7:$C$200,0))&amp;"","")</f>
        <v/>
      </c>
      <c r="M12" s="113" t="str">
        <f t="array" ref="M12">IFERROR(INDEX('05 Vendors'!$F$7:$F$200,MATCH($C12,'05 Vendors'!$C$7:$C$200,0))&amp;"","")</f>
        <v/>
      </c>
      <c r="N12" s="32" t="s">
        <v>1240</v>
      </c>
      <c r="O12" s="32" t="s">
        <v>1240</v>
      </c>
      <c r="P12" s="32"/>
    </row>
    <row r="13" ht="16.5" customHeight="1">
      <c r="A13" s="1"/>
      <c r="B13" s="55">
        <v>0.6041666666666666</v>
      </c>
      <c r="C13" s="32" t="s">
        <v>237</v>
      </c>
      <c r="D13" s="32" t="s">
        <v>2349</v>
      </c>
      <c r="E13" s="55"/>
      <c r="F13" s="55"/>
      <c r="G13" s="55">
        <v>0.6041666666666666</v>
      </c>
      <c r="H13" s="55">
        <v>0.9791666666666666</v>
      </c>
      <c r="I13" s="55"/>
      <c r="J13" s="55">
        <v>0.9895833333333334</v>
      </c>
      <c r="K13" s="32" t="s">
        <v>2352</v>
      </c>
      <c r="L13" s="33" t="str">
        <f t="array" ref="L13">IFERROR(INDEX('05 Vendors'!$E$7:$E$200,MATCH($C13,'05 Vendors'!$C$7:$C$200,0))&amp;"","")</f>
        <v/>
      </c>
      <c r="M13" s="113" t="str">
        <f t="array" ref="M13">IFERROR(INDEX('05 Vendors'!$F$7:$F$200,MATCH($C13,'05 Vendors'!$C$7:$C$200,0))&amp;"","")</f>
        <v/>
      </c>
      <c r="N13" s="32" t="s">
        <v>1240</v>
      </c>
      <c r="O13" s="32" t="s">
        <v>1240</v>
      </c>
      <c r="P13" s="32"/>
    </row>
    <row r="14" ht="16.5" customHeight="1">
      <c r="A14" s="1"/>
      <c r="B14" s="55">
        <v>0.6458333333333334</v>
      </c>
      <c r="C14" s="32" t="s">
        <v>284</v>
      </c>
      <c r="D14" s="32" t="s">
        <v>2361</v>
      </c>
      <c r="E14" s="55">
        <v>0.6458333333333334</v>
      </c>
      <c r="F14" s="55">
        <v>0.6666666666666666</v>
      </c>
      <c r="G14" s="55"/>
      <c r="H14" s="55"/>
      <c r="I14" s="55"/>
      <c r="J14" s="55">
        <v>0.6770833333333334</v>
      </c>
      <c r="K14" s="32" t="s">
        <v>2230</v>
      </c>
      <c r="L14" s="33" t="str">
        <f t="array" ref="L14">IFERROR(INDEX('05 Vendors'!$E$7:$E$200,MATCH($C14,'05 Vendors'!$C$7:$C$200,0))&amp;"","")</f>
        <v/>
      </c>
      <c r="M14" s="113" t="str">
        <f t="array" ref="M14">IFERROR(INDEX('05 Vendors'!$F$7:$F$200,MATCH($C14,'05 Vendors'!$C$7:$C$200,0))&amp;"","")</f>
        <v/>
      </c>
      <c r="N14" s="32" t="s">
        <v>1240</v>
      </c>
      <c r="O14" s="32" t="s">
        <v>1240</v>
      </c>
      <c r="P14" s="32"/>
    </row>
    <row r="15" ht="16.5" customHeight="1">
      <c r="A15" s="1"/>
      <c r="B15" s="55">
        <v>0.7083333333333334</v>
      </c>
      <c r="C15" s="32" t="s">
        <v>297</v>
      </c>
      <c r="D15" s="32" t="s">
        <v>2366</v>
      </c>
      <c r="E15" s="55">
        <v>0.7083333333333334</v>
      </c>
      <c r="F15" s="55">
        <v>0.7708333333333334</v>
      </c>
      <c r="G15" s="55">
        <v>0.7916666666666666</v>
      </c>
      <c r="H15" s="55">
        <v>0.875</v>
      </c>
      <c r="I15" s="55"/>
      <c r="J15" s="55">
        <v>0.8958333333333334</v>
      </c>
      <c r="K15" s="32" t="s">
        <v>2368</v>
      </c>
      <c r="L15" s="33" t="str">
        <f t="array" ref="L15">IFERROR(INDEX('05 Vendors'!$E$7:$E$200,MATCH($C15,'05 Vendors'!$C$7:$C$200,0))&amp;"","")</f>
        <v/>
      </c>
      <c r="M15" s="113" t="str">
        <f t="array" ref="M15">IFERROR(INDEX('05 Vendors'!$F$7:$F$200,MATCH($C15,'05 Vendors'!$C$7:$C$200,0))&amp;"","")</f>
        <v/>
      </c>
      <c r="N15" s="32" t="s">
        <v>1240</v>
      </c>
      <c r="O15" s="32" t="s">
        <v>1240</v>
      </c>
      <c r="P15" s="32"/>
    </row>
    <row r="16" ht="16.5" customHeight="1">
      <c r="A16" s="1"/>
      <c r="B16" s="55">
        <v>0.7083333333333334</v>
      </c>
      <c r="C16" s="32" t="s">
        <v>305</v>
      </c>
      <c r="D16" s="32" t="s">
        <v>2372</v>
      </c>
      <c r="E16" s="55">
        <v>0.7083333333333334</v>
      </c>
      <c r="F16" s="55">
        <v>0.7708333333333334</v>
      </c>
      <c r="G16" s="55">
        <v>0.78125</v>
      </c>
      <c r="H16" s="55">
        <v>0.8020833333333334</v>
      </c>
      <c r="I16" s="55"/>
      <c r="J16" s="55">
        <v>0.8958333333333334</v>
      </c>
      <c r="K16" s="32" t="s">
        <v>1882</v>
      </c>
      <c r="L16" s="33" t="str">
        <f t="array" ref="L16">IFERROR(INDEX('05 Vendors'!$E$7:$E$200,MATCH($C16,'05 Vendors'!$C$7:$C$200,0))&amp;"","")</f>
        <v/>
      </c>
      <c r="M16" s="113" t="str">
        <f t="array" ref="M16">IFERROR(INDEX('05 Vendors'!$F$7:$F$200,MATCH($C16,'05 Vendors'!$C$7:$C$200,0))&amp;"","")</f>
        <v/>
      </c>
      <c r="N16" s="32" t="s">
        <v>1240</v>
      </c>
      <c r="O16" s="32" t="s">
        <v>1240</v>
      </c>
      <c r="P16" s="32"/>
    </row>
    <row r="17" ht="16.5" customHeight="1">
      <c r="A17" s="1"/>
      <c r="B17" s="55">
        <v>0.7083333333333334</v>
      </c>
      <c r="C17" s="32" t="s">
        <v>338</v>
      </c>
      <c r="D17" s="32" t="s">
        <v>2379</v>
      </c>
      <c r="E17" s="55"/>
      <c r="F17" s="55"/>
      <c r="G17" s="55">
        <v>0.5416666666666666</v>
      </c>
      <c r="H17" s="55">
        <v>0.04166666666666666</v>
      </c>
      <c r="I17" s="55"/>
      <c r="J17" s="55">
        <v>0.04166666666666666</v>
      </c>
      <c r="K17" s="32" t="s">
        <v>2380</v>
      </c>
      <c r="L17" s="33" t="str">
        <f t="array" ref="L17">IFERROR(INDEX('05 Vendors'!$E$7:$E$200,MATCH($C17,'05 Vendors'!$C$7:$C$200,0))&amp;"","")</f>
        <v/>
      </c>
      <c r="M17" s="113" t="str">
        <f t="array" ref="M17">IFERROR(INDEX('05 Vendors'!$F$7:$F$200,MATCH($C17,'05 Vendors'!$C$7:$C$200,0))&amp;"","")</f>
        <v/>
      </c>
      <c r="N17" s="32" t="s">
        <v>1240</v>
      </c>
      <c r="O17" s="32" t="s">
        <v>1240</v>
      </c>
      <c r="P17" s="32"/>
    </row>
    <row r="18" ht="16.5" customHeight="1">
      <c r="A18" s="1"/>
      <c r="B18" s="55">
        <v>0.7291666666666666</v>
      </c>
      <c r="C18" s="32" t="s">
        <v>322</v>
      </c>
      <c r="D18" s="32" t="s">
        <v>2386</v>
      </c>
      <c r="E18" s="55"/>
      <c r="F18" s="55"/>
      <c r="G18" s="55">
        <v>0.78125</v>
      </c>
      <c r="H18" s="55">
        <v>0.9791666666666666</v>
      </c>
      <c r="I18" s="55"/>
      <c r="J18" s="55">
        <v>0.9895833333333334</v>
      </c>
      <c r="K18" s="32" t="s">
        <v>2181</v>
      </c>
      <c r="L18" s="33" t="str">
        <f t="array" ref="L18">IFERROR(INDEX('05 Vendors'!$E$7:$E$200,MATCH($C18,'05 Vendors'!$C$7:$C$200,0))&amp;"","")</f>
        <v/>
      </c>
      <c r="M18" s="113" t="str">
        <f t="array" ref="M18">IFERROR(INDEX('05 Vendors'!$F$7:$F$200,MATCH($C18,'05 Vendors'!$C$7:$C$200,0))&amp;"","")</f>
        <v/>
      </c>
      <c r="N18" s="32" t="s">
        <v>1240</v>
      </c>
      <c r="O18" s="32" t="s">
        <v>1240</v>
      </c>
      <c r="P18" s="32"/>
    </row>
    <row r="19" ht="16.5" customHeight="1">
      <c r="A19" s="1"/>
      <c r="B19" s="55">
        <v>0.7291666666666666</v>
      </c>
      <c r="C19" s="32" t="s">
        <v>329</v>
      </c>
      <c r="D19" s="32" t="s">
        <v>2399</v>
      </c>
      <c r="E19" s="55">
        <v>0.7291666666666666</v>
      </c>
      <c r="F19" s="55">
        <v>0.7604166666666666</v>
      </c>
      <c r="G19" s="55">
        <v>0.8298611111111112</v>
      </c>
      <c r="H19" s="55">
        <v>0.9791666666666666</v>
      </c>
      <c r="I19" s="55">
        <v>0.9791666666666666</v>
      </c>
      <c r="J19" s="55">
        <v>0.01041666666666667</v>
      </c>
      <c r="K19" s="32" t="s">
        <v>2259</v>
      </c>
      <c r="L19" s="33" t="str">
        <f t="array" ref="L19">IFERROR(INDEX('05 Vendors'!$E$7:$E$200,MATCH($C19,'05 Vendors'!$C$7:$C$200,0))&amp;"","")</f>
        <v/>
      </c>
      <c r="M19" s="113" t="str">
        <f t="array" ref="M19">IFERROR(INDEX('05 Vendors'!$F$7:$F$200,MATCH($C19,'05 Vendors'!$C$7:$C$200,0))&amp;"","")</f>
        <v/>
      </c>
      <c r="N19" s="32" t="s">
        <v>1240</v>
      </c>
      <c r="O19" s="32" t="s">
        <v>1240</v>
      </c>
      <c r="P19" s="32"/>
    </row>
    <row r="20" ht="16.5" customHeight="1">
      <c r="A20" s="1"/>
      <c r="B20" s="55">
        <v>0.7291666666666666</v>
      </c>
      <c r="C20" s="32" t="s">
        <v>219</v>
      </c>
      <c r="D20" s="32" t="s">
        <v>2408</v>
      </c>
      <c r="E20" s="55">
        <v>0.7291666666666666</v>
      </c>
      <c r="F20" s="55">
        <v>0.75</v>
      </c>
      <c r="G20" s="55">
        <v>0.75</v>
      </c>
      <c r="H20" s="55">
        <v>0.9791666666666666</v>
      </c>
      <c r="I20" s="55">
        <v>0.9791666666666666</v>
      </c>
      <c r="J20" s="55">
        <v>0.04166666666666666</v>
      </c>
      <c r="K20" s="32" t="s">
        <v>2410</v>
      </c>
      <c r="L20" s="33" t="str">
        <f t="array" ref="L20">IFERROR(INDEX('05 Vendors'!$E$7:$E$200,MATCH($C20,'05 Vendors'!$C$7:$C$200,0))&amp;"","")</f>
        <v/>
      </c>
      <c r="M20" s="113" t="str">
        <f t="array" ref="M20">IFERROR(INDEX('05 Vendors'!$F$7:$F$200,MATCH($C20,'05 Vendors'!$C$7:$C$200,0))&amp;"","")</f>
        <v/>
      </c>
      <c r="N20" s="32" t="s">
        <v>1240</v>
      </c>
      <c r="O20" s="32" t="s">
        <v>1240</v>
      </c>
      <c r="P20" s="32"/>
    </row>
    <row r="21" ht="16.5" customHeight="1">
      <c r="A21" s="1"/>
      <c r="B21" s="55">
        <v>0.75</v>
      </c>
      <c r="C21" s="32" t="s">
        <v>206</v>
      </c>
      <c r="D21" s="32" t="s">
        <v>2417</v>
      </c>
      <c r="E21" s="55"/>
      <c r="F21" s="55"/>
      <c r="G21" s="55">
        <v>0.2916666666666667</v>
      </c>
      <c r="H21" s="55">
        <v>0.04166666666666666</v>
      </c>
      <c r="I21" s="55"/>
      <c r="J21" s="55"/>
      <c r="K21" s="32" t="s">
        <v>2312</v>
      </c>
      <c r="L21" s="33" t="str">
        <f t="array" ref="L21">IFERROR(INDEX('05 Vendors'!$E$7:$E$200,MATCH($C21,'05 Vendors'!$C$7:$C$200,0))&amp;"","")</f>
        <v/>
      </c>
      <c r="M21" s="113" t="str">
        <f t="array" ref="M21">IFERROR(INDEX('05 Vendors'!$F$7:$F$200,MATCH($C21,'05 Vendors'!$C$7:$C$200,0))&amp;"","")</f>
        <v/>
      </c>
      <c r="N21" s="32" t="s">
        <v>1240</v>
      </c>
      <c r="O21" s="32" t="s">
        <v>1240</v>
      </c>
      <c r="P21" s="32"/>
    </row>
    <row r="22" ht="16.5" customHeight="1">
      <c r="A22" s="1"/>
      <c r="B22" s="55">
        <v>0.7708333333333334</v>
      </c>
      <c r="C22" s="32" t="s">
        <v>313</v>
      </c>
      <c r="D22" s="32" t="s">
        <v>2431</v>
      </c>
      <c r="E22" s="55">
        <v>0.7708333333333334</v>
      </c>
      <c r="F22" s="55">
        <v>0.7847222222222222</v>
      </c>
      <c r="G22" s="55">
        <v>0.7916666666666666</v>
      </c>
      <c r="H22" s="55">
        <v>0.8125</v>
      </c>
      <c r="I22" s="55"/>
      <c r="J22" s="55">
        <v>0.8229166666666666</v>
      </c>
      <c r="K22" s="32" t="s">
        <v>1861</v>
      </c>
      <c r="L22" s="33" t="str">
        <f t="array" ref="L22">IFERROR(INDEX('05 Vendors'!$E$7:$E$200,MATCH($C22,'05 Vendors'!$C$7:$C$200,0))&amp;"","")</f>
        <v/>
      </c>
      <c r="M22" s="113" t="str">
        <f t="array" ref="M22">IFERROR(INDEX('05 Vendors'!$F$7:$F$200,MATCH($C22,'05 Vendors'!$C$7:$C$200,0))&amp;"","")</f>
        <v/>
      </c>
      <c r="N22" s="32" t="s">
        <v>1240</v>
      </c>
      <c r="O22" s="32" t="s">
        <v>1240</v>
      </c>
      <c r="P22" s="32"/>
    </row>
    <row r="23" ht="16.5" customHeight="1">
      <c r="A23" s="1"/>
      <c r="B23" s="55">
        <v>0.78125</v>
      </c>
      <c r="C23" s="32" t="s">
        <v>1946</v>
      </c>
      <c r="D23" s="32" t="s">
        <v>2449</v>
      </c>
      <c r="E23" s="55"/>
      <c r="F23" s="55"/>
      <c r="G23" s="55">
        <v>0.8090277777777778</v>
      </c>
      <c r="H23" s="55">
        <v>0.8263888888888888</v>
      </c>
      <c r="I23" s="55"/>
      <c r="J23" s="55">
        <v>0.8333333333333334</v>
      </c>
      <c r="K23" s="32" t="s">
        <v>1904</v>
      </c>
      <c r="L23" s="33" t="str">
        <f t="array" ref="L23">IFERROR(INDEX('05 Vendors'!$E$7:$E$200,MATCH($C23,'05 Vendors'!$C$7:$C$200,0))&amp;"","")</f>
        <v/>
      </c>
      <c r="M23" s="113" t="str">
        <f t="array" ref="M23">IFERROR(INDEX('05 Vendors'!$F$7:$F$200,MATCH($C23,'05 Vendors'!$C$7:$C$200,0))&amp;"","")</f>
        <v/>
      </c>
      <c r="N23" s="32" t="s">
        <v>1240</v>
      </c>
      <c r="O23" s="32" t="s">
        <v>1240</v>
      </c>
      <c r="P23" s="32"/>
    </row>
    <row r="24" ht="16.5" customHeight="1">
      <c r="A24" s="1"/>
      <c r="B24" s="55"/>
      <c r="C24" s="32"/>
      <c r="D24" s="32"/>
      <c r="E24" s="55"/>
      <c r="F24" s="55"/>
      <c r="G24" s="55"/>
      <c r="H24" s="55"/>
      <c r="I24" s="55"/>
      <c r="J24" s="55"/>
      <c r="K24" s="32"/>
      <c r="L24" s="33" t="str">
        <f t="array" ref="L24">IFERROR(INDEX('05 Vendors'!$E$7:$E$200,MATCH($C24,'05 Vendors'!$C$7:$C$200,0))&amp;"","")</f>
        <v/>
      </c>
      <c r="M24" s="113" t="str">
        <f t="array" ref="M24">IFERROR(INDEX('05 Vendors'!$F$7:$F$200,MATCH($C24,'05 Vendors'!$C$7:$C$200,0))&amp;"","")</f>
        <v/>
      </c>
      <c r="N24" s="32"/>
      <c r="O24" s="32"/>
      <c r="P24" s="32"/>
    </row>
    <row r="25" ht="16.5" customHeight="1">
      <c r="A25" s="1"/>
      <c r="B25" s="55"/>
      <c r="C25" s="32"/>
      <c r="D25" s="32"/>
      <c r="E25" s="55"/>
      <c r="F25" s="55"/>
      <c r="G25" s="55"/>
      <c r="H25" s="55"/>
      <c r="I25" s="55"/>
      <c r="J25" s="55"/>
      <c r="K25" s="32"/>
      <c r="L25" s="33" t="str">
        <f t="array" ref="L25">IFERROR(INDEX('05 Vendors'!$E$7:$E$200,MATCH($C25,'05 Vendors'!$C$7:$C$200,0)),"")</f>
        <v/>
      </c>
      <c r="M25" s="33" t="str">
        <f t="array" ref="M25">IFERROR(INDEX('05 Vendors'!$F$7:$F$200,MATCH($C25,'05 Vendors'!$C$7:$C$200,0)),"")</f>
        <v/>
      </c>
      <c r="N25" s="32"/>
      <c r="O25" s="32"/>
      <c r="P25" s="32"/>
    </row>
    <row r="26" ht="16.5" customHeight="1">
      <c r="A26" s="1"/>
      <c r="B26" s="55"/>
      <c r="C26" s="32"/>
      <c r="D26" s="32"/>
      <c r="E26" s="55"/>
      <c r="F26" s="55"/>
      <c r="G26" s="55"/>
      <c r="H26" s="55"/>
      <c r="I26" s="55"/>
      <c r="J26" s="55"/>
      <c r="K26" s="32"/>
      <c r="L26" s="33" t="str">
        <f t="array" ref="L26">IFERROR(INDEX('05 Vendors'!$E$7:$E$200,MATCH($C26,'05 Vendors'!$C$7:$C$200,0)),"")</f>
        <v/>
      </c>
      <c r="M26" s="33" t="str">
        <f t="array" ref="M26">IFERROR(INDEX('05 Vendors'!$F$7:$F$200,MATCH($C26,'05 Vendors'!$C$7:$C$200,0)),"")</f>
        <v/>
      </c>
      <c r="N26" s="32"/>
      <c r="O26" s="32"/>
      <c r="P26" s="32"/>
    </row>
    <row r="27" ht="16.5" customHeight="1">
      <c r="A27" s="1"/>
      <c r="B27" s="55"/>
      <c r="C27" s="32"/>
      <c r="D27" s="32"/>
      <c r="E27" s="55"/>
      <c r="F27" s="55"/>
      <c r="G27" s="55"/>
      <c r="H27" s="55"/>
      <c r="I27" s="55"/>
      <c r="J27" s="55"/>
      <c r="K27" s="32"/>
      <c r="L27" s="33" t="str">
        <f t="array" ref="L27">IFERROR(INDEX('05 Vendors'!$E$7:$E$200,MATCH($C27,'05 Vendors'!$C$7:$C$200,0)),"")</f>
        <v/>
      </c>
      <c r="M27" s="33" t="str">
        <f t="array" ref="M27">IFERROR(INDEX('05 Vendors'!$F$7:$F$200,MATCH($C27,'05 Vendors'!$C$7:$C$200,0)),"")</f>
        <v/>
      </c>
      <c r="N27" s="32"/>
      <c r="O27" s="32"/>
      <c r="P27" s="32"/>
    </row>
    <row r="28" ht="16.5" customHeight="1">
      <c r="A28" s="1"/>
      <c r="B28" s="55"/>
      <c r="C28" s="32"/>
      <c r="D28" s="32"/>
      <c r="E28" s="55"/>
      <c r="F28" s="55"/>
      <c r="G28" s="55"/>
      <c r="H28" s="55"/>
      <c r="I28" s="55"/>
      <c r="J28" s="55"/>
      <c r="K28" s="32"/>
      <c r="L28" s="33" t="str">
        <f t="array" ref="L28">IFERROR(INDEX('05 Vendors'!$E$7:$E$200,MATCH($C28,'05 Vendors'!$C$7:$C$200,0)),"")</f>
        <v/>
      </c>
      <c r="M28" s="33" t="str">
        <f t="array" ref="M28">IFERROR(INDEX('05 Vendors'!$F$7:$F$200,MATCH($C28,'05 Vendors'!$C$7:$C$200,0)),"")</f>
        <v/>
      </c>
      <c r="N28" s="32"/>
      <c r="O28" s="32"/>
      <c r="P28" s="32"/>
    </row>
    <row r="29" ht="16.5" customHeight="1">
      <c r="A29" s="1"/>
      <c r="B29" s="55"/>
      <c r="C29" s="32"/>
      <c r="D29" s="32"/>
      <c r="E29" s="55"/>
      <c r="F29" s="55"/>
      <c r="G29" s="55"/>
      <c r="H29" s="55"/>
      <c r="I29" s="55"/>
      <c r="J29" s="55"/>
      <c r="K29" s="32"/>
      <c r="L29" s="33" t="str">
        <f t="array" ref="L29">IFERROR(INDEX('05 Vendors'!$E$7:$E$200,MATCH($C29,'05 Vendors'!$C$7:$C$200,0)),"")</f>
        <v/>
      </c>
      <c r="M29" s="33" t="str">
        <f t="array" ref="M29">IFERROR(INDEX('05 Vendors'!$F$7:$F$200,MATCH($C29,'05 Vendors'!$C$7:$C$200,0)),"")</f>
        <v/>
      </c>
      <c r="N29" s="32"/>
      <c r="O29" s="32"/>
      <c r="P29" s="32"/>
    </row>
    <row r="30" ht="16.5" customHeight="1">
      <c r="A30" s="1"/>
      <c r="B30" s="55"/>
      <c r="C30" s="32"/>
      <c r="D30" s="32"/>
      <c r="E30" s="55"/>
      <c r="F30" s="55"/>
      <c r="G30" s="55"/>
      <c r="H30" s="55"/>
      <c r="I30" s="55"/>
      <c r="J30" s="55"/>
      <c r="K30" s="32"/>
      <c r="L30" s="33" t="str">
        <f t="array" ref="L30">IFERROR(INDEX('05 Vendors'!$E$7:$E$200,MATCH($C30,'05 Vendors'!$C$7:$C$200,0)),"")</f>
        <v/>
      </c>
      <c r="M30" s="33" t="str">
        <f t="array" ref="M30">IFERROR(INDEX('05 Vendors'!$F$7:$F$200,MATCH($C30,'05 Vendors'!$C$7:$C$200,0)),"")</f>
        <v/>
      </c>
      <c r="N30" s="32"/>
      <c r="O30" s="32"/>
      <c r="P30" s="32"/>
    </row>
    <row r="31" ht="16.5" customHeight="1">
      <c r="A31" s="1"/>
      <c r="B31" s="55"/>
      <c r="C31" s="32"/>
      <c r="D31" s="32"/>
      <c r="E31" s="55"/>
      <c r="F31" s="55"/>
      <c r="G31" s="55"/>
      <c r="H31" s="55"/>
      <c r="I31" s="55"/>
      <c r="J31" s="55"/>
      <c r="K31" s="32"/>
      <c r="L31" s="33" t="str">
        <f t="array" ref="L31">IFERROR(INDEX('05 Vendors'!$E$7:$E$200,MATCH($C31,'05 Vendors'!$C$7:$C$200,0)),"")</f>
        <v/>
      </c>
      <c r="M31" s="33" t="str">
        <f t="array" ref="M31">IFERROR(INDEX('05 Vendors'!$F$7:$F$200,MATCH($C31,'05 Vendors'!$C$7:$C$200,0)),"")</f>
        <v/>
      </c>
      <c r="N31" s="32"/>
      <c r="O31" s="32"/>
      <c r="P31" s="32"/>
    </row>
    <row r="32" ht="16.5" customHeight="1">
      <c r="A32" s="1"/>
      <c r="B32" s="55"/>
      <c r="C32" s="32"/>
      <c r="D32" s="32"/>
      <c r="E32" s="55"/>
      <c r="F32" s="55"/>
      <c r="G32" s="55"/>
      <c r="H32" s="55"/>
      <c r="I32" s="55"/>
      <c r="J32" s="55"/>
      <c r="K32" s="32"/>
      <c r="L32" s="33" t="str">
        <f t="array" ref="L32">IFERROR(INDEX('05 Vendors'!$E$7:$E$200,MATCH($C32,'05 Vendors'!$C$7:$C$200,0)),"")</f>
        <v/>
      </c>
      <c r="M32" s="33" t="str">
        <f t="array" ref="M32">IFERROR(INDEX('05 Vendors'!$F$7:$F$200,MATCH($C32,'05 Vendors'!$C$7:$C$200,0)),"")</f>
        <v/>
      </c>
      <c r="N32" s="32"/>
      <c r="O32" s="32"/>
      <c r="P32" s="32"/>
    </row>
    <row r="33" ht="16.5" customHeight="1">
      <c r="A33" s="1"/>
      <c r="B33" s="55"/>
      <c r="C33" s="32"/>
      <c r="D33" s="32"/>
      <c r="E33" s="55"/>
      <c r="F33" s="55"/>
      <c r="G33" s="55"/>
      <c r="H33" s="55"/>
      <c r="I33" s="55"/>
      <c r="J33" s="55"/>
      <c r="K33" s="32"/>
      <c r="L33" s="33" t="str">
        <f t="array" ref="L33">IFERROR(INDEX('05 Vendors'!$E$7:$E$200,MATCH($C33,'05 Vendors'!$C$7:$C$200,0)),"")</f>
        <v/>
      </c>
      <c r="M33" s="33" t="str">
        <f t="array" ref="M33">IFERROR(INDEX('05 Vendors'!$F$7:$F$200,MATCH($C33,'05 Vendors'!$C$7:$C$200,0)),"")</f>
        <v/>
      </c>
      <c r="N33" s="32"/>
      <c r="O33" s="32"/>
      <c r="P33" s="3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P$33"/>
  <conditionalFormatting sqref="B7:P33">
    <cfRule type="expression" dxfId="3" priority="1">
      <formula>$N7="Yes"</formula>
    </cfRule>
  </conditionalFormatting>
  <conditionalFormatting sqref="B7:P33">
    <cfRule type="expression" dxfId="6" priority="2">
      <formula>AND($C7&lt;&gt;"",$N7="No")</formula>
    </cfRule>
  </conditionalFormatting>
  <dataValidations>
    <dataValidation type="list" allowBlank="1" sqref="N7:O33">
      <formula1>"Yes,No"</formula1>
    </dataValidation>
  </dataValidations>
  <printOptions horizontalCentered="1"/>
  <pageMargins bottom="0.4" footer="0.0" header="0.0" left="0.3" right="0.3" top="0.4"/>
  <pageSetup fitToHeight="0" orientation="landscape"/>
  <headerFooter>
    <oddFooter>&amp;C 21 Vendor Schedule   -   page &amp;P of </oddFooter>
  </headerFooter>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32.14"/>
    <col customWidth="1" min="4" max="4" width="27.86"/>
    <col customWidth="1" min="5" max="7" width="19.29"/>
    <col customWidth="1" min="8" max="8" width="36.43"/>
    <col customWidth="1" min="9" max="9" width="13.86"/>
  </cols>
  <sheetData>
    <row r="1" ht="16.5" customHeight="1">
      <c r="A1" s="1"/>
      <c r="B1" s="1"/>
      <c r="C1" s="1"/>
      <c r="D1" s="1"/>
      <c r="E1" s="1"/>
      <c r="F1" s="1"/>
      <c r="G1" s="1"/>
      <c r="H1" s="1"/>
      <c r="I1" s="1"/>
    </row>
    <row r="2" ht="33.75" customHeight="1">
      <c r="A2" s="2"/>
      <c r="B2" s="2" t="s">
        <v>2300</v>
      </c>
      <c r="C2" s="2"/>
      <c r="D2" s="2"/>
      <c r="E2" s="2"/>
      <c r="F2" s="2"/>
      <c r="G2" s="2"/>
      <c r="H2" s="2"/>
      <c r="I2" s="12"/>
    </row>
    <row r="3" ht="15.75" customHeight="1">
      <c r="A3" s="3"/>
      <c r="B3" s="3" t="s">
        <v>2305</v>
      </c>
      <c r="C3" s="3"/>
      <c r="D3" s="3"/>
      <c r="E3" s="3"/>
      <c r="F3" s="3"/>
      <c r="G3" s="3"/>
      <c r="H3" s="3"/>
      <c r="I3" s="3"/>
    </row>
    <row r="4" ht="16.5" customHeight="1">
      <c r="A4" s="1"/>
      <c r="B4" s="1"/>
      <c r="C4" s="1"/>
      <c r="D4" s="1"/>
      <c r="E4" s="1"/>
      <c r="F4" s="1"/>
      <c r="G4" s="1"/>
      <c r="H4" s="1"/>
      <c r="I4" s="1"/>
    </row>
    <row r="5" ht="16.5" customHeight="1">
      <c r="A5" s="1"/>
      <c r="B5" s="1"/>
      <c r="C5" s="1"/>
      <c r="D5" s="1"/>
      <c r="E5" s="1"/>
      <c r="F5" s="1"/>
      <c r="G5" s="1"/>
      <c r="H5" s="1"/>
      <c r="I5" s="1"/>
    </row>
    <row r="6" ht="30.0" customHeight="1">
      <c r="A6" s="16"/>
      <c r="B6" s="17" t="s">
        <v>503</v>
      </c>
      <c r="C6" s="17" t="s">
        <v>1745</v>
      </c>
      <c r="D6" s="17" t="s">
        <v>1746</v>
      </c>
      <c r="E6" s="17" t="s">
        <v>183</v>
      </c>
      <c r="F6" s="17" t="s">
        <v>2310</v>
      </c>
      <c r="G6" s="17" t="s">
        <v>184</v>
      </c>
      <c r="H6" s="17" t="s">
        <v>50</v>
      </c>
      <c r="I6" s="16"/>
    </row>
    <row r="7" ht="16.5" customHeight="1">
      <c r="A7" s="1"/>
      <c r="B7" s="32" t="s">
        <v>1038</v>
      </c>
      <c r="C7" s="32" t="s">
        <v>1256</v>
      </c>
      <c r="D7" s="33" t="str">
        <f>BrideName</f>
        <v>Methuli</v>
      </c>
      <c r="E7" s="32"/>
      <c r="F7" s="32"/>
      <c r="G7" s="32"/>
      <c r="H7" s="32"/>
      <c r="I7" s="1"/>
    </row>
    <row r="8" ht="16.5" customHeight="1">
      <c r="A8" s="1"/>
      <c r="B8" s="32" t="s">
        <v>1038</v>
      </c>
      <c r="C8" s="32" t="s">
        <v>129</v>
      </c>
      <c r="D8" s="33" t="str">
        <f>GroomName</f>
        <v>Udara</v>
      </c>
      <c r="E8" s="32"/>
      <c r="F8" s="32"/>
      <c r="G8" s="32"/>
      <c r="H8" s="32"/>
      <c r="I8" s="1"/>
    </row>
    <row r="9" ht="16.5" customHeight="1">
      <c r="A9" s="1"/>
      <c r="B9" s="32" t="s">
        <v>1038</v>
      </c>
      <c r="C9" s="32" t="s">
        <v>1758</v>
      </c>
      <c r="D9" s="32"/>
      <c r="E9" s="32"/>
      <c r="F9" s="32"/>
      <c r="G9" s="32"/>
      <c r="H9" s="32"/>
      <c r="I9" s="1"/>
    </row>
    <row r="10" ht="16.5" customHeight="1">
      <c r="A10" s="1"/>
      <c r="B10" s="32" t="s">
        <v>1038</v>
      </c>
      <c r="C10" s="32" t="s">
        <v>1759</v>
      </c>
      <c r="D10" s="32"/>
      <c r="E10" s="32"/>
      <c r="F10" s="32"/>
      <c r="G10" s="32"/>
      <c r="H10" s="32"/>
      <c r="I10" s="1"/>
    </row>
    <row r="11" ht="16.5" customHeight="1">
      <c r="A11" s="1"/>
      <c r="B11" s="32" t="s">
        <v>2178</v>
      </c>
      <c r="C11" s="32" t="s">
        <v>1754</v>
      </c>
      <c r="D11" s="32"/>
      <c r="E11" s="32"/>
      <c r="F11" s="32"/>
      <c r="G11" s="32"/>
      <c r="H11" s="32"/>
      <c r="I11" s="1"/>
    </row>
    <row r="12" ht="16.5" customHeight="1">
      <c r="A12" s="1"/>
      <c r="B12" s="32" t="s">
        <v>2178</v>
      </c>
      <c r="C12" s="32" t="s">
        <v>1755</v>
      </c>
      <c r="D12" s="32"/>
      <c r="E12" s="32"/>
      <c r="F12" s="32"/>
      <c r="G12" s="32"/>
      <c r="H12" s="32"/>
      <c r="I12" s="1"/>
    </row>
    <row r="13" ht="16.5" customHeight="1">
      <c r="A13" s="1"/>
      <c r="B13" s="32" t="s">
        <v>2178</v>
      </c>
      <c r="C13" s="32" t="s">
        <v>1756</v>
      </c>
      <c r="D13" s="32"/>
      <c r="E13" s="32"/>
      <c r="F13" s="32"/>
      <c r="G13" s="32"/>
      <c r="H13" s="32"/>
      <c r="I13" s="1"/>
    </row>
    <row r="14" ht="16.5" customHeight="1">
      <c r="A14" s="1"/>
      <c r="B14" s="32" t="s">
        <v>2178</v>
      </c>
      <c r="C14" s="32" t="s">
        <v>1757</v>
      </c>
      <c r="D14" s="32"/>
      <c r="E14" s="32"/>
      <c r="F14" s="32"/>
      <c r="G14" s="32"/>
      <c r="H14" s="32"/>
      <c r="I14" s="1"/>
    </row>
    <row r="15" ht="16.5" customHeight="1">
      <c r="A15" s="1"/>
      <c r="B15" s="32" t="s">
        <v>2178</v>
      </c>
      <c r="C15" s="32" t="s">
        <v>2316</v>
      </c>
      <c r="D15" s="32"/>
      <c r="E15" s="32"/>
      <c r="F15" s="32"/>
      <c r="G15" s="32"/>
      <c r="H15" s="32"/>
      <c r="I15" s="1"/>
    </row>
    <row r="16" ht="16.5" customHeight="1">
      <c r="A16" s="1"/>
      <c r="B16" s="32" t="s">
        <v>2178</v>
      </c>
      <c r="C16" s="32" t="s">
        <v>2318</v>
      </c>
      <c r="D16" s="32"/>
      <c r="E16" s="32"/>
      <c r="F16" s="32"/>
      <c r="G16" s="32"/>
      <c r="H16" s="32"/>
      <c r="I16" s="1"/>
    </row>
    <row r="17" ht="16.5" customHeight="1">
      <c r="A17" s="1"/>
      <c r="B17" s="32" t="s">
        <v>2178</v>
      </c>
      <c r="C17" s="32" t="s">
        <v>2261</v>
      </c>
      <c r="D17" s="32"/>
      <c r="E17" s="32"/>
      <c r="F17" s="32"/>
      <c r="G17" s="32"/>
      <c r="H17" s="32"/>
      <c r="I17" s="1"/>
    </row>
    <row r="18" ht="16.5" customHeight="1">
      <c r="A18" s="1"/>
      <c r="B18" s="32" t="s">
        <v>2178</v>
      </c>
      <c r="C18" s="32" t="s">
        <v>1773</v>
      </c>
      <c r="D18" s="32"/>
      <c r="E18" s="32"/>
      <c r="F18" s="32"/>
      <c r="G18" s="32"/>
      <c r="H18" s="32"/>
      <c r="I18" s="1"/>
    </row>
    <row r="19" ht="16.5" customHeight="1">
      <c r="A19" s="1"/>
      <c r="B19" s="32" t="s">
        <v>2321</v>
      </c>
      <c r="C19" s="32" t="s">
        <v>2322</v>
      </c>
      <c r="D19" s="33" t="str">
        <f t="array" ref="D19">IFERROR(INDEX('05 Vendors'!$D$7:$D$200,MATCH("Coordinator",'05 Vendors'!$C$7:$C$200,0))&amp;"","")</f>
        <v>[Coordinator]</v>
      </c>
      <c r="E19" s="113" t="str">
        <f t="array" ref="E19">IFERROR(INDEX('05 Vendors'!$F$7:$F$200,MATCH("Coordinator",'05 Vendors'!$C$7:$C$200,0))&amp;"","")</f>
        <v/>
      </c>
      <c r="F19" s="32"/>
      <c r="G19" s="33" t="str">
        <f t="array" ref="G19">IFERROR(INDEX('05 Vendors'!$G$7:$G$200,MATCH("Coordinator",'05 Vendors'!$C$7:$C$200,0))&amp;"","")</f>
        <v/>
      </c>
      <c r="H19" s="32"/>
      <c r="I19" s="1"/>
    </row>
    <row r="20" ht="16.5" customHeight="1">
      <c r="A20" s="1"/>
      <c r="B20" s="32" t="s">
        <v>2321</v>
      </c>
      <c r="C20" s="32" t="s">
        <v>2326</v>
      </c>
      <c r="D20" s="33" t="str">
        <f t="array" ref="D20">IFERROR(INDEX('05 Vendors'!$D$7:$D$200,MATCH("Venue / Hotel",'05 Vendors'!$C$7:$C$200,0))&amp;"","")</f>
        <v>[Hotel name]</v>
      </c>
      <c r="E20" s="113" t="str">
        <f t="array" ref="E20">IFERROR(INDEX('05 Vendors'!$F$7:$F$200,MATCH("Venue / Hotel",'05 Vendors'!$C$7:$C$200,0))&amp;"","")</f>
        <v/>
      </c>
      <c r="F20" s="32"/>
      <c r="G20" s="33" t="str">
        <f t="array" ref="G20">IFERROR(INDEX('05 Vendors'!$G$7:$G$200,MATCH("Venue / Hotel",'05 Vendors'!$C$7:$C$200,0))&amp;"","")</f>
        <v/>
      </c>
      <c r="H20" s="32"/>
      <c r="I20" s="1"/>
    </row>
    <row r="21" ht="16.5" customHeight="1">
      <c r="A21" s="1"/>
      <c r="B21" s="32" t="s">
        <v>2321</v>
      </c>
      <c r="C21" s="32" t="s">
        <v>322</v>
      </c>
      <c r="D21" s="33" t="str">
        <f t="array" ref="D21">IFERROR(INDEX('05 Vendors'!$D$7:$D$200,MATCH("MC",'05 Vendors'!$C$7:$C$200,0))&amp;"","")</f>
        <v>[MC name]</v>
      </c>
      <c r="E21" s="113" t="str">
        <f t="array" ref="E21">IFERROR(INDEX('05 Vendors'!$F$7:$F$200,MATCH("MC",'05 Vendors'!$C$7:$C$200,0))&amp;"","")</f>
        <v/>
      </c>
      <c r="F21" s="32"/>
      <c r="G21" s="33" t="str">
        <f t="array" ref="G21">IFERROR(INDEX('05 Vendors'!$G$7:$G$200,MATCH("MC",'05 Vendors'!$C$7:$C$200,0))&amp;"","")</f>
        <v/>
      </c>
      <c r="H21" s="32"/>
      <c r="I21" s="1"/>
    </row>
    <row r="22" ht="16.5" customHeight="1">
      <c r="A22" s="1"/>
      <c r="B22" s="32" t="s">
        <v>2321</v>
      </c>
      <c r="C22" s="32" t="s">
        <v>329</v>
      </c>
      <c r="D22" s="33" t="str">
        <f t="array" ref="D22">IFERROR(INDEX('05 Vendors'!$D$7:$D$200,MATCH("DJ",'05 Vendors'!$C$7:$C$200,0))&amp;"","")</f>
        <v>[DJ name]</v>
      </c>
      <c r="E22" s="113" t="str">
        <f t="array" ref="E22">IFERROR(INDEX('05 Vendors'!$F$7:$F$200,MATCH("DJ",'05 Vendors'!$C$7:$C$200,0))&amp;"","")</f>
        <v/>
      </c>
      <c r="F22" s="32"/>
      <c r="G22" s="33" t="str">
        <f t="array" ref="G22">IFERROR(INDEX('05 Vendors'!$G$7:$G$200,MATCH("DJ",'05 Vendors'!$C$7:$C$200,0))&amp;"","")</f>
        <v/>
      </c>
      <c r="H22" s="32"/>
      <c r="I22" s="1"/>
    </row>
    <row r="23" ht="16.5" customHeight="1">
      <c r="A23" s="1"/>
      <c r="B23" s="32" t="s">
        <v>349</v>
      </c>
      <c r="C23" s="32" t="s">
        <v>2344</v>
      </c>
      <c r="D23" s="33" t="str">
        <f t="array" ref="D23">IFERROR(INDEX('05 Vendors'!$D$7:$D$200,MATCH("Poruwa Officiant",'05 Vendors'!$C$7:$C$200,0))&amp;"","")</f>
        <v>[Ashtaka chanter]</v>
      </c>
      <c r="E23" s="113" t="str">
        <f t="array" ref="E23">IFERROR(INDEX('05 Vendors'!$F$7:$F$200,MATCH("Poruwa Officiant",'05 Vendors'!$C$7:$C$200,0))&amp;"","")</f>
        <v/>
      </c>
      <c r="F23" s="32"/>
      <c r="G23" s="33" t="str">
        <f t="array" ref="G23">IFERROR(INDEX('05 Vendors'!$G$7:$G$200,MATCH("Poruwa Officiant",'05 Vendors'!$C$7:$C$200,0))&amp;"","")</f>
        <v/>
      </c>
      <c r="H23" s="32"/>
      <c r="I23" s="1"/>
    </row>
    <row r="24" ht="16.5" customHeight="1">
      <c r="A24" s="1"/>
      <c r="B24" s="32" t="s">
        <v>349</v>
      </c>
      <c r="C24" s="32" t="s">
        <v>2348</v>
      </c>
      <c r="D24" s="32"/>
      <c r="E24" s="32"/>
      <c r="F24" s="32"/>
      <c r="G24" s="32"/>
      <c r="H24" s="32"/>
      <c r="I24" s="1"/>
    </row>
    <row r="25" ht="16.5" customHeight="1">
      <c r="A25" s="1"/>
      <c r="B25" s="32" t="s">
        <v>349</v>
      </c>
      <c r="C25" s="32" t="s">
        <v>2351</v>
      </c>
      <c r="D25" s="32"/>
      <c r="E25" s="32"/>
      <c r="F25" s="32"/>
      <c r="G25" s="32"/>
      <c r="H25" s="32"/>
      <c r="I25" s="1"/>
    </row>
    <row r="26" ht="16.5" customHeight="1">
      <c r="A26" s="1"/>
      <c r="B26" s="32" t="s">
        <v>349</v>
      </c>
      <c r="C26" s="32" t="s">
        <v>2353</v>
      </c>
      <c r="D26" s="32"/>
      <c r="E26" s="32"/>
      <c r="F26" s="32"/>
      <c r="G26" s="32"/>
      <c r="H26" s="32"/>
      <c r="I26" s="1"/>
    </row>
    <row r="27" ht="16.5" customHeight="1">
      <c r="A27" s="1"/>
      <c r="B27" s="32" t="s">
        <v>349</v>
      </c>
      <c r="C27" s="32" t="s">
        <v>676</v>
      </c>
      <c r="D27" s="32"/>
      <c r="E27" s="32"/>
      <c r="F27" s="32"/>
      <c r="G27" s="32"/>
      <c r="H27" s="32"/>
      <c r="I27" s="1"/>
    </row>
    <row r="28" ht="16.5" customHeight="1">
      <c r="A28" s="1"/>
      <c r="B28" s="32" t="s">
        <v>2244</v>
      </c>
      <c r="C28" s="32" t="s">
        <v>228</v>
      </c>
      <c r="D28" s="33" t="str">
        <f t="array" ref="D28">IFERROR(INDEX('05 Vendors'!$D$7:$D$200,MATCH("Photographer",'05 Vendors'!$C$7:$C$200,0))&amp;"","")</f>
        <v>[Studio name]</v>
      </c>
      <c r="E28" s="113" t="str">
        <f t="array" ref="E28">IFERROR(INDEX('05 Vendors'!$F$7:$F$200,MATCH("Photographer",'05 Vendors'!$C$7:$C$200,0))&amp;"","")</f>
        <v/>
      </c>
      <c r="F28" s="32"/>
      <c r="G28" s="33" t="str">
        <f t="array" ref="G28">IFERROR(INDEX('05 Vendors'!$G$7:$G$200,MATCH("Photographer",'05 Vendors'!$C$7:$C$200,0))&amp;"","")</f>
        <v/>
      </c>
      <c r="H28" s="32"/>
      <c r="I28" s="1"/>
    </row>
    <row r="29" ht="16.5" customHeight="1">
      <c r="A29" s="1"/>
      <c r="B29" s="32" t="s">
        <v>2244</v>
      </c>
      <c r="C29" s="32" t="s">
        <v>237</v>
      </c>
      <c r="D29" s="33" t="str">
        <f t="array" ref="D29">IFERROR(INDEX('05 Vendors'!$D$7:$D$200,MATCH("Videographer",'05 Vendors'!$C$7:$C$200,0))&amp;"","")</f>
        <v>[Studio name]</v>
      </c>
      <c r="E29" s="113" t="str">
        <f t="array" ref="E29">IFERROR(INDEX('05 Vendors'!$F$7:$F$200,MATCH("Videographer",'05 Vendors'!$C$7:$C$200,0))&amp;"","")</f>
        <v/>
      </c>
      <c r="F29" s="32"/>
      <c r="G29" s="33" t="str">
        <f t="array" ref="G29">IFERROR(INDEX('05 Vendors'!$G$7:$G$200,MATCH("Videographer",'05 Vendors'!$C$7:$C$200,0))&amp;"","")</f>
        <v/>
      </c>
      <c r="H29" s="32"/>
      <c r="I29" s="1"/>
    </row>
    <row r="30" ht="16.5" customHeight="1">
      <c r="A30" s="1"/>
      <c r="B30" s="32" t="s">
        <v>2244</v>
      </c>
      <c r="C30" s="32" t="s">
        <v>278</v>
      </c>
      <c r="D30" s="33" t="str">
        <f t="array" ref="D30">IFERROR(INDEX('05 Vendors'!$D$7:$D$200,MATCH("Decorator",'05 Vendors'!$C$7:$C$200,0))&amp;"","")</f>
        <v>[Decorator]</v>
      </c>
      <c r="E30" s="113" t="str">
        <f t="array" ref="E30">IFERROR(INDEX('05 Vendors'!$F$7:$F$200,MATCH("Decorator",'05 Vendors'!$C$7:$C$200,0))&amp;"","")</f>
        <v/>
      </c>
      <c r="F30" s="32"/>
      <c r="G30" s="33" t="str">
        <f t="array" ref="G30">IFERROR(INDEX('05 Vendors'!$G$7:$G$200,MATCH("Decorator",'05 Vendors'!$C$7:$C$200,0))&amp;"","")</f>
        <v/>
      </c>
      <c r="H30" s="32"/>
      <c r="I30" s="1"/>
    </row>
    <row r="31" ht="16.5" customHeight="1">
      <c r="A31" s="1"/>
      <c r="B31" s="32" t="s">
        <v>2244</v>
      </c>
      <c r="C31" s="32" t="s">
        <v>2307</v>
      </c>
      <c r="D31" s="33" t="str">
        <f t="array" ref="D31">IFERROR(INDEX('05 Vendors'!$D$7:$D$200,MATCH("Florist",'05 Vendors'!$C$7:$C$200,0))&amp;"","")</f>
        <v/>
      </c>
      <c r="E31" s="113" t="str">
        <f t="array" ref="E31">IFERROR(INDEX('05 Vendors'!$F$7:$F$200,MATCH("Florist",'05 Vendors'!$C$7:$C$200,0))&amp;"","")</f>
        <v/>
      </c>
      <c r="F31" s="32"/>
      <c r="G31" s="33" t="str">
        <f t="array" ref="G31">IFERROR(INDEX('05 Vendors'!$G$7:$G$200,MATCH("Florist",'05 Vendors'!$C$7:$C$200,0))&amp;"","")</f>
        <v/>
      </c>
      <c r="H31" s="32"/>
      <c r="I31" s="1"/>
    </row>
    <row r="32" ht="16.5" customHeight="1">
      <c r="A32" s="1"/>
      <c r="B32" s="32" t="s">
        <v>2244</v>
      </c>
      <c r="C32" s="32" t="s">
        <v>219</v>
      </c>
      <c r="D32" s="33" t="str">
        <f t="array" ref="D32">IFERROR(INDEX('05 Vendors'!$D$7:$D$200,MATCH("Caterer",'05 Vendors'!$C$7:$C$200,0))&amp;"","")</f>
        <v>[In-house catering]</v>
      </c>
      <c r="E32" s="113" t="str">
        <f t="array" ref="E32">IFERROR(INDEX('05 Vendors'!$F$7:$F$200,MATCH("Caterer",'05 Vendors'!$C$7:$C$200,0))&amp;"","")</f>
        <v/>
      </c>
      <c r="F32" s="32"/>
      <c r="G32" s="33" t="str">
        <f t="array" ref="G32">IFERROR(INDEX('05 Vendors'!$G$7:$G$200,MATCH("Caterer",'05 Vendors'!$C$7:$C$200,0))&amp;"","")</f>
        <v/>
      </c>
      <c r="H32" s="32"/>
      <c r="I32" s="1"/>
    </row>
    <row r="33" ht="16.5" customHeight="1">
      <c r="A33" s="1"/>
      <c r="B33" s="32" t="s">
        <v>2244</v>
      </c>
      <c r="C33" s="32" t="s">
        <v>284</v>
      </c>
      <c r="D33" s="33" t="str">
        <f t="array" ref="D33">IFERROR(INDEX('05 Vendors'!$D$7:$D$200,MATCH("Cake",'05 Vendors'!$C$7:$C$200,0))&amp;"","")</f>
        <v>[Bakery]</v>
      </c>
      <c r="E33" s="113" t="str">
        <f t="array" ref="E33">IFERROR(INDEX('05 Vendors'!$F$7:$F$200,MATCH("Cake",'05 Vendors'!$C$7:$C$200,0))&amp;"","")</f>
        <v/>
      </c>
      <c r="F33" s="32"/>
      <c r="G33" s="33" t="str">
        <f t="array" ref="G33">IFERROR(INDEX('05 Vendors'!$G$7:$G$200,MATCH("Cake",'05 Vendors'!$C$7:$C$200,0))&amp;"","")</f>
        <v/>
      </c>
      <c r="H33" s="32"/>
      <c r="I33" s="1"/>
    </row>
    <row r="34" ht="16.5" customHeight="1">
      <c r="A34" s="1"/>
      <c r="B34" s="32" t="s">
        <v>2244</v>
      </c>
      <c r="C34" s="32" t="s">
        <v>2377</v>
      </c>
      <c r="D34" s="33" t="str">
        <f t="array" ref="D34">IFERROR(INDEX('05 Vendors'!$D$7:$D$200,MATCH("Kandyan Dancers",'05 Vendors'!$C$7:$C$200,0))&amp;"","")</f>
        <v>[Dance troupe]</v>
      </c>
      <c r="E34" s="113" t="str">
        <f t="array" ref="E34">IFERROR(INDEX('05 Vendors'!$F$7:$F$200,MATCH("Kandyan Dancers",'05 Vendors'!$C$7:$C$200,0))&amp;"","")</f>
        <v/>
      </c>
      <c r="F34" s="32"/>
      <c r="G34" s="33" t="str">
        <f t="array" ref="G34">IFERROR(INDEX('05 Vendors'!$G$7:$G$200,MATCH("Kandyan Dancers",'05 Vendors'!$C$7:$C$200,0))&amp;"","")</f>
        <v/>
      </c>
      <c r="H34" s="32"/>
      <c r="I34" s="1"/>
    </row>
    <row r="35" ht="16.5" customHeight="1">
      <c r="A35" s="1"/>
      <c r="B35" s="32" t="s">
        <v>2244</v>
      </c>
      <c r="C35" s="32" t="s">
        <v>305</v>
      </c>
      <c r="D35" s="33" t="str">
        <f t="array" ref="D35">IFERROR(INDEX('05 Vendors'!$D$7:$D$200,MATCH("Drummers",'05 Vendors'!$C$7:$C$200,0))&amp;"","")</f>
        <v>[Hewisi group]</v>
      </c>
      <c r="E35" s="113" t="str">
        <f t="array" ref="E35">IFERROR(INDEX('05 Vendors'!$F$7:$F$200,MATCH("Drummers",'05 Vendors'!$C$7:$C$200,0))&amp;"","")</f>
        <v/>
      </c>
      <c r="F35" s="32"/>
      <c r="G35" s="33" t="str">
        <f t="array" ref="G35">IFERROR(INDEX('05 Vendors'!$G$7:$G$200,MATCH("Drummers",'05 Vendors'!$C$7:$C$200,0))&amp;"","")</f>
        <v/>
      </c>
      <c r="H35" s="32"/>
      <c r="I35" s="1"/>
    </row>
    <row r="36" ht="16.5" customHeight="1">
      <c r="A36" s="1"/>
      <c r="B36" s="32" t="s">
        <v>2244</v>
      </c>
      <c r="C36" s="32" t="s">
        <v>2389</v>
      </c>
      <c r="D36" s="33" t="str">
        <f t="array" ref="D36">IFERROR(INDEX('05 Vendors'!$D$7:$D$200,MATCH("Makeup Artist",'05 Vendors'!$C$7:$C$200,0))&amp;"","")</f>
        <v>[Bridal dresser]</v>
      </c>
      <c r="E36" s="113" t="str">
        <f t="array" ref="E36">IFERROR(INDEX('05 Vendors'!$F$7:$F$200,MATCH("Makeup Artist",'05 Vendors'!$C$7:$C$200,0))&amp;"","")</f>
        <v/>
      </c>
      <c r="F36" s="32"/>
      <c r="G36" s="33" t="str">
        <f t="array" ref="G36">IFERROR(INDEX('05 Vendors'!$G$7:$G$200,MATCH("Makeup Artist",'05 Vendors'!$C$7:$C$200,0))&amp;"","")</f>
        <v/>
      </c>
      <c r="H36" s="32"/>
      <c r="I36" s="1"/>
    </row>
    <row r="37" ht="16.5" customHeight="1">
      <c r="A37" s="1"/>
      <c r="B37" s="32" t="s">
        <v>2244</v>
      </c>
      <c r="C37" s="32" t="s">
        <v>353</v>
      </c>
      <c r="D37" s="33" t="str">
        <f t="array" ref="D37">IFERROR(INDEX('05 Vendors'!$D$7:$D$200,MATCH("Sound &amp; AV",'05 Vendors'!$C$7:$C$200,0))&amp;"","")</f>
        <v>[AV supplier]</v>
      </c>
      <c r="E37" s="113" t="str">
        <f t="array" ref="E37">IFERROR(INDEX('05 Vendors'!$F$7:$F$200,MATCH("Sound &amp; AV",'05 Vendors'!$C$7:$C$200,0))&amp;"","")</f>
        <v/>
      </c>
      <c r="F37" s="32"/>
      <c r="G37" s="33" t="str">
        <f t="array" ref="G37">IFERROR(INDEX('05 Vendors'!$G$7:$G$200,MATCH("Sound &amp; AV",'05 Vendors'!$C$7:$C$200,0))&amp;"","")</f>
        <v/>
      </c>
      <c r="H37" s="32"/>
      <c r="I37" s="1"/>
    </row>
    <row r="38" ht="16.5" customHeight="1">
      <c r="A38" s="1"/>
      <c r="B38" s="32" t="s">
        <v>2244</v>
      </c>
      <c r="C38" s="32" t="s">
        <v>2403</v>
      </c>
      <c r="D38" s="33" t="str">
        <f t="array" ref="D38">IFERROR(INDEX('05 Vendors'!$D$7:$D$200,MATCH("Saree / Dress Designer",'05 Vendors'!$C$7:$C$200,0))&amp;"","")</f>
        <v>[Designer]</v>
      </c>
      <c r="E38" s="113" t="str">
        <f t="array" ref="E38">IFERROR(INDEX('05 Vendors'!$F$7:$F$200,MATCH("Saree / Dress Designer",'05 Vendors'!$C$7:$C$200,0))&amp;"","")</f>
        <v/>
      </c>
      <c r="F38" s="32"/>
      <c r="G38" s="33" t="str">
        <f t="array" ref="G38">IFERROR(INDEX('05 Vendors'!$G$7:$G$200,MATCH("Saree / Dress Designer",'05 Vendors'!$C$7:$C$200,0))&amp;"","")</f>
        <v/>
      </c>
      <c r="H38" s="32"/>
      <c r="I38" s="1"/>
    </row>
    <row r="39" ht="16.5" customHeight="1">
      <c r="A39" s="1"/>
      <c r="B39" s="32" t="s">
        <v>2244</v>
      </c>
      <c r="C39" s="32" t="s">
        <v>2262</v>
      </c>
      <c r="D39" s="33" t="str">
        <f t="array" ref="D39">IFERROR(INDEX('05 Vendors'!$D$7:$D$200,MATCH("Jewellery",'05 Vendors'!$C$7:$C$200,0))&amp;"","")</f>
        <v>Panadura Gold House</v>
      </c>
      <c r="E39" s="113" t="str">
        <f t="array" ref="E39">IFERROR(INDEX('05 Vendors'!$F$7:$F$200,MATCH("Jewellery",'05 Vendors'!$C$7:$C$200,0))&amp;"","")</f>
        <v>705116588</v>
      </c>
      <c r="F39" s="32"/>
      <c r="G39" s="33" t="str">
        <f t="array" ref="G39">IFERROR(INDEX('05 Vendors'!$G$7:$G$200,MATCH("Jewellery",'05 Vendors'!$C$7:$C$200,0))&amp;"","")</f>
        <v>765816588</v>
      </c>
      <c r="H39" s="32"/>
      <c r="I39" s="1"/>
    </row>
    <row r="40" ht="16.5" customHeight="1">
      <c r="A40" s="1"/>
      <c r="B40" s="32" t="s">
        <v>338</v>
      </c>
      <c r="C40" s="32" t="s">
        <v>2415</v>
      </c>
      <c r="D40" s="32"/>
      <c r="E40" s="32"/>
      <c r="F40" s="32"/>
      <c r="G40" s="32"/>
      <c r="H40" s="32"/>
      <c r="I40" s="1"/>
    </row>
    <row r="41" ht="16.5" customHeight="1">
      <c r="A41" s="1"/>
      <c r="B41" s="32" t="s">
        <v>338</v>
      </c>
      <c r="C41" s="32" t="s">
        <v>2418</v>
      </c>
      <c r="D41" s="32"/>
      <c r="E41" s="32"/>
      <c r="F41" s="32"/>
      <c r="G41" s="32"/>
      <c r="H41" s="32"/>
      <c r="I41" s="1"/>
    </row>
    <row r="42" ht="16.5" customHeight="1">
      <c r="A42" s="1"/>
      <c r="B42" s="32" t="s">
        <v>338</v>
      </c>
      <c r="C42" s="32" t="s">
        <v>2420</v>
      </c>
      <c r="D42" s="32"/>
      <c r="E42" s="32"/>
      <c r="F42" s="32"/>
      <c r="G42" s="32"/>
      <c r="H42" s="32"/>
      <c r="I42" s="1"/>
    </row>
    <row r="43" ht="16.5" customHeight="1">
      <c r="A43" s="1"/>
      <c r="B43" s="32" t="s">
        <v>338</v>
      </c>
      <c r="C43" s="32" t="s">
        <v>2421</v>
      </c>
      <c r="D43" s="32"/>
      <c r="E43" s="32"/>
      <c r="F43" s="32"/>
      <c r="G43" s="32"/>
      <c r="H43" s="32"/>
      <c r="I43" s="1"/>
    </row>
    <row r="44" ht="16.5" customHeight="1">
      <c r="A44" s="1"/>
      <c r="B44" s="32" t="s">
        <v>338</v>
      </c>
      <c r="C44" s="32" t="s">
        <v>2422</v>
      </c>
      <c r="D44" s="33" t="str">
        <f t="array" ref="D44">IFERROR(INDEX('05 Vendors'!$D$7:$D$200,MATCH("Transport",'05 Vendors'!$C$7:$C$200,0))&amp;"","")</f>
        <v>[Bridal car hire]</v>
      </c>
      <c r="E44" s="113" t="str">
        <f t="array" ref="E44">IFERROR(INDEX('05 Vendors'!$F$7:$F$200,MATCH("Transport",'05 Vendors'!$C$7:$C$200,0))&amp;"","")</f>
        <v/>
      </c>
      <c r="F44" s="32"/>
      <c r="G44" s="33" t="str">
        <f t="array" ref="G44">IFERROR(INDEX('05 Vendors'!$G$7:$G$200,MATCH("Transport",'05 Vendors'!$C$7:$C$200,0))&amp;"","")</f>
        <v/>
      </c>
      <c r="H44" s="32"/>
      <c r="I44" s="1"/>
    </row>
    <row r="45" ht="16.5" customHeight="1">
      <c r="A45" s="1"/>
      <c r="B45" s="32" t="s">
        <v>2429</v>
      </c>
      <c r="C45" s="32" t="s">
        <v>2430</v>
      </c>
      <c r="D45" s="32"/>
      <c r="E45" s="32"/>
      <c r="F45" s="32"/>
      <c r="G45" s="32"/>
      <c r="H45" s="32"/>
      <c r="I45" s="1"/>
    </row>
    <row r="46" ht="16.5" customHeight="1">
      <c r="A46" s="1"/>
      <c r="B46" s="32" t="s">
        <v>2429</v>
      </c>
      <c r="C46" s="32" t="s">
        <v>2432</v>
      </c>
      <c r="D46" s="32"/>
      <c r="E46" s="32"/>
      <c r="F46" s="32"/>
      <c r="G46" s="32"/>
      <c r="H46" s="32"/>
      <c r="I46" s="1"/>
    </row>
    <row r="47" ht="16.5" customHeight="1">
      <c r="A47" s="1"/>
      <c r="B47" s="32" t="s">
        <v>2429</v>
      </c>
      <c r="C47" s="32" t="s">
        <v>2435</v>
      </c>
      <c r="D47" s="32"/>
      <c r="E47" s="32"/>
      <c r="F47" s="32"/>
      <c r="G47" s="32"/>
      <c r="H47" s="32"/>
      <c r="I47" s="1"/>
    </row>
    <row r="48" ht="16.5" customHeight="1">
      <c r="A48" s="1"/>
      <c r="B48" s="32" t="s">
        <v>2429</v>
      </c>
      <c r="C48" s="32" t="s">
        <v>2436</v>
      </c>
      <c r="D48" s="32"/>
      <c r="E48" s="116" t="s">
        <v>2437</v>
      </c>
      <c r="F48" s="32"/>
      <c r="G48" s="32"/>
      <c r="H48" s="32"/>
      <c r="I48" s="1"/>
    </row>
    <row r="49" ht="16.5" customHeight="1">
      <c r="A49" s="1"/>
      <c r="B49" s="32" t="s">
        <v>2429</v>
      </c>
      <c r="C49" s="32" t="s">
        <v>2440</v>
      </c>
      <c r="D49" s="32"/>
      <c r="E49" s="116" t="s">
        <v>2441</v>
      </c>
      <c r="F49" s="32"/>
      <c r="G49" s="32"/>
      <c r="H49" s="32"/>
      <c r="I49" s="1"/>
    </row>
    <row r="50" ht="16.5" customHeight="1">
      <c r="A50" s="1"/>
      <c r="B50" s="32" t="s">
        <v>2429</v>
      </c>
      <c r="C50" s="32" t="s">
        <v>2443</v>
      </c>
      <c r="D50" s="32"/>
      <c r="E50" s="32"/>
      <c r="F50" s="32"/>
      <c r="G50" s="32"/>
      <c r="H50" s="32"/>
      <c r="I50" s="1"/>
    </row>
    <row r="51" ht="16.5" customHeight="1">
      <c r="A51" s="1"/>
      <c r="B51" s="32" t="s">
        <v>2429</v>
      </c>
      <c r="C51" s="32" t="s">
        <v>2444</v>
      </c>
      <c r="D51" s="32"/>
      <c r="E51" s="32"/>
      <c r="F51" s="32"/>
      <c r="G51" s="32"/>
      <c r="H51" s="32"/>
      <c r="I51" s="1"/>
    </row>
    <row r="52" ht="16.5" customHeight="1">
      <c r="A52" s="1"/>
      <c r="B52" s="32" t="s">
        <v>2429</v>
      </c>
      <c r="C52" s="32" t="s">
        <v>2446</v>
      </c>
      <c r="D52" s="32"/>
      <c r="E52" s="32"/>
      <c r="F52" s="32"/>
      <c r="G52" s="32"/>
      <c r="H52" s="32"/>
      <c r="I52" s="1"/>
    </row>
    <row r="53" ht="16.5" customHeight="1">
      <c r="A53" s="1"/>
      <c r="B53" s="32"/>
      <c r="C53" s="32"/>
      <c r="D53" s="32"/>
      <c r="E53" s="32"/>
      <c r="F53" s="32"/>
      <c r="G53" s="32"/>
      <c r="H53" s="32"/>
      <c r="I53" s="1"/>
    </row>
    <row r="54" ht="16.5" customHeight="1">
      <c r="A54" s="1"/>
      <c r="B54" s="32"/>
      <c r="C54" s="32"/>
      <c r="D54" s="32"/>
      <c r="E54" s="32"/>
      <c r="F54" s="32"/>
      <c r="G54" s="32"/>
      <c r="H54" s="32"/>
      <c r="I54" s="1"/>
    </row>
    <row r="55" ht="16.5" customHeight="1">
      <c r="A55" s="1"/>
      <c r="B55" s="32"/>
      <c r="C55" s="32"/>
      <c r="D55" s="32"/>
      <c r="E55" s="32"/>
      <c r="F55" s="32"/>
      <c r="G55" s="32"/>
      <c r="H55" s="32"/>
      <c r="I55" s="1"/>
    </row>
    <row r="56" ht="16.5" customHeight="1">
      <c r="A56" s="1"/>
      <c r="B56" s="32"/>
      <c r="C56" s="32"/>
      <c r="D56" s="32"/>
      <c r="E56" s="32"/>
      <c r="F56" s="32"/>
      <c r="G56" s="32"/>
      <c r="H56" s="32"/>
      <c r="I56" s="1"/>
    </row>
    <row r="57" ht="16.5" customHeight="1">
      <c r="A57" s="1"/>
      <c r="B57" s="32"/>
      <c r="C57" s="32"/>
      <c r="D57" s="32"/>
      <c r="E57" s="32"/>
      <c r="F57" s="32"/>
      <c r="G57" s="32"/>
      <c r="H57" s="32"/>
      <c r="I57" s="1"/>
    </row>
    <row r="58" ht="16.5" customHeight="1">
      <c r="A58" s="1"/>
      <c r="B58" s="32"/>
      <c r="C58" s="32"/>
      <c r="D58" s="32"/>
      <c r="E58" s="32"/>
      <c r="F58" s="32"/>
      <c r="G58" s="32"/>
      <c r="H58" s="32"/>
      <c r="I58" s="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H58">
    <cfRule type="expression" dxfId="17" priority="1">
      <formula>$B7="Couple"</formula>
    </cfRule>
  </conditionalFormatting>
  <conditionalFormatting sqref="B7:H58">
    <cfRule type="expression" dxfId="18" priority="2">
      <formula>$B7="Family"</formula>
    </cfRule>
  </conditionalFormatting>
  <conditionalFormatting sqref="B7:H58">
    <cfRule type="expression" dxfId="19" priority="3">
      <formula>$B7="Running the day"</formula>
    </cfRule>
  </conditionalFormatting>
  <conditionalFormatting sqref="B7:H58">
    <cfRule type="expression" dxfId="20" priority="4">
      <formula>$B7="Ceremony"</formula>
    </cfRule>
  </conditionalFormatting>
  <conditionalFormatting sqref="B7:H58">
    <cfRule type="expression" dxfId="21" priority="5">
      <formula>$B7="Vendors"</formula>
    </cfRule>
  </conditionalFormatting>
  <conditionalFormatting sqref="B7:H58">
    <cfRule type="expression" dxfId="22" priority="6">
      <formula>$B7="Transport"</formula>
    </cfRule>
  </conditionalFormatting>
  <conditionalFormatting sqref="B7:H58">
    <cfRule type="expression" dxfId="6" priority="7">
      <formula>$B7="Emergency"</formula>
    </cfRule>
  </conditionalFormatting>
  <conditionalFormatting sqref="E7:E58">
    <cfRule type="expression" dxfId="6" priority="8">
      <formula>AND($C7&lt;&gt;"",$E7="")</formula>
    </cfRule>
  </conditionalFormatting>
  <printOptions horizontalCentered="1"/>
  <pageMargins bottom="0.4" footer="0.0" header="0.0" left="0.3" right="0.3" top="0.4"/>
  <pageSetup fitToHeight="0" orientation="landscape"/>
  <headerFooter>
    <oddFooter>&amp;C 22 Contact Sheet   -   page &amp;P of </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0"/>
    <col customWidth="1" min="2" max="3" width="19.29"/>
    <col customWidth="1" min="4" max="4" width="42.86"/>
    <col customWidth="1" min="5" max="5" width="10.71"/>
    <col customWidth="1" min="6" max="6" width="7.43"/>
    <col customWidth="1" min="7" max="8" width="14.57"/>
    <col customWidth="1" min="9" max="9" width="21.43"/>
    <col customWidth="1" min="10" max="10" width="10.71"/>
    <col customWidth="1" min="11" max="11" width="12.86"/>
    <col customWidth="1" min="12" max="13" width="19.29"/>
    <col customWidth="1" min="14" max="14" width="12.86"/>
    <col customWidth="1" min="15" max="16" width="10.71"/>
    <col customWidth="1" min="17" max="17" width="27.86"/>
  </cols>
  <sheetData>
    <row r="1" ht="16.5" customHeight="1">
      <c r="A1" s="1"/>
      <c r="B1" s="1"/>
      <c r="C1" s="1"/>
      <c r="D1" s="1"/>
      <c r="E1" s="1"/>
      <c r="F1" s="1"/>
      <c r="G1" s="1"/>
      <c r="H1" s="1"/>
      <c r="I1" s="1"/>
      <c r="J1" s="1"/>
      <c r="K1" s="1"/>
      <c r="L1" s="1"/>
      <c r="M1" s="1"/>
      <c r="N1" s="1"/>
      <c r="O1" s="1"/>
      <c r="P1" s="1"/>
      <c r="Q1" s="1"/>
    </row>
    <row r="2" ht="33.75" customHeight="1">
      <c r="A2" s="2"/>
      <c r="B2" s="2" t="s">
        <v>2451</v>
      </c>
      <c r="C2" s="2"/>
      <c r="D2" s="2"/>
      <c r="E2" s="2"/>
      <c r="F2" s="2"/>
      <c r="G2" s="2"/>
      <c r="H2" s="2"/>
      <c r="I2" s="2"/>
      <c r="J2" s="2"/>
      <c r="K2" s="2"/>
      <c r="L2" s="2"/>
      <c r="M2" s="2"/>
      <c r="N2" s="2"/>
      <c r="O2" s="2"/>
      <c r="P2" s="2"/>
      <c r="Q2" s="2"/>
    </row>
    <row r="3" ht="15.75" customHeight="1">
      <c r="A3" s="3"/>
      <c r="B3" s="3" t="s">
        <v>2452</v>
      </c>
      <c r="C3" s="3"/>
      <c r="D3" s="3"/>
      <c r="E3" s="3"/>
      <c r="F3" s="3"/>
      <c r="G3" s="3"/>
      <c r="H3" s="3"/>
      <c r="I3" s="3"/>
      <c r="J3" s="3"/>
      <c r="K3" s="3"/>
      <c r="L3" s="3"/>
      <c r="M3" s="3"/>
      <c r="N3" s="3"/>
      <c r="O3" s="3"/>
      <c r="P3" s="3"/>
      <c r="Q3" s="3"/>
    </row>
    <row r="4" ht="16.5" customHeight="1">
      <c r="A4" s="1"/>
      <c r="B4" s="1"/>
      <c r="C4" s="1"/>
      <c r="D4" s="1"/>
      <c r="E4" s="1"/>
      <c r="F4" s="1"/>
      <c r="G4" s="1"/>
      <c r="H4" s="1"/>
      <c r="I4" s="1"/>
      <c r="J4" s="1"/>
      <c r="K4" s="1"/>
      <c r="L4" s="1"/>
      <c r="M4" s="1"/>
      <c r="N4" s="1"/>
      <c r="O4" s="1"/>
      <c r="P4" s="1"/>
      <c r="Q4" s="1"/>
    </row>
    <row r="5" ht="16.5" customHeight="1">
      <c r="A5" s="1"/>
      <c r="B5" s="1"/>
      <c r="C5" s="1"/>
      <c r="D5" s="5" t="str">
        <f>"Packed: "&amp;COUNTIF(O7:O100,"Yes")&amp;" of "&amp;COUNTIF(O7:O100,"&lt;&gt;")&amp;"      Loaded: "&amp;COUNTIF(P7:P100,"Yes")</f>
        <v>Packed: 0 of 82      Loaded: 0</v>
      </c>
      <c r="E5" s="1"/>
      <c r="F5" s="1"/>
      <c r="G5" s="13">
        <f t="shared" ref="G5:H5" si="1">SUM(G7:G100)</f>
        <v>53400</v>
      </c>
      <c r="H5" s="13">
        <f t="shared" si="1"/>
        <v>0</v>
      </c>
      <c r="I5" s="1"/>
      <c r="J5" s="1"/>
      <c r="K5" s="1"/>
      <c r="L5" s="1"/>
      <c r="M5" s="1"/>
      <c r="N5" s="1"/>
      <c r="O5" s="1"/>
      <c r="P5" s="1"/>
      <c r="Q5" s="1"/>
    </row>
    <row r="6" ht="30.0" customHeight="1">
      <c r="A6" s="16"/>
      <c r="B6" s="17" t="s">
        <v>2453</v>
      </c>
      <c r="C6" s="17" t="s">
        <v>55</v>
      </c>
      <c r="D6" s="17" t="s">
        <v>1783</v>
      </c>
      <c r="E6" s="17" t="s">
        <v>2454</v>
      </c>
      <c r="F6" s="17" t="s">
        <v>1875</v>
      </c>
      <c r="G6" s="17" t="s">
        <v>2455</v>
      </c>
      <c r="H6" s="17" t="s">
        <v>2456</v>
      </c>
      <c r="I6" s="17" t="s">
        <v>2457</v>
      </c>
      <c r="J6" s="17" t="s">
        <v>2458</v>
      </c>
      <c r="K6" s="17" t="s">
        <v>2459</v>
      </c>
      <c r="L6" s="17" t="s">
        <v>1818</v>
      </c>
      <c r="M6" s="17" t="s">
        <v>1817</v>
      </c>
      <c r="N6" s="17" t="s">
        <v>2460</v>
      </c>
      <c r="O6" s="17" t="s">
        <v>2461</v>
      </c>
      <c r="P6" s="17" t="s">
        <v>2462</v>
      </c>
      <c r="Q6" s="17" t="s">
        <v>50</v>
      </c>
    </row>
    <row r="7" ht="16.5" customHeight="1">
      <c r="A7" s="1"/>
      <c r="B7" s="32" t="s">
        <v>2463</v>
      </c>
      <c r="C7" s="32" t="s">
        <v>2464</v>
      </c>
      <c r="D7" s="32" t="s">
        <v>2465</v>
      </c>
      <c r="E7" s="32" t="s">
        <v>128</v>
      </c>
      <c r="F7" s="32">
        <v>1.0</v>
      </c>
      <c r="G7" s="38">
        <v>500.0</v>
      </c>
      <c r="H7" s="38"/>
      <c r="I7" s="32"/>
      <c r="J7" s="32" t="s">
        <v>1240</v>
      </c>
      <c r="K7" s="24"/>
      <c r="L7" s="32"/>
      <c r="M7" s="32"/>
      <c r="N7" s="32" t="s">
        <v>114</v>
      </c>
      <c r="O7" s="32" t="s">
        <v>1240</v>
      </c>
      <c r="P7" s="32" t="s">
        <v>1240</v>
      </c>
      <c r="Q7" s="32"/>
    </row>
    <row r="8" ht="16.5" customHeight="1">
      <c r="A8" s="1"/>
      <c r="B8" s="32" t="s">
        <v>2463</v>
      </c>
      <c r="C8" s="32" t="s">
        <v>2464</v>
      </c>
      <c r="D8" s="32" t="s">
        <v>2466</v>
      </c>
      <c r="E8" s="32" t="s">
        <v>128</v>
      </c>
      <c r="F8" s="32">
        <v>1.0</v>
      </c>
      <c r="G8" s="38">
        <v>800.0</v>
      </c>
      <c r="H8" s="38"/>
      <c r="I8" s="32"/>
      <c r="J8" s="32" t="s">
        <v>1240</v>
      </c>
      <c r="K8" s="24"/>
      <c r="L8" s="32"/>
      <c r="M8" s="32"/>
      <c r="N8" s="32" t="s">
        <v>114</v>
      </c>
      <c r="O8" s="32" t="s">
        <v>1240</v>
      </c>
      <c r="P8" s="32" t="s">
        <v>1240</v>
      </c>
      <c r="Q8" s="32"/>
    </row>
    <row r="9" ht="16.5" customHeight="1">
      <c r="A9" s="1"/>
      <c r="B9" s="32" t="s">
        <v>2463</v>
      </c>
      <c r="C9" s="32" t="s">
        <v>2464</v>
      </c>
      <c r="D9" s="32" t="s">
        <v>2467</v>
      </c>
      <c r="E9" s="32" t="s">
        <v>128</v>
      </c>
      <c r="F9" s="32">
        <v>1.0</v>
      </c>
      <c r="G9" s="38">
        <v>700.0</v>
      </c>
      <c r="H9" s="38"/>
      <c r="I9" s="32"/>
      <c r="J9" s="32" t="s">
        <v>1240</v>
      </c>
      <c r="K9" s="24"/>
      <c r="L9" s="32"/>
      <c r="M9" s="32"/>
      <c r="N9" s="32" t="s">
        <v>114</v>
      </c>
      <c r="O9" s="32" t="s">
        <v>1240</v>
      </c>
      <c r="P9" s="32" t="s">
        <v>1240</v>
      </c>
      <c r="Q9" s="32"/>
    </row>
    <row r="10" ht="16.5" customHeight="1">
      <c r="A10" s="1"/>
      <c r="B10" s="32" t="s">
        <v>2463</v>
      </c>
      <c r="C10" s="32" t="s">
        <v>2464</v>
      </c>
      <c r="D10" s="32" t="s">
        <v>2468</v>
      </c>
      <c r="E10" s="32" t="s">
        <v>128</v>
      </c>
      <c r="F10" s="32">
        <v>1.0</v>
      </c>
      <c r="G10" s="38">
        <v>600.0</v>
      </c>
      <c r="H10" s="38"/>
      <c r="I10" s="32"/>
      <c r="J10" s="32" t="s">
        <v>1240</v>
      </c>
      <c r="K10" s="24"/>
      <c r="L10" s="32"/>
      <c r="M10" s="32"/>
      <c r="N10" s="32" t="s">
        <v>114</v>
      </c>
      <c r="O10" s="32" t="s">
        <v>1240</v>
      </c>
      <c r="P10" s="32" t="s">
        <v>1240</v>
      </c>
      <c r="Q10" s="32"/>
    </row>
    <row r="11" ht="16.5" customHeight="1">
      <c r="A11" s="1"/>
      <c r="B11" s="32" t="s">
        <v>2463</v>
      </c>
      <c r="C11" s="32" t="s">
        <v>2464</v>
      </c>
      <c r="D11" s="32" t="s">
        <v>2470</v>
      </c>
      <c r="E11" s="32" t="s">
        <v>128</v>
      </c>
      <c r="F11" s="32">
        <v>1.0</v>
      </c>
      <c r="G11" s="38">
        <v>900.0</v>
      </c>
      <c r="H11" s="38"/>
      <c r="I11" s="32"/>
      <c r="J11" s="32" t="s">
        <v>1240</v>
      </c>
      <c r="K11" s="24"/>
      <c r="L11" s="32"/>
      <c r="M11" s="32"/>
      <c r="N11" s="32" t="s">
        <v>114</v>
      </c>
      <c r="O11" s="32" t="s">
        <v>1240</v>
      </c>
      <c r="P11" s="32" t="s">
        <v>1240</v>
      </c>
      <c r="Q11" s="32"/>
    </row>
    <row r="12" ht="16.5" customHeight="1">
      <c r="A12" s="1"/>
      <c r="B12" s="32" t="s">
        <v>2463</v>
      </c>
      <c r="C12" s="32" t="s">
        <v>2464</v>
      </c>
      <c r="D12" s="32" t="s">
        <v>2472</v>
      </c>
      <c r="E12" s="32" t="s">
        <v>128</v>
      </c>
      <c r="F12" s="32">
        <v>1.0</v>
      </c>
      <c r="G12" s="38">
        <v>500.0</v>
      </c>
      <c r="H12" s="38"/>
      <c r="I12" s="32"/>
      <c r="J12" s="32" t="s">
        <v>1240</v>
      </c>
      <c r="K12" s="24"/>
      <c r="L12" s="32"/>
      <c r="M12" s="32"/>
      <c r="N12" s="32" t="s">
        <v>114</v>
      </c>
      <c r="O12" s="32" t="s">
        <v>1240</v>
      </c>
      <c r="P12" s="32" t="s">
        <v>1240</v>
      </c>
      <c r="Q12" s="32"/>
    </row>
    <row r="13" ht="16.5" customHeight="1">
      <c r="A13" s="1"/>
      <c r="B13" s="32" t="s">
        <v>2463</v>
      </c>
      <c r="C13" s="32" t="s">
        <v>2464</v>
      </c>
      <c r="D13" s="32" t="s">
        <v>2473</v>
      </c>
      <c r="E13" s="32" t="s">
        <v>128</v>
      </c>
      <c r="F13" s="32">
        <v>1.0</v>
      </c>
      <c r="G13" s="38">
        <v>400.0</v>
      </c>
      <c r="H13" s="38"/>
      <c r="I13" s="32"/>
      <c r="J13" s="32" t="s">
        <v>1240</v>
      </c>
      <c r="K13" s="24"/>
      <c r="L13" s="32"/>
      <c r="M13" s="32"/>
      <c r="N13" s="32" t="s">
        <v>114</v>
      </c>
      <c r="O13" s="32" t="s">
        <v>1240</v>
      </c>
      <c r="P13" s="32" t="s">
        <v>1240</v>
      </c>
      <c r="Q13" s="32"/>
    </row>
    <row r="14" ht="16.5" customHeight="1">
      <c r="A14" s="1"/>
      <c r="B14" s="32" t="s">
        <v>2463</v>
      </c>
      <c r="C14" s="32" t="s">
        <v>2464</v>
      </c>
      <c r="D14" s="32" t="s">
        <v>2479</v>
      </c>
      <c r="E14" s="32" t="s">
        <v>128</v>
      </c>
      <c r="F14" s="32">
        <v>1.0</v>
      </c>
      <c r="G14" s="38">
        <v>900.0</v>
      </c>
      <c r="H14" s="38"/>
      <c r="I14" s="32"/>
      <c r="J14" s="32" t="s">
        <v>1240</v>
      </c>
      <c r="K14" s="24"/>
      <c r="L14" s="32"/>
      <c r="M14" s="32"/>
      <c r="N14" s="32" t="s">
        <v>114</v>
      </c>
      <c r="O14" s="32" t="s">
        <v>1240</v>
      </c>
      <c r="P14" s="32" t="s">
        <v>1240</v>
      </c>
      <c r="Q14" s="32"/>
    </row>
    <row r="15" ht="16.5" customHeight="1">
      <c r="A15" s="1"/>
      <c r="B15" s="32" t="s">
        <v>2463</v>
      </c>
      <c r="C15" s="32" t="s">
        <v>2464</v>
      </c>
      <c r="D15" s="32" t="s">
        <v>2485</v>
      </c>
      <c r="E15" s="32" t="s">
        <v>128</v>
      </c>
      <c r="F15" s="32">
        <v>1.0</v>
      </c>
      <c r="G15" s="38">
        <v>1500.0</v>
      </c>
      <c r="H15" s="38"/>
      <c r="I15" s="32"/>
      <c r="J15" s="32" t="s">
        <v>1240</v>
      </c>
      <c r="K15" s="24"/>
      <c r="L15" s="32"/>
      <c r="M15" s="32"/>
      <c r="N15" s="32" t="s">
        <v>114</v>
      </c>
      <c r="O15" s="32" t="s">
        <v>1240</v>
      </c>
      <c r="P15" s="32" t="s">
        <v>1240</v>
      </c>
      <c r="Q15" s="32"/>
    </row>
    <row r="16" ht="16.5" customHeight="1">
      <c r="A16" s="1"/>
      <c r="B16" s="32" t="s">
        <v>2463</v>
      </c>
      <c r="C16" s="32" t="s">
        <v>2464</v>
      </c>
      <c r="D16" s="32" t="s">
        <v>2486</v>
      </c>
      <c r="E16" s="32" t="s">
        <v>128</v>
      </c>
      <c r="F16" s="32">
        <v>1.0</v>
      </c>
      <c r="G16" s="38">
        <v>1000.0</v>
      </c>
      <c r="H16" s="38"/>
      <c r="I16" s="32"/>
      <c r="J16" s="32" t="s">
        <v>1240</v>
      </c>
      <c r="K16" s="24"/>
      <c r="L16" s="32"/>
      <c r="M16" s="32"/>
      <c r="N16" s="32" t="s">
        <v>114</v>
      </c>
      <c r="O16" s="32" t="s">
        <v>1240</v>
      </c>
      <c r="P16" s="32" t="s">
        <v>1240</v>
      </c>
      <c r="Q16" s="32"/>
    </row>
    <row r="17" ht="16.5" customHeight="1">
      <c r="A17" s="1"/>
      <c r="B17" s="32" t="s">
        <v>2463</v>
      </c>
      <c r="C17" s="32" t="s">
        <v>2464</v>
      </c>
      <c r="D17" s="32" t="s">
        <v>2487</v>
      </c>
      <c r="E17" s="32" t="s">
        <v>128</v>
      </c>
      <c r="F17" s="32">
        <v>1.0</v>
      </c>
      <c r="G17" s="38">
        <v>600.0</v>
      </c>
      <c r="H17" s="38"/>
      <c r="I17" s="32"/>
      <c r="J17" s="32" t="s">
        <v>1240</v>
      </c>
      <c r="K17" s="24"/>
      <c r="L17" s="32"/>
      <c r="M17" s="32"/>
      <c r="N17" s="32" t="s">
        <v>114</v>
      </c>
      <c r="O17" s="32" t="s">
        <v>1240</v>
      </c>
      <c r="P17" s="32" t="s">
        <v>1240</v>
      </c>
      <c r="Q17" s="32"/>
    </row>
    <row r="18" ht="16.5" customHeight="1">
      <c r="A18" s="1"/>
      <c r="B18" s="32" t="s">
        <v>2463</v>
      </c>
      <c r="C18" s="32" t="s">
        <v>2464</v>
      </c>
      <c r="D18" s="32" t="s">
        <v>2490</v>
      </c>
      <c r="E18" s="32" t="s">
        <v>128</v>
      </c>
      <c r="F18" s="32">
        <v>1.0</v>
      </c>
      <c r="G18" s="38">
        <v>500.0</v>
      </c>
      <c r="H18" s="38"/>
      <c r="I18" s="32"/>
      <c r="J18" s="32" t="s">
        <v>1240</v>
      </c>
      <c r="K18" s="24"/>
      <c r="L18" s="32"/>
      <c r="M18" s="32"/>
      <c r="N18" s="32" t="s">
        <v>114</v>
      </c>
      <c r="O18" s="32" t="s">
        <v>1240</v>
      </c>
      <c r="P18" s="32" t="s">
        <v>1240</v>
      </c>
      <c r="Q18" s="32"/>
    </row>
    <row r="19" ht="16.5" customHeight="1">
      <c r="A19" s="1"/>
      <c r="B19" s="32" t="s">
        <v>2463</v>
      </c>
      <c r="C19" s="32" t="s">
        <v>2464</v>
      </c>
      <c r="D19" s="32" t="s">
        <v>2493</v>
      </c>
      <c r="E19" s="32" t="s">
        <v>128</v>
      </c>
      <c r="F19" s="32">
        <v>1.0</v>
      </c>
      <c r="G19" s="38">
        <v>300.0</v>
      </c>
      <c r="H19" s="38"/>
      <c r="I19" s="32"/>
      <c r="J19" s="32" t="s">
        <v>1240</v>
      </c>
      <c r="K19" s="24"/>
      <c r="L19" s="32"/>
      <c r="M19" s="32"/>
      <c r="N19" s="32" t="s">
        <v>114</v>
      </c>
      <c r="O19" s="32" t="s">
        <v>1240</v>
      </c>
      <c r="P19" s="32" t="s">
        <v>1240</v>
      </c>
      <c r="Q19" s="32"/>
    </row>
    <row r="20" ht="16.5" customHeight="1">
      <c r="A20" s="1"/>
      <c r="B20" s="32" t="s">
        <v>2463</v>
      </c>
      <c r="C20" s="32" t="s">
        <v>2464</v>
      </c>
      <c r="D20" s="32" t="s">
        <v>2496</v>
      </c>
      <c r="E20" s="32" t="s">
        <v>128</v>
      </c>
      <c r="F20" s="32">
        <v>1.0</v>
      </c>
      <c r="G20" s="38">
        <v>2000.0</v>
      </c>
      <c r="H20" s="38"/>
      <c r="I20" s="32"/>
      <c r="J20" s="32" t="s">
        <v>1240</v>
      </c>
      <c r="K20" s="24"/>
      <c r="L20" s="32"/>
      <c r="M20" s="32"/>
      <c r="N20" s="32" t="s">
        <v>114</v>
      </c>
      <c r="O20" s="32" t="s">
        <v>1240</v>
      </c>
      <c r="P20" s="32" t="s">
        <v>1240</v>
      </c>
      <c r="Q20" s="32"/>
    </row>
    <row r="21" ht="16.5" customHeight="1">
      <c r="A21" s="1"/>
      <c r="B21" s="32" t="s">
        <v>2463</v>
      </c>
      <c r="C21" s="32" t="s">
        <v>2500</v>
      </c>
      <c r="D21" s="32" t="s">
        <v>2501</v>
      </c>
      <c r="E21" s="32" t="s">
        <v>128</v>
      </c>
      <c r="F21" s="32">
        <v>1.0</v>
      </c>
      <c r="G21" s="38">
        <v>0.0</v>
      </c>
      <c r="H21" s="38"/>
      <c r="I21" s="32"/>
      <c r="J21" s="32" t="s">
        <v>1240</v>
      </c>
      <c r="K21" s="24"/>
      <c r="L21" s="32"/>
      <c r="M21" s="32"/>
      <c r="N21" s="32" t="s">
        <v>114</v>
      </c>
      <c r="O21" s="32" t="s">
        <v>1240</v>
      </c>
      <c r="P21" s="32" t="s">
        <v>1240</v>
      </c>
      <c r="Q21" s="32"/>
    </row>
    <row r="22" ht="16.5" customHeight="1">
      <c r="A22" s="1"/>
      <c r="B22" s="32" t="s">
        <v>2463</v>
      </c>
      <c r="C22" s="32" t="s">
        <v>2500</v>
      </c>
      <c r="D22" s="32" t="s">
        <v>2504</v>
      </c>
      <c r="E22" s="32" t="s">
        <v>128</v>
      </c>
      <c r="F22" s="32">
        <v>1.0</v>
      </c>
      <c r="G22" s="38">
        <v>0.0</v>
      </c>
      <c r="H22" s="38"/>
      <c r="I22" s="32"/>
      <c r="J22" s="32" t="s">
        <v>1240</v>
      </c>
      <c r="K22" s="24"/>
      <c r="L22" s="32"/>
      <c r="M22" s="32"/>
      <c r="N22" s="32" t="s">
        <v>114</v>
      </c>
      <c r="O22" s="32" t="s">
        <v>1240</v>
      </c>
      <c r="P22" s="32" t="s">
        <v>1240</v>
      </c>
      <c r="Q22" s="32"/>
    </row>
    <row r="23" ht="16.5" customHeight="1">
      <c r="A23" s="1"/>
      <c r="B23" s="32" t="s">
        <v>2463</v>
      </c>
      <c r="C23" s="32" t="s">
        <v>2500</v>
      </c>
      <c r="D23" s="32" t="s">
        <v>2508</v>
      </c>
      <c r="E23" s="32" t="s">
        <v>128</v>
      </c>
      <c r="F23" s="32">
        <v>1.0</v>
      </c>
      <c r="G23" s="38">
        <v>1200.0</v>
      </c>
      <c r="H23" s="38"/>
      <c r="I23" s="32"/>
      <c r="J23" s="32" t="s">
        <v>1240</v>
      </c>
      <c r="K23" s="24"/>
      <c r="L23" s="32"/>
      <c r="M23" s="32"/>
      <c r="N23" s="32" t="s">
        <v>114</v>
      </c>
      <c r="O23" s="32" t="s">
        <v>1240</v>
      </c>
      <c r="P23" s="32" t="s">
        <v>1240</v>
      </c>
      <c r="Q23" s="32"/>
    </row>
    <row r="24" ht="16.5" customHeight="1">
      <c r="A24" s="1"/>
      <c r="B24" s="32" t="s">
        <v>2463</v>
      </c>
      <c r="C24" s="32" t="s">
        <v>2500</v>
      </c>
      <c r="D24" s="32" t="s">
        <v>2511</v>
      </c>
      <c r="E24" s="32" t="s">
        <v>128</v>
      </c>
      <c r="F24" s="32">
        <v>1.0</v>
      </c>
      <c r="G24" s="38">
        <v>500.0</v>
      </c>
      <c r="H24" s="38"/>
      <c r="I24" s="32"/>
      <c r="J24" s="32" t="s">
        <v>1240</v>
      </c>
      <c r="K24" s="24"/>
      <c r="L24" s="32"/>
      <c r="M24" s="32"/>
      <c r="N24" s="32" t="s">
        <v>114</v>
      </c>
      <c r="O24" s="32" t="s">
        <v>1240</v>
      </c>
      <c r="P24" s="32" t="s">
        <v>1240</v>
      </c>
      <c r="Q24" s="32"/>
    </row>
    <row r="25" ht="16.5" customHeight="1">
      <c r="A25" s="1"/>
      <c r="B25" s="32" t="s">
        <v>2463</v>
      </c>
      <c r="C25" s="32" t="s">
        <v>2500</v>
      </c>
      <c r="D25" s="32" t="s">
        <v>2515</v>
      </c>
      <c r="E25" s="32" t="s">
        <v>128</v>
      </c>
      <c r="F25" s="32">
        <v>1.0</v>
      </c>
      <c r="G25" s="38">
        <v>3500.0</v>
      </c>
      <c r="H25" s="38"/>
      <c r="I25" s="32"/>
      <c r="J25" s="32" t="s">
        <v>1240</v>
      </c>
      <c r="K25" s="24"/>
      <c r="L25" s="32"/>
      <c r="M25" s="32"/>
      <c r="N25" s="32" t="s">
        <v>114</v>
      </c>
      <c r="O25" s="32" t="s">
        <v>1240</v>
      </c>
      <c r="P25" s="32" t="s">
        <v>1240</v>
      </c>
      <c r="Q25" s="32"/>
    </row>
    <row r="26" ht="16.5" customHeight="1">
      <c r="A26" s="1"/>
      <c r="B26" s="32" t="s">
        <v>2463</v>
      </c>
      <c r="C26" s="32" t="s">
        <v>2517</v>
      </c>
      <c r="D26" s="32" t="s">
        <v>2518</v>
      </c>
      <c r="E26" s="32" t="s">
        <v>128</v>
      </c>
      <c r="F26" s="32">
        <v>1.0</v>
      </c>
      <c r="G26" s="38">
        <v>300.0</v>
      </c>
      <c r="H26" s="38"/>
      <c r="I26" s="32"/>
      <c r="J26" s="32" t="s">
        <v>1240</v>
      </c>
      <c r="K26" s="24"/>
      <c r="L26" s="32"/>
      <c r="M26" s="32"/>
      <c r="N26" s="32" t="s">
        <v>114</v>
      </c>
      <c r="O26" s="32" t="s">
        <v>1240</v>
      </c>
      <c r="P26" s="32" t="s">
        <v>1240</v>
      </c>
      <c r="Q26" s="32"/>
    </row>
    <row r="27" ht="16.5" customHeight="1">
      <c r="A27" s="1"/>
      <c r="B27" s="32" t="s">
        <v>2463</v>
      </c>
      <c r="C27" s="32" t="s">
        <v>2517</v>
      </c>
      <c r="D27" s="32" t="s">
        <v>2522</v>
      </c>
      <c r="E27" s="32" t="s">
        <v>128</v>
      </c>
      <c r="F27" s="32">
        <v>1.0</v>
      </c>
      <c r="G27" s="38">
        <v>1500.0</v>
      </c>
      <c r="H27" s="38"/>
      <c r="I27" s="32"/>
      <c r="J27" s="32" t="s">
        <v>1240</v>
      </c>
      <c r="K27" s="24"/>
      <c r="L27" s="32"/>
      <c r="M27" s="32"/>
      <c r="N27" s="32" t="s">
        <v>114</v>
      </c>
      <c r="O27" s="32" t="s">
        <v>1240</v>
      </c>
      <c r="P27" s="32" t="s">
        <v>1240</v>
      </c>
      <c r="Q27" s="32"/>
    </row>
    <row r="28" ht="16.5" customHeight="1">
      <c r="A28" s="1"/>
      <c r="B28" s="32" t="s">
        <v>2463</v>
      </c>
      <c r="C28" s="32" t="s">
        <v>2517</v>
      </c>
      <c r="D28" s="32" t="s">
        <v>2526</v>
      </c>
      <c r="E28" s="32" t="s">
        <v>128</v>
      </c>
      <c r="F28" s="32">
        <v>1.0</v>
      </c>
      <c r="G28" s="38">
        <v>4000.0</v>
      </c>
      <c r="H28" s="38"/>
      <c r="I28" s="32"/>
      <c r="J28" s="32" t="s">
        <v>1240</v>
      </c>
      <c r="K28" s="24"/>
      <c r="L28" s="32"/>
      <c r="M28" s="32"/>
      <c r="N28" s="32" t="s">
        <v>114</v>
      </c>
      <c r="O28" s="32" t="s">
        <v>1240</v>
      </c>
      <c r="P28" s="32" t="s">
        <v>1240</v>
      </c>
      <c r="Q28" s="32"/>
    </row>
    <row r="29" ht="16.5" customHeight="1">
      <c r="A29" s="1"/>
      <c r="B29" s="32" t="s">
        <v>2529</v>
      </c>
      <c r="C29" s="32" t="s">
        <v>2464</v>
      </c>
      <c r="D29" s="32" t="s">
        <v>2530</v>
      </c>
      <c r="E29" s="32" t="s">
        <v>128</v>
      </c>
      <c r="F29" s="32">
        <v>1.0</v>
      </c>
      <c r="G29" s="38">
        <v>0.0</v>
      </c>
      <c r="H29" s="38"/>
      <c r="I29" s="32"/>
      <c r="J29" s="32" t="s">
        <v>1240</v>
      </c>
      <c r="K29" s="24"/>
      <c r="L29" s="32"/>
      <c r="M29" s="32"/>
      <c r="N29" s="32" t="s">
        <v>114</v>
      </c>
      <c r="O29" s="32" t="s">
        <v>1240</v>
      </c>
      <c r="P29" s="32" t="s">
        <v>1240</v>
      </c>
      <c r="Q29" s="32"/>
    </row>
    <row r="30" ht="16.5" customHeight="1">
      <c r="A30" s="1"/>
      <c r="B30" s="32" t="s">
        <v>2529</v>
      </c>
      <c r="C30" s="32" t="s">
        <v>2464</v>
      </c>
      <c r="D30" s="32" t="s">
        <v>2534</v>
      </c>
      <c r="E30" s="32" t="s">
        <v>128</v>
      </c>
      <c r="F30" s="32">
        <v>1.0</v>
      </c>
      <c r="G30" s="38">
        <v>700.0</v>
      </c>
      <c r="H30" s="38"/>
      <c r="I30" s="32"/>
      <c r="J30" s="32" t="s">
        <v>1240</v>
      </c>
      <c r="K30" s="24"/>
      <c r="L30" s="32"/>
      <c r="M30" s="32"/>
      <c r="N30" s="32" t="s">
        <v>114</v>
      </c>
      <c r="O30" s="32" t="s">
        <v>1240</v>
      </c>
      <c r="P30" s="32" t="s">
        <v>1240</v>
      </c>
      <c r="Q30" s="32"/>
    </row>
    <row r="31" ht="16.5" customHeight="1">
      <c r="A31" s="1"/>
      <c r="B31" s="32" t="s">
        <v>2529</v>
      </c>
      <c r="C31" s="32" t="s">
        <v>2464</v>
      </c>
      <c r="D31" s="32" t="s">
        <v>2539</v>
      </c>
      <c r="E31" s="32" t="s">
        <v>128</v>
      </c>
      <c r="F31" s="32">
        <v>1.0</v>
      </c>
      <c r="G31" s="38">
        <v>300.0</v>
      </c>
      <c r="H31" s="38"/>
      <c r="I31" s="32"/>
      <c r="J31" s="32" t="s">
        <v>1240</v>
      </c>
      <c r="K31" s="24"/>
      <c r="L31" s="32"/>
      <c r="M31" s="32"/>
      <c r="N31" s="32" t="s">
        <v>114</v>
      </c>
      <c r="O31" s="32" t="s">
        <v>1240</v>
      </c>
      <c r="P31" s="32" t="s">
        <v>1240</v>
      </c>
      <c r="Q31" s="32"/>
    </row>
    <row r="32" ht="16.5" customHeight="1">
      <c r="A32" s="1"/>
      <c r="B32" s="32" t="s">
        <v>2529</v>
      </c>
      <c r="C32" s="32" t="s">
        <v>2464</v>
      </c>
      <c r="D32" s="32" t="s">
        <v>2543</v>
      </c>
      <c r="E32" s="32" t="s">
        <v>128</v>
      </c>
      <c r="F32" s="32">
        <v>2.0</v>
      </c>
      <c r="G32" s="38">
        <v>800.0</v>
      </c>
      <c r="H32" s="38"/>
      <c r="I32" s="32"/>
      <c r="J32" s="32" t="s">
        <v>1240</v>
      </c>
      <c r="K32" s="24"/>
      <c r="L32" s="32"/>
      <c r="M32" s="32"/>
      <c r="N32" s="32" t="s">
        <v>114</v>
      </c>
      <c r="O32" s="32" t="s">
        <v>1240</v>
      </c>
      <c r="P32" s="32" t="s">
        <v>1240</v>
      </c>
      <c r="Q32" s="32"/>
    </row>
    <row r="33" ht="16.5" customHeight="1">
      <c r="A33" s="1"/>
      <c r="B33" s="32" t="s">
        <v>2529</v>
      </c>
      <c r="C33" s="32" t="s">
        <v>2464</v>
      </c>
      <c r="D33" s="32" t="s">
        <v>2547</v>
      </c>
      <c r="E33" s="32" t="s">
        <v>128</v>
      </c>
      <c r="F33" s="32">
        <v>3.0</v>
      </c>
      <c r="G33" s="38">
        <v>900.0</v>
      </c>
      <c r="H33" s="38"/>
      <c r="I33" s="32"/>
      <c r="J33" s="32" t="s">
        <v>1240</v>
      </c>
      <c r="K33" s="24"/>
      <c r="L33" s="32"/>
      <c r="M33" s="32"/>
      <c r="N33" s="32" t="s">
        <v>114</v>
      </c>
      <c r="O33" s="32" t="s">
        <v>1240</v>
      </c>
      <c r="P33" s="32" t="s">
        <v>1240</v>
      </c>
      <c r="Q33" s="32"/>
    </row>
    <row r="34" ht="16.5" customHeight="1">
      <c r="A34" s="1"/>
      <c r="B34" s="32" t="s">
        <v>2529</v>
      </c>
      <c r="C34" s="32" t="s">
        <v>2517</v>
      </c>
      <c r="D34" s="32" t="s">
        <v>2526</v>
      </c>
      <c r="E34" s="32" t="s">
        <v>128</v>
      </c>
      <c r="F34" s="32">
        <v>1.0</v>
      </c>
      <c r="G34" s="38">
        <v>0.0</v>
      </c>
      <c r="H34" s="38"/>
      <c r="I34" s="32"/>
      <c r="J34" s="32" t="s">
        <v>1240</v>
      </c>
      <c r="K34" s="24"/>
      <c r="L34" s="32"/>
      <c r="M34" s="32"/>
      <c r="N34" s="32" t="s">
        <v>114</v>
      </c>
      <c r="O34" s="32" t="s">
        <v>1240</v>
      </c>
      <c r="P34" s="32" t="s">
        <v>1240</v>
      </c>
      <c r="Q34" s="32"/>
    </row>
    <row r="35" ht="16.5" customHeight="1">
      <c r="A35" s="1"/>
      <c r="B35" s="32" t="s">
        <v>2529</v>
      </c>
      <c r="C35" s="32" t="s">
        <v>2517</v>
      </c>
      <c r="D35" s="32" t="s">
        <v>2554</v>
      </c>
      <c r="E35" s="32" t="s">
        <v>128</v>
      </c>
      <c r="F35" s="32">
        <v>1.0</v>
      </c>
      <c r="G35" s="38">
        <v>800.0</v>
      </c>
      <c r="H35" s="38"/>
      <c r="I35" s="32"/>
      <c r="J35" s="32" t="s">
        <v>1240</v>
      </c>
      <c r="K35" s="24"/>
      <c r="L35" s="32"/>
      <c r="M35" s="32"/>
      <c r="N35" s="32" t="s">
        <v>114</v>
      </c>
      <c r="O35" s="32" t="s">
        <v>1240</v>
      </c>
      <c r="P35" s="32" t="s">
        <v>1240</v>
      </c>
      <c r="Q35" s="32"/>
    </row>
    <row r="36" ht="16.5" customHeight="1">
      <c r="A36" s="1"/>
      <c r="B36" s="32" t="s">
        <v>2557</v>
      </c>
      <c r="C36" s="32" t="s">
        <v>2559</v>
      </c>
      <c r="D36" s="32" t="s">
        <v>2560</v>
      </c>
      <c r="E36" s="32" t="s">
        <v>128</v>
      </c>
      <c r="F36" s="32">
        <v>2.0</v>
      </c>
      <c r="G36" s="38">
        <v>0.0</v>
      </c>
      <c r="H36" s="38"/>
      <c r="I36" s="32"/>
      <c r="J36" s="32" t="s">
        <v>1240</v>
      </c>
      <c r="K36" s="24"/>
      <c r="L36" s="32"/>
      <c r="M36" s="32"/>
      <c r="N36" s="32" t="s">
        <v>114</v>
      </c>
      <c r="O36" s="32" t="s">
        <v>1240</v>
      </c>
      <c r="P36" s="32" t="s">
        <v>1240</v>
      </c>
      <c r="Q36" s="32"/>
    </row>
    <row r="37" ht="16.5" customHeight="1">
      <c r="A37" s="1"/>
      <c r="B37" s="32" t="s">
        <v>2557</v>
      </c>
      <c r="C37" s="32" t="s">
        <v>2559</v>
      </c>
      <c r="D37" s="32" t="s">
        <v>2567</v>
      </c>
      <c r="E37" s="32" t="s">
        <v>128</v>
      </c>
      <c r="F37" s="32">
        <v>2.0</v>
      </c>
      <c r="G37" s="38">
        <v>0.0</v>
      </c>
      <c r="H37" s="38"/>
      <c r="I37" s="32"/>
      <c r="J37" s="32" t="s">
        <v>1240</v>
      </c>
      <c r="K37" s="24"/>
      <c r="L37" s="32"/>
      <c r="M37" s="32"/>
      <c r="N37" s="32" t="s">
        <v>114</v>
      </c>
      <c r="O37" s="32" t="s">
        <v>1240</v>
      </c>
      <c r="P37" s="32" t="s">
        <v>1240</v>
      </c>
      <c r="Q37" s="32"/>
    </row>
    <row r="38" ht="16.5" customHeight="1">
      <c r="A38" s="1"/>
      <c r="B38" s="32" t="s">
        <v>2557</v>
      </c>
      <c r="C38" s="32" t="s">
        <v>2559</v>
      </c>
      <c r="D38" s="32" t="s">
        <v>2571</v>
      </c>
      <c r="E38" s="32" t="s">
        <v>128</v>
      </c>
      <c r="F38" s="32">
        <v>1.0</v>
      </c>
      <c r="G38" s="38">
        <v>0.0</v>
      </c>
      <c r="H38" s="38"/>
      <c r="I38" s="32"/>
      <c r="J38" s="32" t="s">
        <v>1240</v>
      </c>
      <c r="K38" s="24"/>
      <c r="L38" s="32"/>
      <c r="M38" s="32"/>
      <c r="N38" s="32" t="s">
        <v>114</v>
      </c>
      <c r="O38" s="32" t="s">
        <v>1240</v>
      </c>
      <c r="P38" s="32" t="s">
        <v>1240</v>
      </c>
      <c r="Q38" s="32"/>
    </row>
    <row r="39" ht="16.5" customHeight="1">
      <c r="A39" s="1"/>
      <c r="B39" s="32" t="s">
        <v>2557</v>
      </c>
      <c r="C39" s="32" t="s">
        <v>2559</v>
      </c>
      <c r="D39" s="32" t="s">
        <v>2576</v>
      </c>
      <c r="E39" s="32" t="s">
        <v>128</v>
      </c>
      <c r="F39" s="32">
        <v>2.0</v>
      </c>
      <c r="G39" s="38">
        <v>0.0</v>
      </c>
      <c r="H39" s="38"/>
      <c r="I39" s="32"/>
      <c r="J39" s="32" t="s">
        <v>1240</v>
      </c>
      <c r="K39" s="24"/>
      <c r="L39" s="32"/>
      <c r="M39" s="32"/>
      <c r="N39" s="32" t="s">
        <v>114</v>
      </c>
      <c r="O39" s="32" t="s">
        <v>1240</v>
      </c>
      <c r="P39" s="32" t="s">
        <v>1240</v>
      </c>
      <c r="Q39" s="32"/>
    </row>
    <row r="40" ht="16.5" customHeight="1">
      <c r="A40" s="1"/>
      <c r="B40" s="32" t="s">
        <v>2557</v>
      </c>
      <c r="C40" s="32" t="s">
        <v>2559</v>
      </c>
      <c r="D40" s="32" t="s">
        <v>2583</v>
      </c>
      <c r="E40" s="32" t="s">
        <v>128</v>
      </c>
      <c r="F40" s="32">
        <v>1.0</v>
      </c>
      <c r="G40" s="38">
        <v>0.0</v>
      </c>
      <c r="H40" s="38"/>
      <c r="I40" s="32"/>
      <c r="J40" s="32" t="s">
        <v>1240</v>
      </c>
      <c r="K40" s="24"/>
      <c r="L40" s="32"/>
      <c r="M40" s="32"/>
      <c r="N40" s="32" t="s">
        <v>114</v>
      </c>
      <c r="O40" s="32" t="s">
        <v>1240</v>
      </c>
      <c r="P40" s="32" t="s">
        <v>1240</v>
      </c>
      <c r="Q40" s="32"/>
    </row>
    <row r="41" ht="16.5" customHeight="1">
      <c r="A41" s="1"/>
      <c r="B41" s="32" t="s">
        <v>2557</v>
      </c>
      <c r="C41" s="32" t="s">
        <v>2559</v>
      </c>
      <c r="D41" s="32" t="s">
        <v>2588</v>
      </c>
      <c r="E41" s="32" t="s">
        <v>128</v>
      </c>
      <c r="F41" s="32">
        <v>1.0</v>
      </c>
      <c r="G41" s="38">
        <v>0.0</v>
      </c>
      <c r="H41" s="38"/>
      <c r="I41" s="32"/>
      <c r="J41" s="32" t="s">
        <v>1240</v>
      </c>
      <c r="K41" s="24"/>
      <c r="L41" s="32"/>
      <c r="M41" s="32"/>
      <c r="N41" s="32" t="s">
        <v>114</v>
      </c>
      <c r="O41" s="32" t="s">
        <v>1240</v>
      </c>
      <c r="P41" s="32" t="s">
        <v>1240</v>
      </c>
      <c r="Q41" s="32"/>
    </row>
    <row r="42" ht="16.5" customHeight="1">
      <c r="A42" s="1"/>
      <c r="B42" s="32" t="s">
        <v>2557</v>
      </c>
      <c r="C42" s="32" t="s">
        <v>2559</v>
      </c>
      <c r="D42" s="32" t="s">
        <v>2590</v>
      </c>
      <c r="E42" s="32" t="s">
        <v>128</v>
      </c>
      <c r="F42" s="32">
        <v>3.0</v>
      </c>
      <c r="G42" s="38">
        <v>100.0</v>
      </c>
      <c r="H42" s="38"/>
      <c r="I42" s="32"/>
      <c r="J42" s="32" t="s">
        <v>1240</v>
      </c>
      <c r="K42" s="24"/>
      <c r="L42" s="32"/>
      <c r="M42" s="32"/>
      <c r="N42" s="32" t="s">
        <v>114</v>
      </c>
      <c r="O42" s="32" t="s">
        <v>1240</v>
      </c>
      <c r="P42" s="32" t="s">
        <v>1240</v>
      </c>
      <c r="Q42" s="32"/>
    </row>
    <row r="43" ht="16.5" customHeight="1">
      <c r="A43" s="1"/>
      <c r="B43" s="32" t="s">
        <v>2557</v>
      </c>
      <c r="C43" s="32" t="s">
        <v>2559</v>
      </c>
      <c r="D43" s="32" t="s">
        <v>2593</v>
      </c>
      <c r="E43" s="32" t="s">
        <v>128</v>
      </c>
      <c r="F43" s="32">
        <v>3.0</v>
      </c>
      <c r="G43" s="38">
        <v>100.0</v>
      </c>
      <c r="H43" s="38"/>
      <c r="I43" s="32"/>
      <c r="J43" s="32" t="s">
        <v>1240</v>
      </c>
      <c r="K43" s="24"/>
      <c r="L43" s="32"/>
      <c r="M43" s="32"/>
      <c r="N43" s="32" t="s">
        <v>114</v>
      </c>
      <c r="O43" s="32" t="s">
        <v>1240</v>
      </c>
      <c r="P43" s="32" t="s">
        <v>1240</v>
      </c>
      <c r="Q43" s="32"/>
    </row>
    <row r="44" ht="16.5" customHeight="1">
      <c r="A44" s="1"/>
      <c r="B44" s="32" t="s">
        <v>2557</v>
      </c>
      <c r="C44" s="32" t="s">
        <v>2559</v>
      </c>
      <c r="D44" s="32" t="s">
        <v>2597</v>
      </c>
      <c r="E44" s="32" t="s">
        <v>128</v>
      </c>
      <c r="F44" s="32">
        <v>3.0</v>
      </c>
      <c r="G44" s="38">
        <v>200.0</v>
      </c>
      <c r="H44" s="38"/>
      <c r="I44" s="32"/>
      <c r="J44" s="32" t="s">
        <v>1240</v>
      </c>
      <c r="K44" s="24"/>
      <c r="L44" s="32"/>
      <c r="M44" s="32"/>
      <c r="N44" s="32" t="s">
        <v>114</v>
      </c>
      <c r="O44" s="32" t="s">
        <v>1240</v>
      </c>
      <c r="P44" s="32" t="s">
        <v>1240</v>
      </c>
      <c r="Q44" s="32"/>
    </row>
    <row r="45" ht="16.5" customHeight="1">
      <c r="A45" s="1"/>
      <c r="B45" s="32" t="s">
        <v>2557</v>
      </c>
      <c r="C45" s="32" t="s">
        <v>2559</v>
      </c>
      <c r="D45" s="32" t="s">
        <v>2598</v>
      </c>
      <c r="E45" s="32" t="s">
        <v>128</v>
      </c>
      <c r="F45" s="32">
        <v>2.0</v>
      </c>
      <c r="G45" s="38">
        <v>100.0</v>
      </c>
      <c r="H45" s="38"/>
      <c r="I45" s="32"/>
      <c r="J45" s="32" t="s">
        <v>1240</v>
      </c>
      <c r="K45" s="24"/>
      <c r="L45" s="32"/>
      <c r="M45" s="32"/>
      <c r="N45" s="32" t="s">
        <v>114</v>
      </c>
      <c r="O45" s="32" t="s">
        <v>1240</v>
      </c>
      <c r="P45" s="32" t="s">
        <v>1240</v>
      </c>
      <c r="Q45" s="32"/>
    </row>
    <row r="46" ht="16.5" customHeight="1">
      <c r="A46" s="1"/>
      <c r="B46" s="32" t="s">
        <v>2557</v>
      </c>
      <c r="C46" s="32" t="s">
        <v>2203</v>
      </c>
      <c r="D46" s="32" t="s">
        <v>2599</v>
      </c>
      <c r="E46" s="32" t="s">
        <v>128</v>
      </c>
      <c r="F46" s="32">
        <v>1.0</v>
      </c>
      <c r="G46" s="38">
        <v>0.0</v>
      </c>
      <c r="H46" s="38"/>
      <c r="I46" s="32"/>
      <c r="J46" s="32" t="s">
        <v>1240</v>
      </c>
      <c r="K46" s="24"/>
      <c r="L46" s="32"/>
      <c r="M46" s="32"/>
      <c r="N46" s="32" t="s">
        <v>114</v>
      </c>
      <c r="O46" s="32" t="s">
        <v>1240</v>
      </c>
      <c r="P46" s="32" t="s">
        <v>1240</v>
      </c>
      <c r="Q46" s="32"/>
    </row>
    <row r="47" ht="16.5" customHeight="1">
      <c r="A47" s="1"/>
      <c r="B47" s="32" t="s">
        <v>2557</v>
      </c>
      <c r="C47" s="32" t="s">
        <v>2203</v>
      </c>
      <c r="D47" s="32" t="s">
        <v>2600</v>
      </c>
      <c r="E47" s="32" t="s">
        <v>128</v>
      </c>
      <c r="F47" s="32">
        <v>1.0</v>
      </c>
      <c r="G47" s="38">
        <v>0.0</v>
      </c>
      <c r="H47" s="38"/>
      <c r="I47" s="32"/>
      <c r="J47" s="32" t="s">
        <v>1240</v>
      </c>
      <c r="K47" s="24"/>
      <c r="L47" s="32"/>
      <c r="M47" s="32"/>
      <c r="N47" s="32" t="s">
        <v>114</v>
      </c>
      <c r="O47" s="32" t="s">
        <v>1240</v>
      </c>
      <c r="P47" s="32" t="s">
        <v>1240</v>
      </c>
      <c r="Q47" s="32"/>
    </row>
    <row r="48" ht="16.5" customHeight="1">
      <c r="A48" s="1"/>
      <c r="B48" s="32" t="s">
        <v>2601</v>
      </c>
      <c r="C48" s="32" t="s">
        <v>264</v>
      </c>
      <c r="D48" s="32" t="s">
        <v>2602</v>
      </c>
      <c r="E48" s="32" t="s">
        <v>128</v>
      </c>
      <c r="F48" s="32">
        <v>1.0</v>
      </c>
      <c r="G48" s="38">
        <v>0.0</v>
      </c>
      <c r="H48" s="38"/>
      <c r="I48" s="32"/>
      <c r="J48" s="32" t="s">
        <v>1240</v>
      </c>
      <c r="K48" s="24"/>
      <c r="L48" s="32"/>
      <c r="M48" s="32"/>
      <c r="N48" s="32" t="s">
        <v>114</v>
      </c>
      <c r="O48" s="32" t="s">
        <v>1240</v>
      </c>
      <c r="P48" s="32" t="s">
        <v>1240</v>
      </c>
      <c r="Q48" s="32"/>
    </row>
    <row r="49" ht="16.5" customHeight="1">
      <c r="A49" s="1"/>
      <c r="B49" s="32" t="s">
        <v>2601</v>
      </c>
      <c r="C49" s="32" t="s">
        <v>264</v>
      </c>
      <c r="D49" s="32" t="s">
        <v>2603</v>
      </c>
      <c r="E49" s="32" t="s">
        <v>128</v>
      </c>
      <c r="F49" s="32">
        <v>2.0</v>
      </c>
      <c r="G49" s="38">
        <v>0.0</v>
      </c>
      <c r="H49" s="38"/>
      <c r="I49" s="32"/>
      <c r="J49" s="32" t="s">
        <v>1240</v>
      </c>
      <c r="K49" s="24"/>
      <c r="L49" s="32"/>
      <c r="M49" s="32"/>
      <c r="N49" s="32" t="s">
        <v>114</v>
      </c>
      <c r="O49" s="32" t="s">
        <v>1240</v>
      </c>
      <c r="P49" s="32" t="s">
        <v>1240</v>
      </c>
      <c r="Q49" s="32"/>
    </row>
    <row r="50" ht="16.5" customHeight="1">
      <c r="A50" s="1"/>
      <c r="B50" s="32" t="s">
        <v>2601</v>
      </c>
      <c r="C50" s="32" t="s">
        <v>264</v>
      </c>
      <c r="D50" s="32" t="s">
        <v>2604</v>
      </c>
      <c r="E50" s="32" t="s">
        <v>128</v>
      </c>
      <c r="F50" s="32">
        <v>1.0</v>
      </c>
      <c r="G50" s="38">
        <v>0.0</v>
      </c>
      <c r="H50" s="38"/>
      <c r="I50" s="32"/>
      <c r="J50" s="32" t="s">
        <v>1240</v>
      </c>
      <c r="K50" s="24"/>
      <c r="L50" s="32"/>
      <c r="M50" s="32"/>
      <c r="N50" s="32" t="s">
        <v>114</v>
      </c>
      <c r="O50" s="32" t="s">
        <v>1240</v>
      </c>
      <c r="P50" s="32" t="s">
        <v>1240</v>
      </c>
      <c r="Q50" s="32"/>
    </row>
    <row r="51" ht="16.5" customHeight="1">
      <c r="A51" s="1"/>
      <c r="B51" s="32" t="s">
        <v>2605</v>
      </c>
      <c r="C51" s="32" t="s">
        <v>349</v>
      </c>
      <c r="D51" s="32" t="s">
        <v>2606</v>
      </c>
      <c r="E51" s="32" t="s">
        <v>128</v>
      </c>
      <c r="F51" s="32">
        <v>1.0</v>
      </c>
      <c r="G51" s="38">
        <v>1500.0</v>
      </c>
      <c r="H51" s="38"/>
      <c r="I51" s="32"/>
      <c r="J51" s="32" t="s">
        <v>1240</v>
      </c>
      <c r="K51" s="24"/>
      <c r="L51" s="32"/>
      <c r="M51" s="32"/>
      <c r="N51" s="32" t="s">
        <v>114</v>
      </c>
      <c r="O51" s="32" t="s">
        <v>1240</v>
      </c>
      <c r="P51" s="32" t="s">
        <v>1240</v>
      </c>
      <c r="Q51" s="32"/>
    </row>
    <row r="52" ht="16.5" customHeight="1">
      <c r="A52" s="1"/>
      <c r="B52" s="32" t="s">
        <v>2605</v>
      </c>
      <c r="C52" s="32" t="s">
        <v>349</v>
      </c>
      <c r="D52" s="32" t="s">
        <v>1921</v>
      </c>
      <c r="E52" s="32" t="s">
        <v>128</v>
      </c>
      <c r="F52" s="32">
        <v>1.0</v>
      </c>
      <c r="G52" s="38">
        <v>0.0</v>
      </c>
      <c r="H52" s="38"/>
      <c r="I52" s="32"/>
      <c r="J52" s="32" t="s">
        <v>1240</v>
      </c>
      <c r="K52" s="24"/>
      <c r="L52" s="32"/>
      <c r="M52" s="32"/>
      <c r="N52" s="32" t="s">
        <v>114</v>
      </c>
      <c r="O52" s="32" t="s">
        <v>1240</v>
      </c>
      <c r="P52" s="32" t="s">
        <v>1240</v>
      </c>
      <c r="Q52" s="32"/>
    </row>
    <row r="53" ht="16.5" customHeight="1">
      <c r="A53" s="1"/>
      <c r="B53" s="32" t="s">
        <v>2605</v>
      </c>
      <c r="C53" s="32" t="s">
        <v>349</v>
      </c>
      <c r="D53" s="32" t="s">
        <v>2607</v>
      </c>
      <c r="E53" s="32" t="s">
        <v>128</v>
      </c>
      <c r="F53" s="32">
        <v>1.0</v>
      </c>
      <c r="G53" s="38">
        <v>1000.0</v>
      </c>
      <c r="H53" s="38"/>
      <c r="I53" s="32"/>
      <c r="J53" s="32" t="s">
        <v>1240</v>
      </c>
      <c r="K53" s="24"/>
      <c r="L53" s="32"/>
      <c r="M53" s="32"/>
      <c r="N53" s="32" t="s">
        <v>114</v>
      </c>
      <c r="O53" s="32" t="s">
        <v>1240</v>
      </c>
      <c r="P53" s="32" t="s">
        <v>1240</v>
      </c>
      <c r="Q53" s="32"/>
    </row>
    <row r="54" ht="16.5" customHeight="1">
      <c r="A54" s="1"/>
      <c r="B54" s="32" t="s">
        <v>2605</v>
      </c>
      <c r="C54" s="32" t="s">
        <v>349</v>
      </c>
      <c r="D54" s="32" t="s">
        <v>2608</v>
      </c>
      <c r="E54" s="32" t="s">
        <v>128</v>
      </c>
      <c r="F54" s="32">
        <v>1.0</v>
      </c>
      <c r="G54" s="38">
        <v>200.0</v>
      </c>
      <c r="H54" s="38"/>
      <c r="I54" s="32"/>
      <c r="J54" s="32" t="s">
        <v>1240</v>
      </c>
      <c r="K54" s="24"/>
      <c r="L54" s="32"/>
      <c r="M54" s="32"/>
      <c r="N54" s="32" t="s">
        <v>114</v>
      </c>
      <c r="O54" s="32" t="s">
        <v>1240</v>
      </c>
      <c r="P54" s="32" t="s">
        <v>1240</v>
      </c>
      <c r="Q54" s="32"/>
    </row>
    <row r="55" ht="16.5" customHeight="1">
      <c r="A55" s="1"/>
      <c r="B55" s="32" t="s">
        <v>2605</v>
      </c>
      <c r="C55" s="32" t="s">
        <v>349</v>
      </c>
      <c r="D55" s="32" t="s">
        <v>1883</v>
      </c>
      <c r="E55" s="32" t="s">
        <v>128</v>
      </c>
      <c r="F55" s="32">
        <v>1.0</v>
      </c>
      <c r="G55" s="38">
        <v>500.0</v>
      </c>
      <c r="H55" s="38"/>
      <c r="I55" s="32"/>
      <c r="J55" s="32" t="s">
        <v>1240</v>
      </c>
      <c r="K55" s="24"/>
      <c r="L55" s="32"/>
      <c r="M55" s="32"/>
      <c r="N55" s="32" t="s">
        <v>114</v>
      </c>
      <c r="O55" s="32" t="s">
        <v>1240</v>
      </c>
      <c r="P55" s="32" t="s">
        <v>1240</v>
      </c>
      <c r="Q55" s="32"/>
    </row>
    <row r="56" ht="16.5" customHeight="1">
      <c r="A56" s="1"/>
      <c r="B56" s="32" t="s">
        <v>2605</v>
      </c>
      <c r="C56" s="32" t="s">
        <v>349</v>
      </c>
      <c r="D56" s="32" t="s">
        <v>2609</v>
      </c>
      <c r="E56" s="32" t="s">
        <v>128</v>
      </c>
      <c r="F56" s="32">
        <v>1.0</v>
      </c>
      <c r="G56" s="38">
        <v>3000.0</v>
      </c>
      <c r="H56" s="38"/>
      <c r="I56" s="32"/>
      <c r="J56" s="32" t="s">
        <v>1240</v>
      </c>
      <c r="K56" s="24"/>
      <c r="L56" s="32"/>
      <c r="M56" s="32"/>
      <c r="N56" s="32" t="s">
        <v>114</v>
      </c>
      <c r="O56" s="32" t="s">
        <v>1240</v>
      </c>
      <c r="P56" s="32" t="s">
        <v>1240</v>
      </c>
      <c r="Q56" s="32"/>
    </row>
    <row r="57" ht="16.5" customHeight="1">
      <c r="A57" s="1"/>
      <c r="B57" s="32" t="s">
        <v>2605</v>
      </c>
      <c r="C57" s="32" t="s">
        <v>349</v>
      </c>
      <c r="D57" s="32" t="s">
        <v>2610</v>
      </c>
      <c r="E57" s="32" t="s">
        <v>128</v>
      </c>
      <c r="F57" s="32">
        <v>1.0</v>
      </c>
      <c r="G57" s="38">
        <v>0.0</v>
      </c>
      <c r="H57" s="38"/>
      <c r="I57" s="32"/>
      <c r="J57" s="32" t="s">
        <v>1240</v>
      </c>
      <c r="K57" s="24"/>
      <c r="L57" s="32"/>
      <c r="M57" s="32"/>
      <c r="N57" s="32" t="s">
        <v>114</v>
      </c>
      <c r="O57" s="32" t="s">
        <v>1240</v>
      </c>
      <c r="P57" s="32" t="s">
        <v>1240</v>
      </c>
      <c r="Q57" s="32"/>
    </row>
    <row r="58" ht="16.5" customHeight="1">
      <c r="A58" s="1"/>
      <c r="B58" s="32" t="s">
        <v>2605</v>
      </c>
      <c r="C58" s="32" t="s">
        <v>349</v>
      </c>
      <c r="D58" s="32" t="s">
        <v>2611</v>
      </c>
      <c r="E58" s="32" t="s">
        <v>128</v>
      </c>
      <c r="F58" s="32">
        <v>2.0</v>
      </c>
      <c r="G58" s="38">
        <v>100.0</v>
      </c>
      <c r="H58" s="38"/>
      <c r="I58" s="32"/>
      <c r="J58" s="32" t="s">
        <v>1240</v>
      </c>
      <c r="K58" s="24"/>
      <c r="L58" s="32"/>
      <c r="M58" s="32"/>
      <c r="N58" s="32" t="s">
        <v>114</v>
      </c>
      <c r="O58" s="32" t="s">
        <v>1240</v>
      </c>
      <c r="P58" s="32" t="s">
        <v>1240</v>
      </c>
      <c r="Q58" s="32"/>
    </row>
    <row r="59" ht="16.5" customHeight="1">
      <c r="A59" s="1"/>
      <c r="B59" s="32" t="s">
        <v>2605</v>
      </c>
      <c r="C59" s="32" t="s">
        <v>349</v>
      </c>
      <c r="D59" s="32" t="s">
        <v>1927</v>
      </c>
      <c r="E59" s="32" t="s">
        <v>128</v>
      </c>
      <c r="F59" s="32">
        <v>1.0</v>
      </c>
      <c r="G59" s="38">
        <v>0.0</v>
      </c>
      <c r="H59" s="38"/>
      <c r="I59" s="32"/>
      <c r="J59" s="32" t="s">
        <v>1240</v>
      </c>
      <c r="K59" s="24"/>
      <c r="L59" s="32"/>
      <c r="M59" s="32"/>
      <c r="N59" s="32" t="s">
        <v>114</v>
      </c>
      <c r="O59" s="32" t="s">
        <v>1240</v>
      </c>
      <c r="P59" s="32" t="s">
        <v>1240</v>
      </c>
      <c r="Q59" s="32"/>
    </row>
    <row r="60" ht="16.5" customHeight="1">
      <c r="A60" s="1"/>
      <c r="B60" s="32" t="s">
        <v>2605</v>
      </c>
      <c r="C60" s="32" t="s">
        <v>349</v>
      </c>
      <c r="D60" s="32" t="s">
        <v>2612</v>
      </c>
      <c r="E60" s="32" t="s">
        <v>128</v>
      </c>
      <c r="F60" s="32">
        <v>2.0</v>
      </c>
      <c r="G60" s="38">
        <v>0.0</v>
      </c>
      <c r="H60" s="38"/>
      <c r="I60" s="32"/>
      <c r="J60" s="32" t="s">
        <v>1240</v>
      </c>
      <c r="K60" s="24"/>
      <c r="L60" s="32"/>
      <c r="M60" s="32"/>
      <c r="N60" s="32" t="s">
        <v>114</v>
      </c>
      <c r="O60" s="32" t="s">
        <v>1240</v>
      </c>
      <c r="P60" s="32" t="s">
        <v>1240</v>
      </c>
      <c r="Q60" s="32"/>
    </row>
    <row r="61" ht="16.5" customHeight="1">
      <c r="A61" s="1"/>
      <c r="B61" s="32" t="s">
        <v>2613</v>
      </c>
      <c r="C61" s="32" t="s">
        <v>356</v>
      </c>
      <c r="D61" s="32" t="s">
        <v>2614</v>
      </c>
      <c r="E61" s="32" t="s">
        <v>128</v>
      </c>
      <c r="F61" s="32">
        <v>1.0</v>
      </c>
      <c r="G61" s="38">
        <v>2500.0</v>
      </c>
      <c r="H61" s="38"/>
      <c r="I61" s="32"/>
      <c r="J61" s="32" t="s">
        <v>1240</v>
      </c>
      <c r="K61" s="24"/>
      <c r="L61" s="32"/>
      <c r="M61" s="32"/>
      <c r="N61" s="32" t="s">
        <v>114</v>
      </c>
      <c r="O61" s="32" t="s">
        <v>1240</v>
      </c>
      <c r="P61" s="32" t="s">
        <v>1240</v>
      </c>
      <c r="Q61" s="32"/>
    </row>
    <row r="62" ht="16.5" customHeight="1">
      <c r="A62" s="1"/>
      <c r="B62" s="32" t="s">
        <v>2613</v>
      </c>
      <c r="C62" s="32" t="s">
        <v>356</v>
      </c>
      <c r="D62" s="32" t="s">
        <v>2615</v>
      </c>
      <c r="E62" s="32" t="s">
        <v>128</v>
      </c>
      <c r="F62" s="32">
        <v>1.0</v>
      </c>
      <c r="G62" s="38">
        <v>3500.0</v>
      </c>
      <c r="H62" s="38"/>
      <c r="I62" s="32"/>
      <c r="J62" s="32" t="s">
        <v>1240</v>
      </c>
      <c r="K62" s="24"/>
      <c r="L62" s="32"/>
      <c r="M62" s="32"/>
      <c r="N62" s="32" t="s">
        <v>114</v>
      </c>
      <c r="O62" s="32" t="s">
        <v>1240</v>
      </c>
      <c r="P62" s="32" t="s">
        <v>1240</v>
      </c>
      <c r="Q62" s="32"/>
    </row>
    <row r="63" ht="16.5" customHeight="1">
      <c r="A63" s="1"/>
      <c r="B63" s="32" t="s">
        <v>2613</v>
      </c>
      <c r="C63" s="32" t="s">
        <v>356</v>
      </c>
      <c r="D63" s="32" t="s">
        <v>843</v>
      </c>
      <c r="E63" s="32" t="s">
        <v>128</v>
      </c>
      <c r="F63" s="32">
        <v>25.0</v>
      </c>
      <c r="G63" s="38">
        <v>0.0</v>
      </c>
      <c r="H63" s="38"/>
      <c r="I63" s="32"/>
      <c r="J63" s="32" t="s">
        <v>1240</v>
      </c>
      <c r="K63" s="24"/>
      <c r="L63" s="32"/>
      <c r="M63" s="32"/>
      <c r="N63" s="32" t="s">
        <v>114</v>
      </c>
      <c r="O63" s="32" t="s">
        <v>1240</v>
      </c>
      <c r="P63" s="32" t="s">
        <v>1240</v>
      </c>
      <c r="Q63" s="32"/>
    </row>
    <row r="64" ht="16.5" customHeight="1">
      <c r="A64" s="1"/>
      <c r="B64" s="32" t="s">
        <v>2613</v>
      </c>
      <c r="C64" s="32" t="s">
        <v>356</v>
      </c>
      <c r="D64" s="32" t="s">
        <v>845</v>
      </c>
      <c r="E64" s="32" t="s">
        <v>128</v>
      </c>
      <c r="F64" s="32">
        <v>200.0</v>
      </c>
      <c r="G64" s="38">
        <v>0.0</v>
      </c>
      <c r="H64" s="38"/>
      <c r="I64" s="32"/>
      <c r="J64" s="32" t="s">
        <v>1240</v>
      </c>
      <c r="K64" s="24"/>
      <c r="L64" s="32"/>
      <c r="M64" s="32"/>
      <c r="N64" s="32" t="s">
        <v>114</v>
      </c>
      <c r="O64" s="32" t="s">
        <v>1240</v>
      </c>
      <c r="P64" s="32" t="s">
        <v>1240</v>
      </c>
      <c r="Q64" s="32"/>
    </row>
    <row r="65" ht="16.5" customHeight="1">
      <c r="A65" s="1"/>
      <c r="B65" s="32" t="s">
        <v>2613</v>
      </c>
      <c r="C65" s="32" t="s">
        <v>356</v>
      </c>
      <c r="D65" s="32" t="s">
        <v>608</v>
      </c>
      <c r="E65" s="32" t="s">
        <v>128</v>
      </c>
      <c r="F65" s="32">
        <v>1.0</v>
      </c>
      <c r="G65" s="38">
        <v>0.0</v>
      </c>
      <c r="H65" s="38"/>
      <c r="I65" s="32"/>
      <c r="J65" s="32" t="s">
        <v>1240</v>
      </c>
      <c r="K65" s="24"/>
      <c r="L65" s="32"/>
      <c r="M65" s="32"/>
      <c r="N65" s="32" t="s">
        <v>114</v>
      </c>
      <c r="O65" s="32" t="s">
        <v>1240</v>
      </c>
      <c r="P65" s="32" t="s">
        <v>1240</v>
      </c>
      <c r="Q65" s="32"/>
    </row>
    <row r="66" ht="16.5" customHeight="1">
      <c r="A66" s="1"/>
      <c r="B66" s="32" t="s">
        <v>2613</v>
      </c>
      <c r="C66" s="32" t="s">
        <v>356</v>
      </c>
      <c r="D66" s="32" t="s">
        <v>848</v>
      </c>
      <c r="E66" s="32" t="s">
        <v>128</v>
      </c>
      <c r="F66" s="32">
        <v>1.0</v>
      </c>
      <c r="G66" s="38">
        <v>0.0</v>
      </c>
      <c r="H66" s="38"/>
      <c r="I66" s="32"/>
      <c r="J66" s="32" t="s">
        <v>1240</v>
      </c>
      <c r="K66" s="24"/>
      <c r="L66" s="32"/>
      <c r="M66" s="32"/>
      <c r="N66" s="32" t="s">
        <v>114</v>
      </c>
      <c r="O66" s="32" t="s">
        <v>1240</v>
      </c>
      <c r="P66" s="32" t="s">
        <v>1240</v>
      </c>
      <c r="Q66" s="32"/>
    </row>
    <row r="67" ht="16.5" customHeight="1">
      <c r="A67" s="1"/>
      <c r="B67" s="32" t="s">
        <v>2613</v>
      </c>
      <c r="C67" s="32" t="s">
        <v>356</v>
      </c>
      <c r="D67" s="32" t="s">
        <v>2616</v>
      </c>
      <c r="E67" s="32" t="s">
        <v>128</v>
      </c>
      <c r="F67" s="32">
        <v>200.0</v>
      </c>
      <c r="G67" s="38">
        <v>0.0</v>
      </c>
      <c r="H67" s="38"/>
      <c r="I67" s="32"/>
      <c r="J67" s="32" t="s">
        <v>1240</v>
      </c>
      <c r="K67" s="24"/>
      <c r="L67" s="32"/>
      <c r="M67" s="32"/>
      <c r="N67" s="32" t="s">
        <v>114</v>
      </c>
      <c r="O67" s="32" t="s">
        <v>1240</v>
      </c>
      <c r="P67" s="32" t="s">
        <v>1240</v>
      </c>
      <c r="Q67" s="32"/>
    </row>
    <row r="68" ht="16.5" customHeight="1">
      <c r="A68" s="1"/>
      <c r="B68" s="32" t="s">
        <v>2613</v>
      </c>
      <c r="C68" s="32" t="s">
        <v>356</v>
      </c>
      <c r="D68" s="32" t="s">
        <v>2617</v>
      </c>
      <c r="E68" s="32" t="s">
        <v>128</v>
      </c>
      <c r="F68" s="32">
        <v>1.0</v>
      </c>
      <c r="G68" s="38">
        <v>0.0</v>
      </c>
      <c r="H68" s="38"/>
      <c r="I68" s="32"/>
      <c r="J68" s="32" t="s">
        <v>1240</v>
      </c>
      <c r="K68" s="24"/>
      <c r="L68" s="32"/>
      <c r="M68" s="32"/>
      <c r="N68" s="32" t="s">
        <v>114</v>
      </c>
      <c r="O68" s="32" t="s">
        <v>1240</v>
      </c>
      <c r="P68" s="32" t="s">
        <v>1240</v>
      </c>
      <c r="Q68" s="32"/>
    </row>
    <row r="69" ht="16.5" customHeight="1">
      <c r="A69" s="1"/>
      <c r="B69" s="32" t="s">
        <v>2613</v>
      </c>
      <c r="C69" s="32" t="s">
        <v>356</v>
      </c>
      <c r="D69" s="32" t="s">
        <v>275</v>
      </c>
      <c r="E69" s="32" t="s">
        <v>128</v>
      </c>
      <c r="F69" s="32">
        <v>1.0</v>
      </c>
      <c r="G69" s="38">
        <v>0.0</v>
      </c>
      <c r="H69" s="38"/>
      <c r="I69" s="32"/>
      <c r="J69" s="32" t="s">
        <v>1240</v>
      </c>
      <c r="K69" s="24"/>
      <c r="L69" s="32"/>
      <c r="M69" s="32"/>
      <c r="N69" s="32" t="s">
        <v>114</v>
      </c>
      <c r="O69" s="32" t="s">
        <v>1240</v>
      </c>
      <c r="P69" s="32" t="s">
        <v>1240</v>
      </c>
      <c r="Q69" s="32"/>
    </row>
    <row r="70" ht="16.5" customHeight="1">
      <c r="A70" s="1"/>
      <c r="B70" s="32" t="s">
        <v>2613</v>
      </c>
      <c r="C70" s="32" t="s">
        <v>356</v>
      </c>
      <c r="D70" s="32" t="s">
        <v>2621</v>
      </c>
      <c r="E70" s="32" t="s">
        <v>128</v>
      </c>
      <c r="F70" s="32">
        <v>200.0</v>
      </c>
      <c r="G70" s="38">
        <v>0.0</v>
      </c>
      <c r="H70" s="38"/>
      <c r="I70" s="32"/>
      <c r="J70" s="32" t="s">
        <v>1240</v>
      </c>
      <c r="K70" s="24"/>
      <c r="L70" s="32"/>
      <c r="M70" s="32"/>
      <c r="N70" s="32" t="s">
        <v>114</v>
      </c>
      <c r="O70" s="32" t="s">
        <v>1240</v>
      </c>
      <c r="P70" s="32" t="s">
        <v>1240</v>
      </c>
      <c r="Q70" s="32"/>
    </row>
    <row r="71" ht="16.5" customHeight="1">
      <c r="A71" s="1"/>
      <c r="B71" s="32" t="s">
        <v>2613</v>
      </c>
      <c r="C71" s="32" t="s">
        <v>2624</v>
      </c>
      <c r="D71" s="32" t="s">
        <v>948</v>
      </c>
      <c r="E71" s="32" t="s">
        <v>128</v>
      </c>
      <c r="F71" s="32">
        <v>4.0</v>
      </c>
      <c r="G71" s="38">
        <v>0.0</v>
      </c>
      <c r="H71" s="38"/>
      <c r="I71" s="32"/>
      <c r="J71" s="32" t="s">
        <v>1240</v>
      </c>
      <c r="K71" s="24"/>
      <c r="L71" s="32"/>
      <c r="M71" s="32"/>
      <c r="N71" s="32" t="s">
        <v>114</v>
      </c>
      <c r="O71" s="32" t="s">
        <v>1240</v>
      </c>
      <c r="P71" s="32" t="s">
        <v>1240</v>
      </c>
      <c r="Q71" s="32"/>
    </row>
    <row r="72" ht="16.5" customHeight="1">
      <c r="A72" s="1"/>
      <c r="B72" s="32" t="s">
        <v>2613</v>
      </c>
      <c r="C72" s="32" t="s">
        <v>2624</v>
      </c>
      <c r="D72" s="32" t="s">
        <v>525</v>
      </c>
      <c r="E72" s="32" t="s">
        <v>128</v>
      </c>
      <c r="F72" s="32">
        <v>8.0</v>
      </c>
      <c r="G72" s="38">
        <v>0.0</v>
      </c>
      <c r="H72" s="38"/>
      <c r="I72" s="32"/>
      <c r="J72" s="32" t="s">
        <v>1240</v>
      </c>
      <c r="K72" s="24"/>
      <c r="L72" s="32"/>
      <c r="M72" s="32"/>
      <c r="N72" s="32" t="s">
        <v>114</v>
      </c>
      <c r="O72" s="32" t="s">
        <v>1240</v>
      </c>
      <c r="P72" s="32" t="s">
        <v>1240</v>
      </c>
      <c r="Q72" s="32"/>
    </row>
    <row r="73" ht="16.5" customHeight="1">
      <c r="A73" s="1"/>
      <c r="B73" s="32" t="s">
        <v>2613</v>
      </c>
      <c r="C73" s="32" t="s">
        <v>2624</v>
      </c>
      <c r="D73" s="32" t="s">
        <v>951</v>
      </c>
      <c r="E73" s="32" t="s">
        <v>128</v>
      </c>
      <c r="F73" s="32">
        <v>4.0</v>
      </c>
      <c r="G73" s="38">
        <v>0.0</v>
      </c>
      <c r="H73" s="38"/>
      <c r="I73" s="32"/>
      <c r="J73" s="32" t="s">
        <v>1240</v>
      </c>
      <c r="K73" s="24"/>
      <c r="L73" s="32"/>
      <c r="M73" s="32"/>
      <c r="N73" s="32" t="s">
        <v>114</v>
      </c>
      <c r="O73" s="32" t="s">
        <v>1240</v>
      </c>
      <c r="P73" s="32" t="s">
        <v>1240</v>
      </c>
      <c r="Q73" s="32"/>
    </row>
    <row r="74" ht="16.5" customHeight="1">
      <c r="A74" s="1"/>
      <c r="B74" s="32" t="s">
        <v>2638</v>
      </c>
      <c r="C74" s="32" t="s">
        <v>366</v>
      </c>
      <c r="D74" s="32" t="s">
        <v>2639</v>
      </c>
      <c r="E74" s="32" t="s">
        <v>128</v>
      </c>
      <c r="F74" s="32">
        <v>2.0</v>
      </c>
      <c r="G74" s="38">
        <v>2500.0</v>
      </c>
      <c r="H74" s="38"/>
      <c r="I74" s="32"/>
      <c r="J74" s="32" t="s">
        <v>1240</v>
      </c>
      <c r="K74" s="24"/>
      <c r="L74" s="32"/>
      <c r="M74" s="32"/>
      <c r="N74" s="32" t="s">
        <v>114</v>
      </c>
      <c r="O74" s="32" t="s">
        <v>1240</v>
      </c>
      <c r="P74" s="32" t="s">
        <v>1240</v>
      </c>
      <c r="Q74" s="32"/>
    </row>
    <row r="75" ht="16.5" customHeight="1">
      <c r="A75" s="1"/>
      <c r="B75" s="32" t="s">
        <v>2638</v>
      </c>
      <c r="C75" s="32" t="s">
        <v>366</v>
      </c>
      <c r="D75" s="32" t="s">
        <v>2644</v>
      </c>
      <c r="E75" s="32" t="s">
        <v>128</v>
      </c>
      <c r="F75" s="32">
        <v>2.0</v>
      </c>
      <c r="G75" s="38">
        <v>1200.0</v>
      </c>
      <c r="H75" s="38"/>
      <c r="I75" s="32"/>
      <c r="J75" s="32" t="s">
        <v>1240</v>
      </c>
      <c r="K75" s="24"/>
      <c r="L75" s="32"/>
      <c r="M75" s="32"/>
      <c r="N75" s="32" t="s">
        <v>114</v>
      </c>
      <c r="O75" s="32" t="s">
        <v>1240</v>
      </c>
      <c r="P75" s="32" t="s">
        <v>1240</v>
      </c>
      <c r="Q75" s="32"/>
    </row>
    <row r="76" ht="16.5" customHeight="1">
      <c r="A76" s="1"/>
      <c r="B76" s="32" t="s">
        <v>2638</v>
      </c>
      <c r="C76" s="32" t="s">
        <v>366</v>
      </c>
      <c r="D76" s="32" t="s">
        <v>2647</v>
      </c>
      <c r="E76" s="32" t="s">
        <v>128</v>
      </c>
      <c r="F76" s="32">
        <v>2.0</v>
      </c>
      <c r="G76" s="38">
        <v>600.0</v>
      </c>
      <c r="H76" s="38"/>
      <c r="I76" s="32"/>
      <c r="J76" s="32" t="s">
        <v>1240</v>
      </c>
      <c r="K76" s="24"/>
      <c r="L76" s="32"/>
      <c r="M76" s="32"/>
      <c r="N76" s="32" t="s">
        <v>114</v>
      </c>
      <c r="O76" s="32" t="s">
        <v>1240</v>
      </c>
      <c r="P76" s="32" t="s">
        <v>1240</v>
      </c>
      <c r="Q76" s="32"/>
    </row>
    <row r="77" ht="16.5" customHeight="1">
      <c r="A77" s="1"/>
      <c r="B77" s="32" t="s">
        <v>2638</v>
      </c>
      <c r="C77" s="32" t="s">
        <v>366</v>
      </c>
      <c r="D77" s="32" t="s">
        <v>2654</v>
      </c>
      <c r="E77" s="32" t="s">
        <v>128</v>
      </c>
      <c r="F77" s="32">
        <v>2.0</v>
      </c>
      <c r="G77" s="38">
        <v>400.0</v>
      </c>
      <c r="H77" s="38"/>
      <c r="I77" s="32"/>
      <c r="J77" s="32" t="s">
        <v>1240</v>
      </c>
      <c r="K77" s="24"/>
      <c r="L77" s="32"/>
      <c r="M77" s="32"/>
      <c r="N77" s="32" t="s">
        <v>114</v>
      </c>
      <c r="O77" s="32" t="s">
        <v>1240</v>
      </c>
      <c r="P77" s="32" t="s">
        <v>1240</v>
      </c>
      <c r="Q77" s="32"/>
    </row>
    <row r="78" ht="16.5" customHeight="1">
      <c r="A78" s="1"/>
      <c r="B78" s="32" t="s">
        <v>2638</v>
      </c>
      <c r="C78" s="32" t="s">
        <v>366</v>
      </c>
      <c r="D78" s="32" t="s">
        <v>2663</v>
      </c>
      <c r="E78" s="32" t="s">
        <v>128</v>
      </c>
      <c r="F78" s="32">
        <v>1.0</v>
      </c>
      <c r="G78" s="38">
        <v>500.0</v>
      </c>
      <c r="H78" s="38"/>
      <c r="I78" s="32"/>
      <c r="J78" s="32" t="s">
        <v>1240</v>
      </c>
      <c r="K78" s="24"/>
      <c r="L78" s="32"/>
      <c r="M78" s="32"/>
      <c r="N78" s="32" t="s">
        <v>114</v>
      </c>
      <c r="O78" s="32" t="s">
        <v>1240</v>
      </c>
      <c r="P78" s="32" t="s">
        <v>1240</v>
      </c>
      <c r="Q78" s="32"/>
    </row>
    <row r="79" ht="16.5" customHeight="1">
      <c r="A79" s="1"/>
      <c r="B79" s="32" t="s">
        <v>2638</v>
      </c>
      <c r="C79" s="32" t="s">
        <v>366</v>
      </c>
      <c r="D79" s="32" t="s">
        <v>2667</v>
      </c>
      <c r="E79" s="32" t="s">
        <v>128</v>
      </c>
      <c r="F79" s="32">
        <v>1.0</v>
      </c>
      <c r="G79" s="38">
        <v>1500.0</v>
      </c>
      <c r="H79" s="38"/>
      <c r="I79" s="32"/>
      <c r="J79" s="32" t="s">
        <v>1240</v>
      </c>
      <c r="K79" s="24"/>
      <c r="L79" s="32"/>
      <c r="M79" s="32"/>
      <c r="N79" s="32" t="s">
        <v>114</v>
      </c>
      <c r="O79" s="32" t="s">
        <v>1240</v>
      </c>
      <c r="P79" s="32" t="s">
        <v>1240</v>
      </c>
      <c r="Q79" s="32"/>
    </row>
    <row r="80" ht="16.5" customHeight="1">
      <c r="A80" s="1"/>
      <c r="B80" s="32" t="s">
        <v>2638</v>
      </c>
      <c r="C80" s="32" t="s">
        <v>366</v>
      </c>
      <c r="D80" s="32" t="s">
        <v>2673</v>
      </c>
      <c r="E80" s="32" t="s">
        <v>128</v>
      </c>
      <c r="F80" s="32">
        <v>4.0</v>
      </c>
      <c r="G80" s="38">
        <v>4000.0</v>
      </c>
      <c r="H80" s="38"/>
      <c r="I80" s="32"/>
      <c r="J80" s="32" t="s">
        <v>1240</v>
      </c>
      <c r="K80" s="24"/>
      <c r="L80" s="32"/>
      <c r="M80" s="32"/>
      <c r="N80" s="32" t="s">
        <v>114</v>
      </c>
      <c r="O80" s="32" t="s">
        <v>1240</v>
      </c>
      <c r="P80" s="32" t="s">
        <v>1240</v>
      </c>
      <c r="Q80" s="32"/>
    </row>
    <row r="81" ht="16.5" customHeight="1">
      <c r="A81" s="1"/>
      <c r="B81" s="32" t="s">
        <v>2638</v>
      </c>
      <c r="C81" s="32" t="s">
        <v>366</v>
      </c>
      <c r="D81" s="32" t="s">
        <v>2678</v>
      </c>
      <c r="E81" s="32" t="s">
        <v>128</v>
      </c>
      <c r="F81" s="32">
        <v>1.0</v>
      </c>
      <c r="G81" s="38">
        <v>0.0</v>
      </c>
      <c r="H81" s="38"/>
      <c r="I81" s="32"/>
      <c r="J81" s="32" t="s">
        <v>1240</v>
      </c>
      <c r="K81" s="24"/>
      <c r="L81" s="32"/>
      <c r="M81" s="32"/>
      <c r="N81" s="32" t="s">
        <v>114</v>
      </c>
      <c r="O81" s="32" t="s">
        <v>1240</v>
      </c>
      <c r="P81" s="32" t="s">
        <v>1240</v>
      </c>
      <c r="Q81" s="32"/>
    </row>
    <row r="82" ht="16.5" customHeight="1">
      <c r="A82" s="1"/>
      <c r="B82" s="32" t="s">
        <v>2638</v>
      </c>
      <c r="C82" s="32" t="s">
        <v>366</v>
      </c>
      <c r="D82" s="32" t="s">
        <v>2684</v>
      </c>
      <c r="E82" s="32" t="s">
        <v>128</v>
      </c>
      <c r="F82" s="32">
        <v>1.0</v>
      </c>
      <c r="G82" s="38">
        <v>0.0</v>
      </c>
      <c r="H82" s="38"/>
      <c r="I82" s="32"/>
      <c r="J82" s="32" t="s">
        <v>1240</v>
      </c>
      <c r="K82" s="24"/>
      <c r="L82" s="32"/>
      <c r="M82" s="32"/>
      <c r="N82" s="32" t="s">
        <v>114</v>
      </c>
      <c r="O82" s="32" t="s">
        <v>1240</v>
      </c>
      <c r="P82" s="32" t="s">
        <v>1240</v>
      </c>
      <c r="Q82" s="32"/>
    </row>
    <row r="83" ht="16.5" customHeight="1">
      <c r="A83" s="1"/>
      <c r="B83" s="32" t="s">
        <v>2638</v>
      </c>
      <c r="C83" s="32" t="s">
        <v>366</v>
      </c>
      <c r="D83" s="32" t="s">
        <v>2689</v>
      </c>
      <c r="E83" s="32" t="s">
        <v>128</v>
      </c>
      <c r="F83" s="32">
        <v>2.0</v>
      </c>
      <c r="G83" s="38">
        <v>400.0</v>
      </c>
      <c r="H83" s="38"/>
      <c r="I83" s="32"/>
      <c r="J83" s="32" t="s">
        <v>1240</v>
      </c>
      <c r="K83" s="24"/>
      <c r="L83" s="32"/>
      <c r="M83" s="32"/>
      <c r="N83" s="32" t="s">
        <v>114</v>
      </c>
      <c r="O83" s="32" t="s">
        <v>1240</v>
      </c>
      <c r="P83" s="32" t="s">
        <v>1240</v>
      </c>
      <c r="Q83" s="32"/>
    </row>
    <row r="84" ht="16.5" customHeight="1">
      <c r="A84" s="1"/>
      <c r="B84" s="32" t="s">
        <v>2638</v>
      </c>
      <c r="C84" s="32" t="s">
        <v>366</v>
      </c>
      <c r="D84" s="32" t="s">
        <v>2693</v>
      </c>
      <c r="E84" s="32" t="s">
        <v>128</v>
      </c>
      <c r="F84" s="32">
        <v>5.0</v>
      </c>
      <c r="G84" s="38">
        <v>300.0</v>
      </c>
      <c r="H84" s="38"/>
      <c r="I84" s="32"/>
      <c r="J84" s="32" t="s">
        <v>1240</v>
      </c>
      <c r="K84" s="24"/>
      <c r="L84" s="32"/>
      <c r="M84" s="32"/>
      <c r="N84" s="32" t="s">
        <v>114</v>
      </c>
      <c r="O84" s="32" t="s">
        <v>1240</v>
      </c>
      <c r="P84" s="32" t="s">
        <v>1240</v>
      </c>
      <c r="Q84" s="32"/>
    </row>
    <row r="85" ht="16.5" customHeight="1">
      <c r="A85" s="1"/>
      <c r="B85" s="32" t="s">
        <v>2694</v>
      </c>
      <c r="C85" s="32" t="s">
        <v>2517</v>
      </c>
      <c r="D85" s="32" t="s">
        <v>2696</v>
      </c>
      <c r="E85" s="32" t="s">
        <v>128</v>
      </c>
      <c r="F85" s="32">
        <v>2.0</v>
      </c>
      <c r="G85" s="38">
        <v>0.0</v>
      </c>
      <c r="H85" s="38"/>
      <c r="I85" s="32"/>
      <c r="J85" s="32" t="s">
        <v>1240</v>
      </c>
      <c r="K85" s="24"/>
      <c r="L85" s="32"/>
      <c r="M85" s="32"/>
      <c r="N85" s="32" t="s">
        <v>114</v>
      </c>
      <c r="O85" s="32" t="s">
        <v>1240</v>
      </c>
      <c r="P85" s="32" t="s">
        <v>1240</v>
      </c>
      <c r="Q85" s="32"/>
    </row>
    <row r="86" ht="16.5" customHeight="1">
      <c r="A86" s="1"/>
      <c r="B86" s="32" t="s">
        <v>2694</v>
      </c>
      <c r="C86" s="32" t="s">
        <v>2517</v>
      </c>
      <c r="D86" s="32" t="s">
        <v>2697</v>
      </c>
      <c r="E86" s="32" t="s">
        <v>128</v>
      </c>
      <c r="F86" s="32">
        <v>1.0</v>
      </c>
      <c r="G86" s="38">
        <v>2000.0</v>
      </c>
      <c r="H86" s="38"/>
      <c r="I86" s="32"/>
      <c r="J86" s="32" t="s">
        <v>1240</v>
      </c>
      <c r="K86" s="24"/>
      <c r="L86" s="32"/>
      <c r="M86" s="32"/>
      <c r="N86" s="32" t="s">
        <v>114</v>
      </c>
      <c r="O86" s="32" t="s">
        <v>1240</v>
      </c>
      <c r="P86" s="32" t="s">
        <v>1240</v>
      </c>
      <c r="Q86" s="32"/>
    </row>
    <row r="87" ht="16.5" customHeight="1">
      <c r="A87" s="1"/>
      <c r="B87" s="32" t="s">
        <v>2694</v>
      </c>
      <c r="C87" s="32" t="s">
        <v>2517</v>
      </c>
      <c r="D87" s="32" t="s">
        <v>2699</v>
      </c>
      <c r="E87" s="32" t="s">
        <v>128</v>
      </c>
      <c r="F87" s="32">
        <v>2.0</v>
      </c>
      <c r="G87" s="38">
        <v>0.0</v>
      </c>
      <c r="H87" s="38"/>
      <c r="I87" s="32"/>
      <c r="J87" s="32" t="s">
        <v>1240</v>
      </c>
      <c r="K87" s="24"/>
      <c r="L87" s="32"/>
      <c r="M87" s="32"/>
      <c r="N87" s="32" t="s">
        <v>114</v>
      </c>
      <c r="O87" s="32" t="s">
        <v>1240</v>
      </c>
      <c r="P87" s="32" t="s">
        <v>1240</v>
      </c>
      <c r="Q87" s="32"/>
    </row>
    <row r="88" ht="16.5" customHeight="1">
      <c r="A88" s="1"/>
      <c r="B88" s="32" t="s">
        <v>2694</v>
      </c>
      <c r="C88" s="32" t="s">
        <v>2517</v>
      </c>
      <c r="D88" s="32" t="s">
        <v>2701</v>
      </c>
      <c r="E88" s="32" t="s">
        <v>128</v>
      </c>
      <c r="F88" s="32">
        <v>2.0</v>
      </c>
      <c r="G88" s="38">
        <v>1500.0</v>
      </c>
      <c r="H88" s="38"/>
      <c r="I88" s="32"/>
      <c r="J88" s="32" t="s">
        <v>1240</v>
      </c>
      <c r="K88" s="24"/>
      <c r="L88" s="32"/>
      <c r="M88" s="32"/>
      <c r="N88" s="32" t="s">
        <v>114</v>
      </c>
      <c r="O88" s="32" t="s">
        <v>1240</v>
      </c>
      <c r="P88" s="32" t="s">
        <v>1240</v>
      </c>
      <c r="Q88" s="32"/>
    </row>
    <row r="89" ht="16.5" customHeight="1">
      <c r="A89" s="1"/>
      <c r="B89" s="32"/>
      <c r="C89" s="32"/>
      <c r="D89" s="32"/>
      <c r="E89" s="32"/>
      <c r="F89" s="32"/>
      <c r="G89" s="38"/>
      <c r="H89" s="38"/>
      <c r="I89" s="32"/>
      <c r="J89" s="32"/>
      <c r="K89" s="24"/>
      <c r="L89" s="32"/>
      <c r="M89" s="32"/>
      <c r="N89" s="32"/>
      <c r="O89" s="32"/>
      <c r="P89" s="32"/>
      <c r="Q89" s="32"/>
    </row>
    <row r="90" ht="16.5" customHeight="1">
      <c r="A90" s="1"/>
      <c r="B90" s="32"/>
      <c r="C90" s="32"/>
      <c r="D90" s="32"/>
      <c r="E90" s="32"/>
      <c r="F90" s="32"/>
      <c r="G90" s="38"/>
      <c r="H90" s="38"/>
      <c r="I90" s="32"/>
      <c r="J90" s="32"/>
      <c r="K90" s="24"/>
      <c r="L90" s="32"/>
      <c r="M90" s="32"/>
      <c r="N90" s="32"/>
      <c r="O90" s="32"/>
      <c r="P90" s="32"/>
      <c r="Q90" s="32"/>
    </row>
    <row r="91" ht="16.5" customHeight="1">
      <c r="A91" s="1"/>
      <c r="B91" s="32"/>
      <c r="C91" s="32"/>
      <c r="D91" s="32"/>
      <c r="E91" s="32"/>
      <c r="F91" s="32"/>
      <c r="G91" s="38"/>
      <c r="H91" s="38"/>
      <c r="I91" s="32"/>
      <c r="J91" s="32"/>
      <c r="K91" s="24"/>
      <c r="L91" s="32"/>
      <c r="M91" s="32"/>
      <c r="N91" s="32"/>
      <c r="O91" s="32"/>
      <c r="P91" s="32"/>
      <c r="Q91" s="32"/>
    </row>
    <row r="92" ht="16.5" customHeight="1">
      <c r="A92" s="1"/>
      <c r="B92" s="32"/>
      <c r="C92" s="32"/>
      <c r="D92" s="32"/>
      <c r="E92" s="32"/>
      <c r="F92" s="32"/>
      <c r="G92" s="38"/>
      <c r="H92" s="38"/>
      <c r="I92" s="32"/>
      <c r="J92" s="32"/>
      <c r="K92" s="24"/>
      <c r="L92" s="32"/>
      <c r="M92" s="32"/>
      <c r="N92" s="32"/>
      <c r="O92" s="32"/>
      <c r="P92" s="32"/>
      <c r="Q92" s="32"/>
    </row>
    <row r="93" ht="16.5" customHeight="1">
      <c r="A93" s="1"/>
      <c r="B93" s="32"/>
      <c r="C93" s="32"/>
      <c r="D93" s="32"/>
      <c r="E93" s="32"/>
      <c r="F93" s="32"/>
      <c r="G93" s="38"/>
      <c r="H93" s="38"/>
      <c r="I93" s="32"/>
      <c r="J93" s="32"/>
      <c r="K93" s="24"/>
      <c r="L93" s="32"/>
      <c r="M93" s="32"/>
      <c r="N93" s="32"/>
      <c r="O93" s="32"/>
      <c r="P93" s="32"/>
      <c r="Q93" s="32"/>
    </row>
    <row r="94" ht="16.5" customHeight="1">
      <c r="A94" s="1"/>
      <c r="B94" s="32"/>
      <c r="C94" s="32"/>
      <c r="D94" s="32"/>
      <c r="E94" s="32"/>
      <c r="F94" s="32"/>
      <c r="G94" s="38"/>
      <c r="H94" s="38"/>
      <c r="I94" s="32"/>
      <c r="J94" s="32"/>
      <c r="K94" s="24"/>
      <c r="L94" s="32"/>
      <c r="M94" s="32"/>
      <c r="N94" s="32"/>
      <c r="O94" s="32"/>
      <c r="P94" s="32"/>
      <c r="Q94" s="32"/>
    </row>
    <row r="95" ht="16.5" customHeight="1">
      <c r="A95" s="1"/>
      <c r="B95" s="32"/>
      <c r="C95" s="32"/>
      <c r="D95" s="32"/>
      <c r="E95" s="32"/>
      <c r="F95" s="32"/>
      <c r="G95" s="38"/>
      <c r="H95" s="38"/>
      <c r="I95" s="32"/>
      <c r="J95" s="32"/>
      <c r="K95" s="24"/>
      <c r="L95" s="32"/>
      <c r="M95" s="32"/>
      <c r="N95" s="32"/>
      <c r="O95" s="32"/>
      <c r="P95" s="32"/>
      <c r="Q95" s="32"/>
    </row>
    <row r="96" ht="16.5" customHeight="1">
      <c r="A96" s="1"/>
      <c r="B96" s="32"/>
      <c r="C96" s="32"/>
      <c r="D96" s="32"/>
      <c r="E96" s="32"/>
      <c r="F96" s="32"/>
      <c r="G96" s="38"/>
      <c r="H96" s="38"/>
      <c r="I96" s="32"/>
      <c r="J96" s="32"/>
      <c r="K96" s="24"/>
      <c r="L96" s="32"/>
      <c r="M96" s="32"/>
      <c r="N96" s="32"/>
      <c r="O96" s="32"/>
      <c r="P96" s="32"/>
      <c r="Q96" s="32"/>
    </row>
    <row r="97" ht="16.5" customHeight="1">
      <c r="A97" s="1"/>
      <c r="B97" s="32"/>
      <c r="C97" s="32"/>
      <c r="D97" s="32"/>
      <c r="E97" s="32"/>
      <c r="F97" s="32"/>
      <c r="G97" s="38"/>
      <c r="H97" s="38"/>
      <c r="I97" s="32"/>
      <c r="J97" s="32"/>
      <c r="K97" s="24"/>
      <c r="L97" s="32"/>
      <c r="M97" s="32"/>
      <c r="N97" s="32"/>
      <c r="O97" s="32"/>
      <c r="P97" s="32"/>
      <c r="Q97" s="32"/>
    </row>
    <row r="98" ht="16.5" customHeight="1">
      <c r="A98" s="1"/>
      <c r="B98" s="32"/>
      <c r="C98" s="32"/>
      <c r="D98" s="32"/>
      <c r="E98" s="32"/>
      <c r="F98" s="32"/>
      <c r="G98" s="38"/>
      <c r="H98" s="38"/>
      <c r="I98" s="32"/>
      <c r="J98" s="32"/>
      <c r="K98" s="24"/>
      <c r="L98" s="32"/>
      <c r="M98" s="32"/>
      <c r="N98" s="32"/>
      <c r="O98" s="32"/>
      <c r="P98" s="32"/>
      <c r="Q98" s="32"/>
    </row>
    <row r="99" ht="16.5" customHeight="1">
      <c r="A99" s="1"/>
      <c r="B99" s="32"/>
      <c r="C99" s="32"/>
      <c r="D99" s="32"/>
      <c r="E99" s="32"/>
      <c r="F99" s="32"/>
      <c r="G99" s="38"/>
      <c r="H99" s="38"/>
      <c r="I99" s="32"/>
      <c r="J99" s="32"/>
      <c r="K99" s="24"/>
      <c r="L99" s="32"/>
      <c r="M99" s="32"/>
      <c r="N99" s="32"/>
      <c r="O99" s="32"/>
      <c r="P99" s="32"/>
      <c r="Q99" s="32"/>
    </row>
    <row r="100" ht="16.5" customHeight="1">
      <c r="A100" s="1"/>
      <c r="B100" s="32"/>
      <c r="C100" s="32"/>
      <c r="D100" s="32"/>
      <c r="E100" s="32"/>
      <c r="F100" s="32"/>
      <c r="G100" s="38"/>
      <c r="H100" s="38"/>
      <c r="I100" s="32"/>
      <c r="J100" s="32"/>
      <c r="K100" s="24"/>
      <c r="L100" s="32"/>
      <c r="M100" s="32"/>
      <c r="N100" s="32"/>
      <c r="O100" s="32"/>
      <c r="P100" s="32"/>
      <c r="Q100" s="3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Q$100"/>
  <conditionalFormatting sqref="B7:Q100">
    <cfRule type="expression" dxfId="11" priority="1" stopIfTrue="1">
      <formula>$E7="Not Applicable"</formula>
    </cfRule>
  </conditionalFormatting>
  <conditionalFormatting sqref="B7:Q100">
    <cfRule type="expression" dxfId="3" priority="2">
      <formula>AND($O7="Yes",$P7="Yes")</formula>
    </cfRule>
  </conditionalFormatting>
  <conditionalFormatting sqref="J7:J100">
    <cfRule type="cellIs" dxfId="6" priority="3" operator="equal">
      <formula>"No"</formula>
    </cfRule>
  </conditionalFormatting>
  <conditionalFormatting sqref="O7:P100">
    <cfRule type="cellIs" dxfId="6" priority="4" operator="equal">
      <formula>"No"</formula>
    </cfRule>
  </conditionalFormatting>
  <dataValidations>
    <dataValidation type="list" allowBlank="1" sqref="O7:P100">
      <formula1>"Yes,No,N/A"</formula1>
    </dataValidation>
    <dataValidation type="list" allowBlank="1" sqref="E7:E100">
      <formula1>"Required,Optional,Not Applicable,Completed"</formula1>
    </dataValidation>
    <dataValidation type="list" allowBlank="1" sqref="J7:J100">
      <formula1>"Yes,No,Ordered"</formula1>
    </dataValidation>
    <dataValidation type="list" allowBlank="1" sqref="L7:L100">
      <formula1>"Bride,Groom,Couple,Bride's Family,Groom's Family,Coordinator,Vendor,Shared"</formula1>
    </dataValidation>
    <dataValidation type="list" allowBlank="1" sqref="N7:N100">
      <formula1>"Yes,No"</formula1>
    </dataValidation>
  </dataValidations>
  <printOptions horizontalCentered="1"/>
  <pageMargins bottom="0.4" footer="0.0" header="0.0" left="0.3" right="0.3" top="0.4"/>
  <pageSetup fitToHeight="0" orientation="landscape"/>
  <headerFooter>
    <oddFooter>&amp;C 23 Procurement Packing   -   page &amp;P of </oddFooter>
  </headerFooter>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432B"/>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5.0"/>
    <col customWidth="1" min="3" max="3" width="47.14"/>
    <col customWidth="1" min="4" max="4" width="12.86"/>
    <col customWidth="1" min="5" max="5" width="10.71"/>
    <col customWidth="1" min="6" max="6" width="8.57"/>
    <col customWidth="1" min="7" max="8" width="58.29"/>
    <col customWidth="1" min="9" max="9" width="17.14"/>
    <col customWidth="1" min="10" max="10" width="21.43"/>
    <col customWidth="1" min="11" max="11" width="15.0"/>
    <col customWidth="1" min="12" max="12" width="25.86"/>
  </cols>
  <sheetData>
    <row r="1" ht="16.5" customHeight="1">
      <c r="A1" s="1"/>
      <c r="B1" s="1"/>
      <c r="C1" s="1"/>
      <c r="D1" s="1"/>
      <c r="E1" s="1"/>
      <c r="F1" s="1"/>
      <c r="G1" s="1"/>
      <c r="H1" s="1"/>
      <c r="I1" s="1"/>
      <c r="J1" s="1"/>
      <c r="K1" s="1"/>
      <c r="L1" s="1"/>
    </row>
    <row r="2" ht="33.75" customHeight="1">
      <c r="A2" s="2"/>
      <c r="B2" s="2" t="s">
        <v>2469</v>
      </c>
      <c r="C2" s="2"/>
      <c r="D2" s="2"/>
      <c r="E2" s="2"/>
      <c r="F2" s="2"/>
      <c r="G2" s="2"/>
      <c r="H2" s="2"/>
      <c r="I2" s="2"/>
      <c r="J2" s="2"/>
      <c r="K2" s="2"/>
      <c r="L2" s="2"/>
    </row>
    <row r="3" ht="15.75" customHeight="1">
      <c r="A3" s="3"/>
      <c r="B3" s="3" t="s">
        <v>2471</v>
      </c>
      <c r="C3" s="3"/>
      <c r="D3" s="3"/>
      <c r="E3" s="3"/>
      <c r="F3" s="3"/>
      <c r="G3" s="3"/>
      <c r="H3" s="3"/>
      <c r="I3" s="3"/>
      <c r="J3" s="3"/>
      <c r="K3" s="3"/>
      <c r="L3" s="3"/>
    </row>
    <row r="4" ht="16.5" customHeight="1">
      <c r="A4" s="1"/>
      <c r="B4" s="1"/>
      <c r="C4" s="1"/>
      <c r="D4" s="1"/>
      <c r="E4" s="1"/>
      <c r="F4" s="1"/>
      <c r="G4" s="1"/>
      <c r="H4" s="1"/>
      <c r="I4" s="1"/>
      <c r="J4" s="1"/>
      <c r="K4" s="1"/>
      <c r="L4" s="1"/>
    </row>
    <row r="5" ht="16.5" customHeight="1">
      <c r="A5" s="1"/>
      <c r="B5" s="1"/>
      <c r="C5" s="1"/>
      <c r="D5" s="1"/>
      <c r="E5" s="1"/>
      <c r="F5" s="1"/>
      <c r="G5" s="1"/>
      <c r="H5" s="1"/>
      <c r="I5" s="1"/>
      <c r="J5" s="1"/>
      <c r="K5" s="1"/>
      <c r="L5" s="1"/>
    </row>
    <row r="6" ht="30.0" customHeight="1">
      <c r="A6" s="16"/>
      <c r="B6" s="17" t="s">
        <v>288</v>
      </c>
      <c r="C6" s="17" t="s">
        <v>2474</v>
      </c>
      <c r="D6" s="17" t="s">
        <v>2475</v>
      </c>
      <c r="E6" s="17" t="s">
        <v>2476</v>
      </c>
      <c r="F6" s="17" t="s">
        <v>2477</v>
      </c>
      <c r="G6" s="17" t="s">
        <v>2478</v>
      </c>
      <c r="H6" s="17" t="s">
        <v>2480</v>
      </c>
      <c r="I6" s="17" t="s">
        <v>1879</v>
      </c>
      <c r="J6" s="17" t="s">
        <v>2481</v>
      </c>
      <c r="K6" s="17" t="s">
        <v>2482</v>
      </c>
      <c r="L6" s="17" t="s">
        <v>50</v>
      </c>
    </row>
    <row r="7" ht="25.5" customHeight="1">
      <c r="A7" s="1"/>
      <c r="B7" s="32" t="s">
        <v>2483</v>
      </c>
      <c r="C7" s="87" t="s">
        <v>2484</v>
      </c>
      <c r="D7" s="32" t="s">
        <v>1249</v>
      </c>
      <c r="E7" s="32" t="s">
        <v>1249</v>
      </c>
      <c r="F7" s="32">
        <f t="shared" ref="F7:F38" si="1">IF(OR($D7="",$E7=""),"",IF($D7="Low",1,IF($D7="Medium",2,IF($D7="High",3,4)))*IF($E7="Low",1,IF($E7="Medium",2,IF($E7="High",3,4))))</f>
        <v>9</v>
      </c>
      <c r="G7" s="87" t="s">
        <v>2488</v>
      </c>
      <c r="H7" s="87" t="s">
        <v>2489</v>
      </c>
      <c r="I7" s="32" t="s">
        <v>360</v>
      </c>
      <c r="J7" s="32"/>
      <c r="K7" s="32" t="s">
        <v>1240</v>
      </c>
      <c r="L7" s="32"/>
    </row>
    <row r="8" ht="25.5" customHeight="1">
      <c r="A8" s="1"/>
      <c r="B8" s="32" t="s">
        <v>2491</v>
      </c>
      <c r="C8" s="87" t="s">
        <v>2492</v>
      </c>
      <c r="D8" s="32" t="s">
        <v>1353</v>
      </c>
      <c r="E8" s="32" t="s">
        <v>1249</v>
      </c>
      <c r="F8" s="32">
        <f t="shared" si="1"/>
        <v>6</v>
      </c>
      <c r="G8" s="87" t="s">
        <v>2494</v>
      </c>
      <c r="H8" s="87" t="s">
        <v>2495</v>
      </c>
      <c r="I8" s="32" t="s">
        <v>360</v>
      </c>
      <c r="J8" s="32"/>
      <c r="K8" s="32" t="s">
        <v>1240</v>
      </c>
      <c r="L8" s="32"/>
    </row>
    <row r="9" ht="25.5" customHeight="1">
      <c r="A9" s="1"/>
      <c r="B9" s="32" t="s">
        <v>66</v>
      </c>
      <c r="C9" s="87" t="s">
        <v>2497</v>
      </c>
      <c r="D9" s="32" t="s">
        <v>2498</v>
      </c>
      <c r="E9" s="32" t="s">
        <v>1239</v>
      </c>
      <c r="F9" s="32">
        <f t="shared" si="1"/>
        <v>4</v>
      </c>
      <c r="G9" s="87" t="s">
        <v>2499</v>
      </c>
      <c r="H9" s="87" t="s">
        <v>2502</v>
      </c>
      <c r="I9" s="32" t="s">
        <v>360</v>
      </c>
      <c r="J9" s="32"/>
      <c r="K9" s="32" t="s">
        <v>1240</v>
      </c>
      <c r="L9" s="32"/>
    </row>
    <row r="10" ht="25.5" customHeight="1">
      <c r="A10" s="1"/>
      <c r="B10" s="32" t="s">
        <v>66</v>
      </c>
      <c r="C10" s="87" t="s">
        <v>2503</v>
      </c>
      <c r="D10" s="32" t="s">
        <v>1353</v>
      </c>
      <c r="E10" s="32" t="s">
        <v>1249</v>
      </c>
      <c r="F10" s="32">
        <f t="shared" si="1"/>
        <v>6</v>
      </c>
      <c r="G10" s="87" t="s">
        <v>2505</v>
      </c>
      <c r="H10" s="87" t="s">
        <v>2506</v>
      </c>
      <c r="I10" s="32" t="s">
        <v>360</v>
      </c>
      <c r="J10" s="32"/>
      <c r="K10" s="32" t="s">
        <v>1240</v>
      </c>
      <c r="L10" s="32"/>
    </row>
    <row r="11" ht="25.5" customHeight="1">
      <c r="A11" s="1"/>
      <c r="B11" s="32" t="s">
        <v>338</v>
      </c>
      <c r="C11" s="87" t="s">
        <v>2507</v>
      </c>
      <c r="D11" s="32" t="s">
        <v>2498</v>
      </c>
      <c r="E11" s="32" t="s">
        <v>1239</v>
      </c>
      <c r="F11" s="32">
        <f t="shared" si="1"/>
        <v>4</v>
      </c>
      <c r="G11" s="87" t="s">
        <v>2509</v>
      </c>
      <c r="H11" s="87" t="s">
        <v>2510</v>
      </c>
      <c r="I11" s="32" t="s">
        <v>217</v>
      </c>
      <c r="J11" s="32"/>
      <c r="K11" s="32" t="s">
        <v>1240</v>
      </c>
      <c r="L11" s="32"/>
    </row>
    <row r="12" ht="25.5" customHeight="1">
      <c r="A12" s="1"/>
      <c r="B12" s="32" t="s">
        <v>338</v>
      </c>
      <c r="C12" s="87" t="s">
        <v>2512</v>
      </c>
      <c r="D12" s="32" t="s">
        <v>1353</v>
      </c>
      <c r="E12" s="32" t="s">
        <v>1353</v>
      </c>
      <c r="F12" s="32">
        <f t="shared" si="1"/>
        <v>4</v>
      </c>
      <c r="G12" s="87" t="s">
        <v>2513</v>
      </c>
      <c r="H12" s="87" t="s">
        <v>2514</v>
      </c>
      <c r="I12" s="32" t="s">
        <v>360</v>
      </c>
      <c r="J12" s="32"/>
      <c r="K12" s="32" t="s">
        <v>1240</v>
      </c>
      <c r="L12" s="32"/>
    </row>
    <row r="13" ht="25.5" customHeight="1">
      <c r="A13" s="1"/>
      <c r="B13" s="32" t="s">
        <v>2500</v>
      </c>
      <c r="C13" s="87" t="s">
        <v>2516</v>
      </c>
      <c r="D13" s="32" t="s">
        <v>1249</v>
      </c>
      <c r="E13" s="32" t="s">
        <v>1249</v>
      </c>
      <c r="F13" s="32">
        <f t="shared" si="1"/>
        <v>9</v>
      </c>
      <c r="G13" s="87" t="s">
        <v>2519</v>
      </c>
      <c r="H13" s="87" t="s">
        <v>2520</v>
      </c>
      <c r="I13" s="32" t="s">
        <v>1256</v>
      </c>
      <c r="J13" s="32"/>
      <c r="K13" s="32" t="s">
        <v>1240</v>
      </c>
      <c r="L13" s="32"/>
    </row>
    <row r="14" ht="25.5" customHeight="1">
      <c r="A14" s="1"/>
      <c r="B14" s="32" t="s">
        <v>349</v>
      </c>
      <c r="C14" s="87" t="s">
        <v>2521</v>
      </c>
      <c r="D14" s="32" t="s">
        <v>2498</v>
      </c>
      <c r="E14" s="32" t="s">
        <v>1239</v>
      </c>
      <c r="F14" s="32">
        <f t="shared" si="1"/>
        <v>4</v>
      </c>
      <c r="G14" s="87" t="s">
        <v>2523</v>
      </c>
      <c r="H14" s="87" t="s">
        <v>2524</v>
      </c>
      <c r="I14" s="32" t="s">
        <v>1038</v>
      </c>
      <c r="J14" s="32"/>
      <c r="K14" s="32" t="s">
        <v>1240</v>
      </c>
      <c r="L14" s="32"/>
    </row>
    <row r="15" ht="25.5" customHeight="1">
      <c r="A15" s="1"/>
      <c r="B15" s="32" t="s">
        <v>349</v>
      </c>
      <c r="C15" s="87" t="s">
        <v>2525</v>
      </c>
      <c r="D15" s="32" t="s">
        <v>2498</v>
      </c>
      <c r="E15" s="32" t="s">
        <v>1249</v>
      </c>
      <c r="F15" s="32">
        <f t="shared" si="1"/>
        <v>3</v>
      </c>
      <c r="G15" s="87" t="s">
        <v>2527</v>
      </c>
      <c r="H15" s="87" t="s">
        <v>2528</v>
      </c>
      <c r="I15" s="32" t="s">
        <v>360</v>
      </c>
      <c r="J15" s="32"/>
      <c r="K15" s="32" t="s">
        <v>1240</v>
      </c>
      <c r="L15" s="32"/>
    </row>
    <row r="16" ht="25.5" customHeight="1">
      <c r="A16" s="1"/>
      <c r="B16" s="32" t="s">
        <v>349</v>
      </c>
      <c r="C16" s="87" t="s">
        <v>2531</v>
      </c>
      <c r="D16" s="32" t="s">
        <v>1353</v>
      </c>
      <c r="E16" s="32" t="s">
        <v>1249</v>
      </c>
      <c r="F16" s="32">
        <f t="shared" si="1"/>
        <v>6</v>
      </c>
      <c r="G16" s="87" t="s">
        <v>2532</v>
      </c>
      <c r="H16" s="87" t="s">
        <v>2533</v>
      </c>
      <c r="I16" s="32" t="s">
        <v>217</v>
      </c>
      <c r="J16" s="32"/>
      <c r="K16" s="32" t="s">
        <v>1240</v>
      </c>
      <c r="L16" s="32"/>
    </row>
    <row r="17" ht="25.5" customHeight="1">
      <c r="A17" s="1"/>
      <c r="B17" s="32" t="s">
        <v>2535</v>
      </c>
      <c r="C17" s="87" t="s">
        <v>2536</v>
      </c>
      <c r="D17" s="32" t="s">
        <v>1249</v>
      </c>
      <c r="E17" s="32" t="s">
        <v>1249</v>
      </c>
      <c r="F17" s="32">
        <f t="shared" si="1"/>
        <v>9</v>
      </c>
      <c r="G17" s="87" t="s">
        <v>2537</v>
      </c>
      <c r="H17" s="87" t="s">
        <v>2538</v>
      </c>
      <c r="I17" s="32" t="s">
        <v>360</v>
      </c>
      <c r="J17" s="32"/>
      <c r="K17" s="32" t="s">
        <v>1240</v>
      </c>
      <c r="L17" s="32"/>
    </row>
    <row r="18" ht="25.5" customHeight="1">
      <c r="A18" s="1"/>
      <c r="B18" s="32" t="s">
        <v>2535</v>
      </c>
      <c r="C18" s="87" t="s">
        <v>2540</v>
      </c>
      <c r="D18" s="32" t="s">
        <v>1353</v>
      </c>
      <c r="E18" s="32" t="s">
        <v>1249</v>
      </c>
      <c r="F18" s="32">
        <f t="shared" si="1"/>
        <v>6</v>
      </c>
      <c r="G18" s="87" t="s">
        <v>2541</v>
      </c>
      <c r="H18" s="87" t="s">
        <v>2542</v>
      </c>
      <c r="I18" s="32" t="s">
        <v>360</v>
      </c>
      <c r="J18" s="32"/>
      <c r="K18" s="32" t="s">
        <v>1240</v>
      </c>
      <c r="L18" s="32"/>
    </row>
    <row r="19" ht="25.5" customHeight="1">
      <c r="A19" s="1"/>
      <c r="B19" s="32" t="s">
        <v>2535</v>
      </c>
      <c r="C19" s="87" t="s">
        <v>2544</v>
      </c>
      <c r="D19" s="32" t="s">
        <v>2498</v>
      </c>
      <c r="E19" s="32" t="s">
        <v>1239</v>
      </c>
      <c r="F19" s="32">
        <f t="shared" si="1"/>
        <v>4</v>
      </c>
      <c r="G19" s="87" t="s">
        <v>2545</v>
      </c>
      <c r="H19" s="87" t="s">
        <v>2546</v>
      </c>
      <c r="I19" s="32" t="s">
        <v>360</v>
      </c>
      <c r="J19" s="32"/>
      <c r="K19" s="32" t="s">
        <v>1240</v>
      </c>
      <c r="L19" s="32"/>
    </row>
    <row r="20" ht="25.5" customHeight="1">
      <c r="A20" s="1"/>
      <c r="B20" s="32" t="s">
        <v>2548</v>
      </c>
      <c r="C20" s="87" t="s">
        <v>2549</v>
      </c>
      <c r="D20" s="32" t="s">
        <v>1353</v>
      </c>
      <c r="E20" s="32" t="s">
        <v>1249</v>
      </c>
      <c r="F20" s="32">
        <f t="shared" si="1"/>
        <v>6</v>
      </c>
      <c r="G20" s="87" t="s">
        <v>2550</v>
      </c>
      <c r="H20" s="87" t="s">
        <v>2551</v>
      </c>
      <c r="I20" s="32" t="s">
        <v>66</v>
      </c>
      <c r="J20" s="32"/>
      <c r="K20" s="32" t="s">
        <v>1240</v>
      </c>
      <c r="L20" s="32"/>
    </row>
    <row r="21" ht="25.5" customHeight="1">
      <c r="A21" s="1"/>
      <c r="B21" s="32" t="s">
        <v>2552</v>
      </c>
      <c r="C21" s="87" t="s">
        <v>2553</v>
      </c>
      <c r="D21" s="32" t="s">
        <v>1353</v>
      </c>
      <c r="E21" s="32" t="s">
        <v>1249</v>
      </c>
      <c r="F21" s="32">
        <f t="shared" si="1"/>
        <v>6</v>
      </c>
      <c r="G21" s="87" t="s">
        <v>2555</v>
      </c>
      <c r="H21" s="87" t="s">
        <v>2556</v>
      </c>
      <c r="I21" s="32" t="s">
        <v>360</v>
      </c>
      <c r="J21" s="32"/>
      <c r="K21" s="32" t="s">
        <v>1240</v>
      </c>
      <c r="L21" s="32"/>
    </row>
    <row r="22" ht="25.5" customHeight="1">
      <c r="A22" s="1"/>
      <c r="B22" s="32" t="s">
        <v>319</v>
      </c>
      <c r="C22" s="87" t="s">
        <v>2558</v>
      </c>
      <c r="D22" s="32" t="s">
        <v>1353</v>
      </c>
      <c r="E22" s="32" t="s">
        <v>1353</v>
      </c>
      <c r="F22" s="32">
        <f t="shared" si="1"/>
        <v>4</v>
      </c>
      <c r="G22" s="87" t="s">
        <v>2561</v>
      </c>
      <c r="H22" s="87" t="s">
        <v>2562</v>
      </c>
      <c r="I22" s="32" t="s">
        <v>1256</v>
      </c>
      <c r="J22" s="32"/>
      <c r="K22" s="32" t="s">
        <v>1240</v>
      </c>
      <c r="L22" s="32"/>
    </row>
    <row r="23" ht="25.5" customHeight="1">
      <c r="A23" s="1"/>
      <c r="B23" s="32" t="s">
        <v>2563</v>
      </c>
      <c r="C23" s="87" t="s">
        <v>2564</v>
      </c>
      <c r="D23" s="32" t="s">
        <v>2498</v>
      </c>
      <c r="E23" s="32" t="s">
        <v>1239</v>
      </c>
      <c r="F23" s="32">
        <f t="shared" si="1"/>
        <v>4</v>
      </c>
      <c r="G23" s="87" t="s">
        <v>2565</v>
      </c>
      <c r="H23" s="87" t="s">
        <v>2566</v>
      </c>
      <c r="I23" s="32" t="s">
        <v>217</v>
      </c>
      <c r="J23" s="32"/>
      <c r="K23" s="32" t="s">
        <v>1240</v>
      </c>
      <c r="L23" s="32"/>
    </row>
    <row r="24" ht="25.5" customHeight="1">
      <c r="A24" s="1"/>
      <c r="B24" s="32" t="s">
        <v>2563</v>
      </c>
      <c r="C24" s="87" t="s">
        <v>2568</v>
      </c>
      <c r="D24" s="32" t="s">
        <v>2498</v>
      </c>
      <c r="E24" s="32" t="s">
        <v>1239</v>
      </c>
      <c r="F24" s="32">
        <f t="shared" si="1"/>
        <v>4</v>
      </c>
      <c r="G24" s="87" t="s">
        <v>2569</v>
      </c>
      <c r="H24" s="87" t="s">
        <v>2570</v>
      </c>
      <c r="I24" s="32" t="s">
        <v>129</v>
      </c>
      <c r="J24" s="32"/>
      <c r="K24" s="32" t="s">
        <v>1240</v>
      </c>
      <c r="L24" s="32"/>
    </row>
    <row r="25" ht="25.5" customHeight="1">
      <c r="A25" s="1"/>
      <c r="B25" s="32" t="s">
        <v>2216</v>
      </c>
      <c r="C25" s="87" t="s">
        <v>2572</v>
      </c>
      <c r="D25" s="32" t="s">
        <v>1353</v>
      </c>
      <c r="E25" s="32" t="s">
        <v>1353</v>
      </c>
      <c r="F25" s="32">
        <f t="shared" si="1"/>
        <v>4</v>
      </c>
      <c r="G25" s="87" t="s">
        <v>2573</v>
      </c>
      <c r="H25" s="87" t="s">
        <v>2574</v>
      </c>
      <c r="I25" s="32" t="s">
        <v>2221</v>
      </c>
      <c r="J25" s="32"/>
      <c r="K25" s="32" t="s">
        <v>1240</v>
      </c>
      <c r="L25" s="32"/>
    </row>
    <row r="26" ht="25.5" customHeight="1">
      <c r="A26" s="1"/>
      <c r="B26" s="32" t="s">
        <v>2216</v>
      </c>
      <c r="C26" s="87" t="s">
        <v>2575</v>
      </c>
      <c r="D26" s="32" t="s">
        <v>1353</v>
      </c>
      <c r="E26" s="32" t="s">
        <v>2498</v>
      </c>
      <c r="F26" s="32">
        <f t="shared" si="1"/>
        <v>2</v>
      </c>
      <c r="G26" s="87" t="s">
        <v>2577</v>
      </c>
      <c r="H26" s="87" t="s">
        <v>2578</v>
      </c>
      <c r="I26" s="32" t="s">
        <v>2221</v>
      </c>
      <c r="J26" s="32"/>
      <c r="K26" s="32" t="s">
        <v>1240</v>
      </c>
      <c r="L26" s="32"/>
    </row>
    <row r="27" ht="25.5" customHeight="1">
      <c r="A27" s="1"/>
      <c r="B27" s="32" t="s">
        <v>2579</v>
      </c>
      <c r="C27" s="87" t="s">
        <v>2580</v>
      </c>
      <c r="D27" s="32" t="s">
        <v>2498</v>
      </c>
      <c r="E27" s="32" t="s">
        <v>1239</v>
      </c>
      <c r="F27" s="32">
        <f t="shared" si="1"/>
        <v>4</v>
      </c>
      <c r="G27" s="87" t="s">
        <v>2581</v>
      </c>
      <c r="H27" s="87" t="s">
        <v>2582</v>
      </c>
      <c r="I27" s="32" t="s">
        <v>360</v>
      </c>
      <c r="J27" s="32"/>
      <c r="K27" s="32" t="s">
        <v>1240</v>
      </c>
      <c r="L27" s="32"/>
    </row>
    <row r="28" ht="25.5" customHeight="1">
      <c r="A28" s="1"/>
      <c r="B28" s="32" t="s">
        <v>2584</v>
      </c>
      <c r="C28" s="87" t="s">
        <v>2585</v>
      </c>
      <c r="D28" s="32" t="s">
        <v>1249</v>
      </c>
      <c r="E28" s="32" t="s">
        <v>1353</v>
      </c>
      <c r="F28" s="32">
        <f t="shared" si="1"/>
        <v>6</v>
      </c>
      <c r="G28" s="87" t="s">
        <v>2586</v>
      </c>
      <c r="H28" s="87" t="s">
        <v>2587</v>
      </c>
      <c r="I28" s="32" t="s">
        <v>360</v>
      </c>
      <c r="J28" s="32"/>
      <c r="K28" s="32" t="s">
        <v>1240</v>
      </c>
      <c r="L28" s="32"/>
    </row>
    <row r="29" ht="25.5" customHeight="1">
      <c r="A29" s="1"/>
      <c r="B29" s="32" t="s">
        <v>2203</v>
      </c>
      <c r="C29" s="87" t="s">
        <v>2589</v>
      </c>
      <c r="D29" s="32" t="s">
        <v>1353</v>
      </c>
      <c r="E29" s="32" t="s">
        <v>1249</v>
      </c>
      <c r="F29" s="32">
        <f t="shared" si="1"/>
        <v>6</v>
      </c>
      <c r="G29" s="87" t="s">
        <v>2591</v>
      </c>
      <c r="H29" s="87" t="s">
        <v>2592</v>
      </c>
      <c r="I29" s="32" t="s">
        <v>1038</v>
      </c>
      <c r="J29" s="32"/>
      <c r="K29" s="32" t="s">
        <v>1240</v>
      </c>
      <c r="L29" s="32"/>
    </row>
    <row r="30" ht="25.5" customHeight="1">
      <c r="A30" s="1"/>
      <c r="B30" s="32" t="s">
        <v>2203</v>
      </c>
      <c r="C30" s="87" t="s">
        <v>2594</v>
      </c>
      <c r="D30" s="32" t="s">
        <v>1353</v>
      </c>
      <c r="E30" s="32" t="s">
        <v>1353</v>
      </c>
      <c r="F30" s="32">
        <f t="shared" si="1"/>
        <v>4</v>
      </c>
      <c r="G30" s="87" t="s">
        <v>2595</v>
      </c>
      <c r="H30" s="87" t="s">
        <v>2596</v>
      </c>
      <c r="I30" s="32" t="s">
        <v>360</v>
      </c>
      <c r="J30" s="32"/>
      <c r="K30" s="32" t="s">
        <v>1240</v>
      </c>
      <c r="L30" s="32"/>
    </row>
    <row r="31" ht="25.5" customHeight="1">
      <c r="A31" s="1"/>
      <c r="B31" s="32"/>
      <c r="C31" s="87"/>
      <c r="D31" s="32"/>
      <c r="E31" s="32"/>
      <c r="F31" s="32" t="str">
        <f t="shared" si="1"/>
        <v/>
      </c>
      <c r="G31" s="87"/>
      <c r="H31" s="87"/>
      <c r="I31" s="32"/>
      <c r="J31" s="32"/>
      <c r="K31" s="32"/>
      <c r="L31" s="32"/>
    </row>
    <row r="32" ht="25.5" customHeight="1">
      <c r="A32" s="1"/>
      <c r="B32" s="32"/>
      <c r="C32" s="87"/>
      <c r="D32" s="32"/>
      <c r="E32" s="32"/>
      <c r="F32" s="32" t="str">
        <f t="shared" si="1"/>
        <v/>
      </c>
      <c r="G32" s="87"/>
      <c r="H32" s="87"/>
      <c r="I32" s="32"/>
      <c r="J32" s="32"/>
      <c r="K32" s="32"/>
      <c r="L32" s="32"/>
    </row>
    <row r="33" ht="25.5" customHeight="1">
      <c r="A33" s="1"/>
      <c r="B33" s="32"/>
      <c r="C33" s="87"/>
      <c r="D33" s="32"/>
      <c r="E33" s="32"/>
      <c r="F33" s="32" t="str">
        <f t="shared" si="1"/>
        <v/>
      </c>
      <c r="G33" s="87"/>
      <c r="H33" s="87"/>
      <c r="I33" s="32"/>
      <c r="J33" s="32"/>
      <c r="K33" s="32"/>
      <c r="L33" s="32"/>
    </row>
    <row r="34" ht="25.5" customHeight="1">
      <c r="A34" s="1"/>
      <c r="B34" s="32"/>
      <c r="C34" s="87"/>
      <c r="D34" s="32"/>
      <c r="E34" s="32"/>
      <c r="F34" s="32" t="str">
        <f t="shared" si="1"/>
        <v/>
      </c>
      <c r="G34" s="87"/>
      <c r="H34" s="87"/>
      <c r="I34" s="32"/>
      <c r="J34" s="32"/>
      <c r="K34" s="32"/>
      <c r="L34" s="32"/>
    </row>
    <row r="35" ht="25.5" customHeight="1">
      <c r="A35" s="1"/>
      <c r="B35" s="32"/>
      <c r="C35" s="87"/>
      <c r="D35" s="32"/>
      <c r="E35" s="32"/>
      <c r="F35" s="32" t="str">
        <f t="shared" si="1"/>
        <v/>
      </c>
      <c r="G35" s="87"/>
      <c r="H35" s="87"/>
      <c r="I35" s="32"/>
      <c r="J35" s="32"/>
      <c r="K35" s="32"/>
      <c r="L35" s="32"/>
    </row>
    <row r="36" ht="25.5" customHeight="1">
      <c r="A36" s="1"/>
      <c r="B36" s="32"/>
      <c r="C36" s="87"/>
      <c r="D36" s="32"/>
      <c r="E36" s="32"/>
      <c r="F36" s="32" t="str">
        <f t="shared" si="1"/>
        <v/>
      </c>
      <c r="G36" s="87"/>
      <c r="H36" s="87"/>
      <c r="I36" s="32"/>
      <c r="J36" s="32"/>
      <c r="K36" s="32"/>
      <c r="L36" s="32"/>
    </row>
    <row r="37" ht="25.5" customHeight="1">
      <c r="A37" s="1"/>
      <c r="B37" s="32"/>
      <c r="C37" s="87"/>
      <c r="D37" s="32"/>
      <c r="E37" s="32"/>
      <c r="F37" s="32" t="str">
        <f t="shared" si="1"/>
        <v/>
      </c>
      <c r="G37" s="87"/>
      <c r="H37" s="87"/>
      <c r="I37" s="32"/>
      <c r="J37" s="32"/>
      <c r="K37" s="32"/>
      <c r="L37" s="32"/>
    </row>
    <row r="38" ht="25.5" customHeight="1">
      <c r="A38" s="1"/>
      <c r="B38" s="32"/>
      <c r="C38" s="87"/>
      <c r="D38" s="32"/>
      <c r="E38" s="32"/>
      <c r="F38" s="32" t="str">
        <f t="shared" si="1"/>
        <v/>
      </c>
      <c r="G38" s="87"/>
      <c r="H38" s="87"/>
      <c r="I38" s="32"/>
      <c r="J38" s="32"/>
      <c r="K38" s="32"/>
      <c r="L38" s="3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L$38"/>
  <conditionalFormatting sqref="F7:F38">
    <cfRule type="cellIs" dxfId="2" priority="1" operator="greaterThanOrEqual">
      <formula>9</formula>
    </cfRule>
  </conditionalFormatting>
  <conditionalFormatting sqref="F7:F38">
    <cfRule type="cellIs" dxfId="6" priority="2" operator="between">
      <formula>4</formula>
      <formula>8</formula>
    </cfRule>
  </conditionalFormatting>
  <conditionalFormatting sqref="K7:K38">
    <cfRule type="cellIs" dxfId="3" priority="3" operator="equal">
      <formula>"Yes"</formula>
    </cfRule>
  </conditionalFormatting>
  <dataValidations>
    <dataValidation type="list" allowBlank="1" sqref="D7:E38">
      <formula1>"Low,Medium,High,Critical"</formula1>
    </dataValidation>
    <dataValidation type="list" allowBlank="1" sqref="K7:K38">
      <formula1>"Yes,No,N/A"</formula1>
    </dataValidation>
  </dataValidations>
  <printOptions horizontalCentered="1"/>
  <pageMargins bottom="0.4" footer="0.0" header="0.0" left="0.3" right="0.3" top="0.4"/>
  <pageSetup fitToHeight="0" orientation="landscape"/>
  <headerFooter>
    <oddFooter>&amp;C 24 Emergency Plan   -   page &amp;P of </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A5A5A"/>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0"/>
    <col customWidth="1" min="2" max="2" width="17.14"/>
    <col customWidth="1" min="3" max="3" width="58.29"/>
    <col customWidth="1" min="4" max="4" width="11.86"/>
    <col customWidth="1" min="5" max="5" width="17.14"/>
    <col customWidth="1" min="6" max="7" width="13.86"/>
    <col customWidth="1" min="8" max="8" width="15.0"/>
    <col customWidth="1" min="9" max="9" width="13.86"/>
    <col customWidth="1" min="10" max="10" width="36.43"/>
  </cols>
  <sheetData>
    <row r="1" ht="16.5" customHeight="1">
      <c r="A1" s="1"/>
      <c r="B1" s="1"/>
      <c r="C1" s="1"/>
      <c r="D1" s="1"/>
      <c r="E1" s="1"/>
      <c r="F1" s="1"/>
      <c r="G1" s="1"/>
      <c r="H1" s="1"/>
      <c r="I1" s="1"/>
      <c r="J1" s="1"/>
    </row>
    <row r="2" ht="33.75" customHeight="1">
      <c r="A2" s="2"/>
      <c r="B2" s="2" t="s">
        <v>2618</v>
      </c>
      <c r="C2" s="2"/>
      <c r="D2" s="2"/>
      <c r="E2" s="2"/>
      <c r="F2" s="2"/>
      <c r="G2" s="2"/>
      <c r="H2" s="2"/>
      <c r="I2" s="2"/>
      <c r="J2" s="2"/>
    </row>
    <row r="3" ht="15.75" customHeight="1">
      <c r="A3" s="3"/>
      <c r="B3" s="3" t="s">
        <v>2620</v>
      </c>
      <c r="C3" s="3"/>
      <c r="D3" s="3"/>
      <c r="E3" s="3"/>
      <c r="F3" s="3"/>
      <c r="G3" s="3"/>
      <c r="H3" s="3"/>
      <c r="I3" s="3"/>
      <c r="J3" s="3"/>
    </row>
    <row r="4" ht="16.5" customHeight="1">
      <c r="A4" s="1"/>
      <c r="B4" s="1"/>
      <c r="C4" s="1"/>
      <c r="D4" s="1"/>
      <c r="E4" s="1"/>
      <c r="F4" s="1"/>
      <c r="G4" s="1"/>
      <c r="H4" s="1"/>
      <c r="I4" s="1"/>
      <c r="J4" s="1"/>
    </row>
    <row r="5" ht="21.75" customHeight="1">
      <c r="A5" s="5"/>
      <c r="B5" s="8" t="s">
        <v>2623</v>
      </c>
      <c r="C5" s="8"/>
      <c r="D5" s="8"/>
      <c r="E5" s="8"/>
      <c r="F5" s="8"/>
      <c r="G5" s="8"/>
      <c r="H5" s="8"/>
      <c r="I5" s="8"/>
      <c r="J5" s="8"/>
    </row>
    <row r="6" ht="30.0" customHeight="1">
      <c r="A6" s="16"/>
      <c r="B6" s="17" t="s">
        <v>2625</v>
      </c>
      <c r="C6" s="17" t="s">
        <v>1226</v>
      </c>
      <c r="D6" s="17" t="s">
        <v>62</v>
      </c>
      <c r="E6" s="17" t="s">
        <v>1223</v>
      </c>
      <c r="F6" s="17" t="s">
        <v>1938</v>
      </c>
      <c r="G6" s="17" t="s">
        <v>1939</v>
      </c>
      <c r="H6" s="17" t="s">
        <v>2627</v>
      </c>
      <c r="I6" s="17" t="s">
        <v>88</v>
      </c>
      <c r="J6" s="17" t="s">
        <v>50</v>
      </c>
    </row>
    <row r="7" ht="16.5" customHeight="1">
      <c r="A7" s="1"/>
      <c r="B7" s="32" t="s">
        <v>1339</v>
      </c>
      <c r="C7" s="32" t="s">
        <v>2629</v>
      </c>
      <c r="D7" s="32" t="s">
        <v>128</v>
      </c>
      <c r="E7" s="32"/>
      <c r="F7" s="24">
        <f>WeddingDate+1</f>
        <v>46634</v>
      </c>
      <c r="G7" s="24"/>
      <c r="H7" s="38"/>
      <c r="I7" s="32" t="s">
        <v>117</v>
      </c>
      <c r="J7" s="32"/>
    </row>
    <row r="8" ht="16.5" customHeight="1">
      <c r="A8" s="1"/>
      <c r="B8" s="32" t="s">
        <v>1339</v>
      </c>
      <c r="C8" s="32" t="s">
        <v>1345</v>
      </c>
      <c r="D8" s="32" t="s">
        <v>128</v>
      </c>
      <c r="E8" s="32"/>
      <c r="F8" s="24">
        <f>WeddingDate+1</f>
        <v>46634</v>
      </c>
      <c r="G8" s="24"/>
      <c r="H8" s="38"/>
      <c r="I8" s="32" t="s">
        <v>117</v>
      </c>
      <c r="J8" s="32"/>
    </row>
    <row r="9" ht="16.5" customHeight="1">
      <c r="A9" s="1"/>
      <c r="B9" s="32" t="s">
        <v>1339</v>
      </c>
      <c r="C9" s="32" t="s">
        <v>2650</v>
      </c>
      <c r="D9" s="32" t="s">
        <v>128</v>
      </c>
      <c r="E9" s="32"/>
      <c r="F9" s="24">
        <f>WeddingDate+1</f>
        <v>46634</v>
      </c>
      <c r="G9" s="24"/>
      <c r="H9" s="38"/>
      <c r="I9" s="32" t="s">
        <v>117</v>
      </c>
      <c r="J9" s="32"/>
    </row>
    <row r="10" ht="16.5" customHeight="1">
      <c r="A10" s="1"/>
      <c r="B10" s="32" t="s">
        <v>1339</v>
      </c>
      <c r="C10" s="32" t="s">
        <v>2659</v>
      </c>
      <c r="D10" s="32" t="s">
        <v>128</v>
      </c>
      <c r="E10" s="32"/>
      <c r="F10" s="24">
        <f>WeddingDate+1</f>
        <v>46634</v>
      </c>
      <c r="G10" s="24"/>
      <c r="H10" s="38"/>
      <c r="I10" s="32" t="s">
        <v>117</v>
      </c>
      <c r="J10" s="32"/>
    </row>
    <row r="11" ht="16.5" customHeight="1">
      <c r="A11" s="1"/>
      <c r="B11" s="32" t="s">
        <v>1339</v>
      </c>
      <c r="C11" s="32" t="s">
        <v>1340</v>
      </c>
      <c r="D11" s="32" t="s">
        <v>128</v>
      </c>
      <c r="E11" s="32"/>
      <c r="F11" s="24">
        <f>WeddingDate+1</f>
        <v>46634</v>
      </c>
      <c r="G11" s="24"/>
      <c r="H11" s="38"/>
      <c r="I11" s="32" t="s">
        <v>117</v>
      </c>
      <c r="J11" s="32"/>
    </row>
    <row r="12" ht="16.5" customHeight="1">
      <c r="A12" s="1"/>
      <c r="B12" s="32" t="s">
        <v>1339</v>
      </c>
      <c r="C12" s="32" t="s">
        <v>1349</v>
      </c>
      <c r="D12" s="32" t="s">
        <v>128</v>
      </c>
      <c r="E12" s="32"/>
      <c r="F12" s="24">
        <f>WeddingDate+1</f>
        <v>46634</v>
      </c>
      <c r="G12" s="24"/>
      <c r="H12" s="38"/>
      <c r="I12" s="32" t="s">
        <v>117</v>
      </c>
      <c r="J12" s="32"/>
    </row>
    <row r="13" ht="16.5" customHeight="1">
      <c r="A13" s="1"/>
      <c r="B13" s="32" t="s">
        <v>1339</v>
      </c>
      <c r="C13" s="32" t="s">
        <v>2679</v>
      </c>
      <c r="D13" s="32" t="s">
        <v>128</v>
      </c>
      <c r="E13" s="32"/>
      <c r="F13" s="24">
        <f>WeddingDate+1</f>
        <v>46634</v>
      </c>
      <c r="G13" s="24"/>
      <c r="H13" s="38"/>
      <c r="I13" s="32" t="s">
        <v>117</v>
      </c>
      <c r="J13" s="32"/>
    </row>
    <row r="14" ht="16.5" customHeight="1">
      <c r="A14" s="1"/>
      <c r="B14" s="32" t="s">
        <v>1339</v>
      </c>
      <c r="C14" s="32" t="s">
        <v>2685</v>
      </c>
      <c r="D14" s="32" t="s">
        <v>128</v>
      </c>
      <c r="E14" s="32"/>
      <c r="F14" s="24">
        <f>WeddingDate+1</f>
        <v>46634</v>
      </c>
      <c r="G14" s="24"/>
      <c r="H14" s="38"/>
      <c r="I14" s="32" t="s">
        <v>117</v>
      </c>
      <c r="J14" s="32"/>
    </row>
    <row r="15" ht="16.5" customHeight="1">
      <c r="A15" s="1"/>
      <c r="B15" s="32" t="s">
        <v>2690</v>
      </c>
      <c r="C15" s="32" t="s">
        <v>2691</v>
      </c>
      <c r="D15" s="32" t="s">
        <v>128</v>
      </c>
      <c r="E15" s="32"/>
      <c r="F15" s="24">
        <f>WeddingDate+5</f>
        <v>46638</v>
      </c>
      <c r="G15" s="24"/>
      <c r="H15" s="38"/>
      <c r="I15" s="32" t="s">
        <v>117</v>
      </c>
      <c r="J15" s="32"/>
    </row>
    <row r="16" ht="16.5" customHeight="1">
      <c r="A16" s="1"/>
      <c r="B16" s="32" t="s">
        <v>2690</v>
      </c>
      <c r="C16" s="32" t="s">
        <v>2695</v>
      </c>
      <c r="D16" s="32" t="s">
        <v>128</v>
      </c>
      <c r="E16" s="32"/>
      <c r="F16" s="24">
        <f>WeddingDate+7</f>
        <v>46640</v>
      </c>
      <c r="G16" s="24"/>
      <c r="H16" s="38"/>
      <c r="I16" s="32" t="s">
        <v>117</v>
      </c>
      <c r="J16" s="32"/>
    </row>
    <row r="17" ht="16.5" customHeight="1">
      <c r="A17" s="1"/>
      <c r="B17" s="32" t="s">
        <v>2690</v>
      </c>
      <c r="C17" s="32" t="s">
        <v>2698</v>
      </c>
      <c r="D17" s="32" t="s">
        <v>128</v>
      </c>
      <c r="E17" s="32"/>
      <c r="F17" s="24">
        <f>WeddingDate+7</f>
        <v>46640</v>
      </c>
      <c r="G17" s="24"/>
      <c r="H17" s="38"/>
      <c r="I17" s="32" t="s">
        <v>117</v>
      </c>
      <c r="J17" s="32"/>
    </row>
    <row r="18" ht="16.5" customHeight="1">
      <c r="A18" s="1"/>
      <c r="B18" s="32" t="s">
        <v>2690</v>
      </c>
      <c r="C18" s="32" t="s">
        <v>2700</v>
      </c>
      <c r="D18" s="32" t="s">
        <v>128</v>
      </c>
      <c r="E18" s="32"/>
      <c r="F18" s="24">
        <f>WeddingDate+7</f>
        <v>46640</v>
      </c>
      <c r="G18" s="24"/>
      <c r="H18" s="38"/>
      <c r="I18" s="32" t="s">
        <v>117</v>
      </c>
      <c r="J18" s="32"/>
    </row>
    <row r="19" ht="16.5" customHeight="1">
      <c r="A19" s="1"/>
      <c r="B19" s="32" t="s">
        <v>2690</v>
      </c>
      <c r="C19" s="32" t="s">
        <v>2702</v>
      </c>
      <c r="D19" s="32" t="s">
        <v>128</v>
      </c>
      <c r="E19" s="32"/>
      <c r="F19" s="24">
        <f>WeddingDate+7</f>
        <v>46640</v>
      </c>
      <c r="G19" s="24"/>
      <c r="H19" s="38"/>
      <c r="I19" s="32" t="s">
        <v>117</v>
      </c>
      <c r="J19" s="32"/>
    </row>
    <row r="20" ht="16.5" customHeight="1">
      <c r="A20" s="1"/>
      <c r="B20" s="32" t="s">
        <v>2690</v>
      </c>
      <c r="C20" s="32" t="s">
        <v>2703</v>
      </c>
      <c r="D20" s="32" t="s">
        <v>128</v>
      </c>
      <c r="E20" s="32"/>
      <c r="F20" s="24">
        <f>WeddingDate+7</f>
        <v>46640</v>
      </c>
      <c r="G20" s="24"/>
      <c r="H20" s="38"/>
      <c r="I20" s="32" t="s">
        <v>117</v>
      </c>
      <c r="J20" s="32"/>
    </row>
    <row r="21" ht="16.5" customHeight="1">
      <c r="A21" s="1"/>
      <c r="B21" s="32" t="s">
        <v>2704</v>
      </c>
      <c r="C21" s="32" t="s">
        <v>2705</v>
      </c>
      <c r="D21" s="32" t="s">
        <v>128</v>
      </c>
      <c r="E21" s="32"/>
      <c r="F21" s="24">
        <f>WeddingDate+14</f>
        <v>46647</v>
      </c>
      <c r="G21" s="24"/>
      <c r="H21" s="38"/>
      <c r="I21" s="32" t="s">
        <v>117</v>
      </c>
      <c r="J21" s="32"/>
    </row>
    <row r="22" ht="16.5" customHeight="1">
      <c r="A22" s="1"/>
      <c r="B22" s="32" t="s">
        <v>2704</v>
      </c>
      <c r="C22" s="32" t="s">
        <v>2707</v>
      </c>
      <c r="D22" s="32" t="s">
        <v>128</v>
      </c>
      <c r="E22" s="32"/>
      <c r="F22" s="24">
        <f>WeddingDate+14</f>
        <v>46647</v>
      </c>
      <c r="G22" s="24"/>
      <c r="H22" s="38"/>
      <c r="I22" s="32" t="s">
        <v>117</v>
      </c>
      <c r="J22" s="32"/>
    </row>
    <row r="23" ht="16.5" customHeight="1">
      <c r="A23" s="1"/>
      <c r="B23" s="32" t="s">
        <v>2704</v>
      </c>
      <c r="C23" s="32" t="s">
        <v>2708</v>
      </c>
      <c r="D23" s="32" t="s">
        <v>128</v>
      </c>
      <c r="E23" s="32"/>
      <c r="F23" s="24">
        <f>WeddingDate+14</f>
        <v>46647</v>
      </c>
      <c r="G23" s="24"/>
      <c r="H23" s="38"/>
      <c r="I23" s="32" t="s">
        <v>117</v>
      </c>
      <c r="J23" s="32"/>
    </row>
    <row r="24" ht="16.5" customHeight="1">
      <c r="A24" s="1"/>
      <c r="B24" s="32" t="s">
        <v>2704</v>
      </c>
      <c r="C24" s="32" t="s">
        <v>2709</v>
      </c>
      <c r="D24" s="32" t="s">
        <v>128</v>
      </c>
      <c r="E24" s="32"/>
      <c r="F24" s="24">
        <f>WeddingDate+30</f>
        <v>46663</v>
      </c>
      <c r="G24" s="24"/>
      <c r="H24" s="38"/>
      <c r="I24" s="32" t="s">
        <v>117</v>
      </c>
      <c r="J24" s="32"/>
    </row>
    <row r="25" ht="16.5" customHeight="1">
      <c r="A25" s="1"/>
      <c r="B25" s="32" t="s">
        <v>2704</v>
      </c>
      <c r="C25" s="32" t="s">
        <v>2710</v>
      </c>
      <c r="D25" s="32" t="s">
        <v>128</v>
      </c>
      <c r="E25" s="32"/>
      <c r="F25" s="24">
        <f>WeddingDate+30</f>
        <v>46663</v>
      </c>
      <c r="G25" s="24"/>
      <c r="H25" s="38"/>
      <c r="I25" s="32" t="s">
        <v>117</v>
      </c>
      <c r="J25" s="32"/>
    </row>
    <row r="26" ht="16.5" customHeight="1">
      <c r="A26" s="1"/>
      <c r="B26" s="32" t="s">
        <v>2704</v>
      </c>
      <c r="C26" s="32" t="s">
        <v>1990</v>
      </c>
      <c r="D26" s="32" t="s">
        <v>128</v>
      </c>
      <c r="E26" s="32"/>
      <c r="F26" s="24">
        <f>WeddingDate+21</f>
        <v>46654</v>
      </c>
      <c r="G26" s="24"/>
      <c r="H26" s="38"/>
      <c r="I26" s="32" t="s">
        <v>117</v>
      </c>
      <c r="J26" s="32"/>
    </row>
    <row r="27" ht="16.5" customHeight="1">
      <c r="A27" s="1"/>
      <c r="B27" s="32" t="s">
        <v>2704</v>
      </c>
      <c r="C27" s="32" t="s">
        <v>1993</v>
      </c>
      <c r="D27" s="32" t="s">
        <v>128</v>
      </c>
      <c r="E27" s="32"/>
      <c r="F27" s="24">
        <f>WeddingDate+60</f>
        <v>46693</v>
      </c>
      <c r="G27" s="24"/>
      <c r="H27" s="38"/>
      <c r="I27" s="32" t="s">
        <v>117</v>
      </c>
      <c r="J27" s="32"/>
    </row>
    <row r="28" ht="16.5" customHeight="1">
      <c r="A28" s="1"/>
      <c r="B28" s="32" t="s">
        <v>2711</v>
      </c>
      <c r="C28" s="32" t="s">
        <v>2712</v>
      </c>
      <c r="D28" s="32" t="s">
        <v>128</v>
      </c>
      <c r="E28" s="32"/>
      <c r="F28" s="24">
        <f>WeddingDate+45</f>
        <v>46678</v>
      </c>
      <c r="G28" s="24"/>
      <c r="H28" s="38"/>
      <c r="I28" s="32" t="s">
        <v>117</v>
      </c>
      <c r="J28" s="32"/>
    </row>
    <row r="29" ht="16.5" customHeight="1">
      <c r="A29" s="1"/>
      <c r="B29" s="32" t="s">
        <v>2711</v>
      </c>
      <c r="C29" s="32" t="s">
        <v>2713</v>
      </c>
      <c r="D29" s="32" t="s">
        <v>128</v>
      </c>
      <c r="E29" s="32"/>
      <c r="F29" s="24">
        <f>WeddingDate+45</f>
        <v>46678</v>
      </c>
      <c r="G29" s="24"/>
      <c r="H29" s="38"/>
      <c r="I29" s="32" t="s">
        <v>117</v>
      </c>
      <c r="J29" s="32"/>
    </row>
    <row r="30" ht="16.5" customHeight="1">
      <c r="A30" s="1"/>
      <c r="B30" s="32" t="s">
        <v>2711</v>
      </c>
      <c r="C30" s="32" t="s">
        <v>2714</v>
      </c>
      <c r="D30" s="32" t="s">
        <v>128</v>
      </c>
      <c r="E30" s="32"/>
      <c r="F30" s="24">
        <f>WeddingDate+90</f>
        <v>46723</v>
      </c>
      <c r="G30" s="24"/>
      <c r="H30" s="38"/>
      <c r="I30" s="32" t="s">
        <v>117</v>
      </c>
      <c r="J30" s="32"/>
    </row>
    <row r="31" ht="16.5" customHeight="1">
      <c r="A31" s="1"/>
      <c r="B31" s="32" t="s">
        <v>2711</v>
      </c>
      <c r="C31" s="32" t="s">
        <v>2715</v>
      </c>
      <c r="D31" s="32" t="s">
        <v>128</v>
      </c>
      <c r="E31" s="32"/>
      <c r="F31" s="24">
        <f>WeddingDate+45</f>
        <v>46678</v>
      </c>
      <c r="G31" s="24"/>
      <c r="H31" s="38"/>
      <c r="I31" s="32" t="s">
        <v>117</v>
      </c>
      <c r="J31" s="32"/>
    </row>
    <row r="32" ht="16.5" customHeight="1">
      <c r="A32" s="1"/>
      <c r="B32" s="32"/>
      <c r="C32" s="32"/>
      <c r="D32" s="32"/>
      <c r="E32" s="32"/>
      <c r="F32" s="24"/>
      <c r="G32" s="24"/>
      <c r="H32" s="38"/>
      <c r="I32" s="32"/>
      <c r="J32" s="32"/>
    </row>
    <row r="33" ht="16.5" customHeight="1">
      <c r="A33" s="1"/>
      <c r="B33" s="32"/>
      <c r="C33" s="32"/>
      <c r="D33" s="32"/>
      <c r="E33" s="32"/>
      <c r="F33" s="24"/>
      <c r="G33" s="24"/>
      <c r="H33" s="38"/>
      <c r="I33" s="32"/>
      <c r="J33" s="32"/>
    </row>
    <row r="34" ht="16.5" customHeight="1">
      <c r="A34" s="1"/>
      <c r="B34" s="32"/>
      <c r="C34" s="32"/>
      <c r="D34" s="32"/>
      <c r="E34" s="32"/>
      <c r="F34" s="24"/>
      <c r="G34" s="24"/>
      <c r="H34" s="38"/>
      <c r="I34" s="32"/>
      <c r="J34" s="32"/>
    </row>
    <row r="35" ht="16.5" customHeight="1">
      <c r="A35" s="1"/>
      <c r="B35" s="32"/>
      <c r="C35" s="32"/>
      <c r="D35" s="32"/>
      <c r="E35" s="32"/>
      <c r="F35" s="24"/>
      <c r="G35" s="24"/>
      <c r="H35" s="38"/>
      <c r="I35" s="32"/>
      <c r="J35" s="32"/>
    </row>
    <row r="36" ht="16.5" customHeight="1">
      <c r="A36" s="1"/>
      <c r="B36" s="32"/>
      <c r="C36" s="32"/>
      <c r="D36" s="32"/>
      <c r="E36" s="32"/>
      <c r="F36" s="24"/>
      <c r="G36" s="24"/>
      <c r="H36" s="38"/>
      <c r="I36" s="32"/>
      <c r="J36" s="32"/>
    </row>
    <row r="37" ht="16.5" customHeight="1">
      <c r="A37" s="1"/>
      <c r="B37" s="32"/>
      <c r="C37" s="32"/>
      <c r="D37" s="32"/>
      <c r="E37" s="32"/>
      <c r="F37" s="24"/>
      <c r="G37" s="24"/>
      <c r="H37" s="38"/>
      <c r="I37" s="32"/>
      <c r="J37" s="32"/>
    </row>
    <row r="38" ht="16.5" customHeight="1">
      <c r="A38" s="1"/>
      <c r="B38" s="32"/>
      <c r="C38" s="32"/>
      <c r="D38" s="32"/>
      <c r="E38" s="32"/>
      <c r="F38" s="32"/>
      <c r="G38" s="32"/>
      <c r="H38" s="32"/>
      <c r="I38" s="32"/>
      <c r="J38" s="32"/>
    </row>
    <row r="39" ht="16.5" customHeight="1">
      <c r="A39" s="1"/>
      <c r="B39" s="32"/>
      <c r="C39" s="32"/>
      <c r="D39" s="32"/>
      <c r="E39" s="32"/>
      <c r="F39" s="32"/>
      <c r="G39" s="32"/>
      <c r="H39" s="32"/>
      <c r="I39" s="32"/>
      <c r="J39" s="32"/>
    </row>
    <row r="40" ht="21.75" customHeight="1">
      <c r="A40" s="5"/>
      <c r="B40" s="8" t="s">
        <v>2716</v>
      </c>
      <c r="C40" s="8"/>
      <c r="D40" s="61"/>
      <c r="E40" s="8"/>
      <c r="F40" s="8"/>
      <c r="G40" s="8"/>
      <c r="H40" s="8"/>
      <c r="I40" s="61"/>
      <c r="J40" s="8"/>
    </row>
    <row r="41" ht="16.5" customHeight="1">
      <c r="A41" s="1"/>
      <c r="B41" s="117" t="s">
        <v>2717</v>
      </c>
      <c r="C41" s="43">
        <f>TotalBudget</f>
        <v>4000000</v>
      </c>
      <c r="D41" s="32"/>
      <c r="E41" s="32"/>
      <c r="F41" s="32"/>
      <c r="G41" s="32"/>
      <c r="H41" s="32"/>
      <c r="I41" s="32"/>
      <c r="J41" s="32"/>
    </row>
    <row r="42" ht="16.5" customHeight="1">
      <c r="A42" s="1"/>
      <c r="B42" s="117" t="s">
        <v>2718</v>
      </c>
      <c r="C42" s="43">
        <f>SUM('03 Budget'!E7:E300)</f>
        <v>7318000</v>
      </c>
      <c r="D42" s="32"/>
      <c r="E42" s="32"/>
      <c r="F42" s="32"/>
      <c r="G42" s="32"/>
      <c r="H42" s="32"/>
      <c r="I42" s="32"/>
      <c r="J42" s="32"/>
    </row>
    <row r="43" ht="16.5" customHeight="1">
      <c r="A43" s="1"/>
      <c r="B43" s="117" t="s">
        <v>2719</v>
      </c>
      <c r="C43" s="43">
        <f>SUM('03 Budget'!L7:L300)</f>
        <v>4702500</v>
      </c>
      <c r="D43" s="32"/>
      <c r="E43" s="32"/>
      <c r="F43" s="32"/>
      <c r="G43" s="32"/>
      <c r="H43" s="32"/>
      <c r="I43" s="32"/>
      <c r="J43" s="32"/>
    </row>
    <row r="44" ht="16.5" customHeight="1">
      <c r="A44" s="1"/>
      <c r="B44" s="117" t="s">
        <v>2720</v>
      </c>
      <c r="C44" s="43">
        <f>SUM('03 Budget'!L7:L300)-TotalBudget</f>
        <v>702500</v>
      </c>
      <c r="D44" s="32"/>
      <c r="E44" s="32"/>
      <c r="F44" s="32"/>
      <c r="G44" s="32"/>
      <c r="H44" s="32"/>
      <c r="I44" s="32"/>
      <c r="J44" s="32"/>
    </row>
    <row r="45" ht="16.5" customHeight="1">
      <c r="A45" s="1"/>
      <c r="B45" s="117" t="s">
        <v>2721</v>
      </c>
      <c r="C45" s="43">
        <f>SUM('03 Budget'!M7:M300)</f>
        <v>896000</v>
      </c>
      <c r="D45" s="32"/>
      <c r="E45" s="32"/>
      <c r="F45" s="32"/>
      <c r="G45" s="32"/>
      <c r="H45" s="32"/>
      <c r="I45" s="32"/>
      <c r="J45" s="32"/>
    </row>
    <row r="46" ht="16.5" customHeight="1">
      <c r="A46" s="1"/>
      <c r="B46" s="117" t="s">
        <v>2722</v>
      </c>
      <c r="C46" s="43">
        <f>SUM('03 Budget'!N7:N300)</f>
        <v>3806500</v>
      </c>
      <c r="D46" s="32"/>
      <c r="E46" s="32"/>
      <c r="F46" s="32"/>
      <c r="G46" s="32"/>
      <c r="H46" s="32"/>
      <c r="I46" s="32"/>
      <c r="J46" s="32"/>
    </row>
    <row r="47" ht="16.5" customHeight="1">
      <c r="A47" s="1"/>
      <c r="B47" s="117" t="s">
        <v>2723</v>
      </c>
      <c r="C47" s="43">
        <f>SUM('03 Budget'!O7:O300)</f>
        <v>0</v>
      </c>
      <c r="D47" s="32"/>
      <c r="E47" s="32"/>
      <c r="F47" s="32"/>
      <c r="G47" s="32"/>
      <c r="H47" s="32"/>
      <c r="I47" s="32"/>
      <c r="J47" s="32"/>
    </row>
    <row r="48" ht="16.5" customHeight="1">
      <c r="A48" s="1"/>
      <c r="B48" s="117" t="s">
        <v>2724</v>
      </c>
      <c r="C48" s="45">
        <f>SUM('03 Budget'!M7:M300)+SUM('03 Budget'!N7:N300)-SUM('03 Budget'!O7:O300)</f>
        <v>4702500</v>
      </c>
      <c r="D48" s="32"/>
      <c r="E48" s="32"/>
      <c r="F48" s="32"/>
      <c r="G48" s="32"/>
      <c r="H48" s="32"/>
      <c r="I48" s="32"/>
      <c r="J48" s="32"/>
    </row>
    <row r="49" ht="16.5" customHeight="1">
      <c r="A49" s="1"/>
      <c r="B49" s="117" t="s">
        <v>2725</v>
      </c>
      <c r="C49" s="43">
        <f>SUM('06 Contributions'!H7:H60)</f>
        <v>0</v>
      </c>
      <c r="D49" s="32"/>
      <c r="E49" s="32"/>
      <c r="F49" s="32"/>
      <c r="G49" s="32"/>
      <c r="H49" s="32"/>
      <c r="I49" s="32"/>
      <c r="J49" s="32"/>
    </row>
    <row r="50" ht="16.5" customHeight="1">
      <c r="A50" s="1"/>
      <c r="B50" s="117" t="s">
        <v>2726</v>
      </c>
      <c r="C50" s="43">
        <f>SUM('09 Guests'!AF7:AF300)</f>
        <v>0</v>
      </c>
      <c r="D50" s="32"/>
      <c r="E50" s="32"/>
      <c r="F50" s="32"/>
      <c r="G50" s="32"/>
      <c r="H50" s="32"/>
      <c r="I50" s="32"/>
      <c r="J50" s="32"/>
    </row>
    <row r="51" ht="16.5" customHeight="1">
      <c r="A51" s="1"/>
      <c r="B51" s="117" t="s">
        <v>2727</v>
      </c>
      <c r="C51" s="45">
        <f>C48-C49-C50</f>
        <v>4702500</v>
      </c>
      <c r="D51" s="32"/>
      <c r="E51" s="32"/>
      <c r="F51" s="32"/>
      <c r="G51" s="32"/>
      <c r="H51" s="32"/>
      <c r="I51" s="32"/>
      <c r="J51" s="32"/>
    </row>
    <row r="52" ht="16.5" customHeight="1">
      <c r="A52" s="1"/>
      <c r="B52" s="117" t="s">
        <v>2728</v>
      </c>
      <c r="C52" s="43">
        <f>IFERROR(C48/SUM('09 Guests'!Y7:Y300),0)</f>
        <v>0</v>
      </c>
      <c r="D52" s="32"/>
      <c r="E52" s="32"/>
      <c r="F52" s="32"/>
      <c r="G52" s="32"/>
      <c r="H52" s="32"/>
      <c r="I52" s="32"/>
      <c r="J52" s="32"/>
    </row>
    <row r="53" ht="16.5" customHeight="1">
      <c r="A53" s="1"/>
      <c r="B53" s="32"/>
      <c r="C53" s="32"/>
      <c r="D53" s="32"/>
      <c r="E53" s="32"/>
      <c r="F53" s="32"/>
      <c r="G53" s="32"/>
      <c r="H53" s="32"/>
      <c r="I53" s="32"/>
      <c r="J53" s="32"/>
    </row>
    <row r="54" ht="16.5" customHeight="1">
      <c r="A54" s="1"/>
      <c r="B54" s="32"/>
      <c r="C54" s="32"/>
      <c r="D54" s="32"/>
      <c r="E54" s="32"/>
      <c r="F54" s="32"/>
      <c r="G54" s="32"/>
      <c r="H54" s="32"/>
      <c r="I54" s="32"/>
      <c r="J54" s="32"/>
    </row>
    <row r="55" ht="21.75" customHeight="1">
      <c r="A55" s="5"/>
      <c r="B55" s="8" t="s">
        <v>2729</v>
      </c>
      <c r="C55" s="8"/>
      <c r="D55" s="61"/>
      <c r="E55" s="8"/>
      <c r="F55" s="8"/>
      <c r="G55" s="8"/>
      <c r="H55" s="8"/>
      <c r="I55" s="61"/>
      <c r="J55" s="8"/>
    </row>
    <row r="56" ht="25.5" customHeight="1">
      <c r="A56" s="1"/>
      <c r="B56" s="117" t="s">
        <v>2730</v>
      </c>
      <c r="C56" s="118"/>
      <c r="D56" s="67"/>
      <c r="E56" s="67"/>
      <c r="F56" s="67"/>
      <c r="G56" s="67"/>
      <c r="H56" s="67"/>
      <c r="I56" s="67"/>
      <c r="J56" s="51"/>
    </row>
    <row r="57" ht="16.5" customHeight="1">
      <c r="A57" s="1"/>
      <c r="B57" s="32"/>
      <c r="C57" s="32"/>
      <c r="D57" s="32"/>
      <c r="E57" s="32"/>
      <c r="F57" s="32"/>
      <c r="G57" s="32"/>
      <c r="H57" s="32"/>
      <c r="I57" s="32"/>
      <c r="J57" s="32"/>
    </row>
    <row r="58" ht="25.5" customHeight="1">
      <c r="A58" s="1"/>
      <c r="B58" s="117" t="s">
        <v>2731</v>
      </c>
      <c r="C58" s="118"/>
      <c r="D58" s="67"/>
      <c r="E58" s="67"/>
      <c r="F58" s="67"/>
      <c r="G58" s="67"/>
      <c r="H58" s="67"/>
      <c r="I58" s="67"/>
      <c r="J58" s="51"/>
    </row>
    <row r="59" ht="16.5" customHeight="1">
      <c r="A59" s="1"/>
      <c r="B59" s="32"/>
      <c r="C59" s="32"/>
      <c r="D59" s="32"/>
      <c r="E59" s="32"/>
      <c r="F59" s="32"/>
      <c r="G59" s="32"/>
      <c r="H59" s="32"/>
      <c r="I59" s="32"/>
      <c r="J59" s="32"/>
    </row>
    <row r="60" ht="25.5" customHeight="1">
      <c r="A60" s="1"/>
      <c r="B60" s="117" t="s">
        <v>2732</v>
      </c>
      <c r="C60" s="118"/>
      <c r="D60" s="67"/>
      <c r="E60" s="67"/>
      <c r="F60" s="67"/>
      <c r="G60" s="67"/>
      <c r="H60" s="67"/>
      <c r="I60" s="67"/>
      <c r="J60" s="51"/>
    </row>
    <row r="61" ht="16.5" customHeight="1">
      <c r="A61" s="1"/>
      <c r="B61" s="32"/>
      <c r="C61" s="32"/>
      <c r="D61" s="32"/>
      <c r="E61" s="32"/>
      <c r="F61" s="32"/>
      <c r="G61" s="32"/>
      <c r="H61" s="32"/>
      <c r="I61" s="32"/>
      <c r="J61" s="32"/>
    </row>
    <row r="62" ht="25.5" customHeight="1">
      <c r="A62" s="1"/>
      <c r="B62" s="117" t="s">
        <v>2733</v>
      </c>
      <c r="C62" s="118"/>
      <c r="D62" s="67"/>
      <c r="E62" s="67"/>
      <c r="F62" s="67"/>
      <c r="G62" s="67"/>
      <c r="H62" s="67"/>
      <c r="I62" s="67"/>
      <c r="J62" s="51"/>
    </row>
    <row r="63" ht="16.5" customHeight="1">
      <c r="A63" s="1"/>
      <c r="B63" s="32"/>
      <c r="C63" s="32"/>
      <c r="D63" s="32"/>
      <c r="E63" s="32"/>
      <c r="F63" s="32"/>
      <c r="G63" s="32"/>
      <c r="H63" s="32"/>
      <c r="I63" s="32"/>
      <c r="J63" s="32"/>
    </row>
    <row r="64" ht="25.5" customHeight="1">
      <c r="A64" s="1"/>
      <c r="B64" s="117" t="s">
        <v>2734</v>
      </c>
      <c r="C64" s="118"/>
      <c r="D64" s="67"/>
      <c r="E64" s="67"/>
      <c r="F64" s="67"/>
      <c r="G64" s="67"/>
      <c r="H64" s="67"/>
      <c r="I64" s="67"/>
      <c r="J64" s="51"/>
    </row>
    <row r="65" ht="16.5" customHeight="1">
      <c r="A65" s="1"/>
      <c r="B65" s="32"/>
      <c r="C65" s="32"/>
      <c r="D65" s="32"/>
      <c r="E65" s="32"/>
      <c r="F65" s="32"/>
      <c r="G65" s="32"/>
      <c r="H65" s="32"/>
      <c r="I65" s="32"/>
      <c r="J65" s="32"/>
    </row>
    <row r="66" ht="25.5" customHeight="1">
      <c r="A66" s="1"/>
      <c r="B66" s="117" t="s">
        <v>2735</v>
      </c>
      <c r="C66" s="118"/>
      <c r="D66" s="67"/>
      <c r="E66" s="67"/>
      <c r="F66" s="67"/>
      <c r="G66" s="67"/>
      <c r="H66" s="67"/>
      <c r="I66" s="67"/>
      <c r="J66" s="51"/>
    </row>
    <row r="67" ht="16.5" customHeight="1">
      <c r="A67" s="1"/>
      <c r="B67" s="32"/>
      <c r="C67" s="32"/>
      <c r="D67" s="32"/>
      <c r="E67" s="32"/>
      <c r="F67" s="32"/>
      <c r="G67" s="32"/>
      <c r="H67" s="32"/>
      <c r="I67" s="32"/>
      <c r="J67" s="32"/>
    </row>
    <row r="68" ht="25.5" customHeight="1">
      <c r="A68" s="1"/>
      <c r="B68" s="117" t="s">
        <v>2736</v>
      </c>
      <c r="C68" s="118"/>
      <c r="D68" s="67"/>
      <c r="E68" s="67"/>
      <c r="F68" s="67"/>
      <c r="G68" s="67"/>
      <c r="H68" s="67"/>
      <c r="I68" s="67"/>
      <c r="J68" s="51"/>
    </row>
    <row r="69" ht="16.5" customHeight="1">
      <c r="A69" s="1"/>
      <c r="B69" s="32"/>
      <c r="C69" s="32"/>
      <c r="D69" s="32"/>
      <c r="E69" s="32"/>
      <c r="F69" s="32"/>
      <c r="G69" s="32"/>
      <c r="H69" s="32"/>
      <c r="I69" s="32"/>
      <c r="J69" s="32"/>
    </row>
    <row r="70" ht="25.5" customHeight="1">
      <c r="A70" s="1"/>
      <c r="B70" s="117" t="s">
        <v>2737</v>
      </c>
      <c r="C70" s="118"/>
      <c r="D70" s="67"/>
      <c r="E70" s="67"/>
      <c r="F70" s="67"/>
      <c r="G70" s="67"/>
      <c r="H70" s="67"/>
      <c r="I70" s="67"/>
      <c r="J70" s="5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6:$J$37"/>
  <mergeCells count="8">
    <mergeCell ref="C56:J56"/>
    <mergeCell ref="C58:J58"/>
    <mergeCell ref="C60:J60"/>
    <mergeCell ref="C62:J62"/>
    <mergeCell ref="C64:J64"/>
    <mergeCell ref="C66:J66"/>
    <mergeCell ref="C68:J68"/>
    <mergeCell ref="C70:J70"/>
  </mergeCells>
  <conditionalFormatting sqref="B7:J70">
    <cfRule type="expression" dxfId="11" priority="1" stopIfTrue="1">
      <formula>$D7="Not Applicable"</formula>
    </cfRule>
  </conditionalFormatting>
  <conditionalFormatting sqref="B7:J37">
    <cfRule type="expression" dxfId="3" priority="2">
      <formula>$I7="Completed"</formula>
    </cfRule>
  </conditionalFormatting>
  <conditionalFormatting sqref="B7:J37">
    <cfRule type="expression" dxfId="6" priority="3">
      <formula>AND($I7&lt;&gt;"Completed",$F7&lt;&gt;"",$F7&lt;TODAY())</formula>
    </cfRule>
  </conditionalFormatting>
  <conditionalFormatting sqref="C44">
    <cfRule type="cellIs" dxfId="2" priority="4" operator="greaterThan">
      <formula>0</formula>
    </cfRule>
  </conditionalFormatting>
  <conditionalFormatting sqref="C44">
    <cfRule type="cellIs" dxfId="3" priority="5" operator="lessThanOrEqual">
      <formula>0</formula>
    </cfRule>
  </conditionalFormatting>
  <dataValidations>
    <dataValidation type="list" allowBlank="1" sqref="I7:I37">
      <formula1>"Not Started,In Progress,Waiting,Completed,Cancelled"</formula1>
    </dataValidation>
    <dataValidation type="list" allowBlank="1" sqref="D7:D37">
      <formula1>"Required,Optional,Not Applicable,Completed"</formula1>
    </dataValidation>
    <dataValidation type="list" allowBlank="1" sqref="E7:E37">
      <formula1>"Bride,Groom,Couple,Bride's Family,Groom's Family,Coordinator,Vendor,Shared"</formula1>
    </dataValidation>
  </dataValidation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9E9E"/>
    <pageSetUpPr/>
  </sheetPr>
  <sheetViews>
    <sheetView showGridLines="0" workbookViewId="0"/>
  </sheetViews>
  <sheetFormatPr customHeight="1" defaultColWidth="14.43" defaultRowHeight="15.0"/>
  <cols>
    <col customWidth="1" min="1" max="1" width="13.86"/>
    <col customWidth="1" min="2" max="15" width="21.43"/>
    <col customWidth="1" min="16" max="17" width="23.57"/>
  </cols>
  <sheetData>
    <row r="1" ht="16.5" customHeight="1">
      <c r="A1" s="1"/>
      <c r="B1" s="1"/>
      <c r="C1" s="1"/>
      <c r="D1" s="1"/>
      <c r="E1" s="1"/>
      <c r="F1" s="1"/>
      <c r="G1" s="1"/>
      <c r="H1" s="1"/>
      <c r="I1" s="1"/>
      <c r="J1" s="1"/>
      <c r="K1" s="1"/>
      <c r="L1" s="1"/>
      <c r="M1" s="1"/>
      <c r="N1" s="1"/>
      <c r="O1" s="1"/>
      <c r="P1" s="1"/>
      <c r="Q1" s="1"/>
    </row>
    <row r="2" ht="33.75" customHeight="1">
      <c r="A2" s="2"/>
      <c r="B2" s="2" t="s">
        <v>2619</v>
      </c>
      <c r="C2" s="2"/>
      <c r="D2" s="2"/>
      <c r="E2" s="2"/>
      <c r="F2" s="2"/>
      <c r="G2" s="2"/>
      <c r="H2" s="2"/>
      <c r="I2" s="2"/>
      <c r="J2" s="2"/>
      <c r="K2" s="2"/>
      <c r="L2" s="2"/>
      <c r="M2" s="2"/>
      <c r="N2" s="2"/>
      <c r="O2" s="2"/>
      <c r="P2" s="2"/>
      <c r="Q2" s="2"/>
    </row>
    <row r="3" ht="15.75" customHeight="1">
      <c r="A3" s="3"/>
      <c r="B3" s="3" t="s">
        <v>2622</v>
      </c>
      <c r="C3" s="3"/>
      <c r="D3" s="3"/>
      <c r="E3" s="3"/>
      <c r="F3" s="3"/>
      <c r="G3" s="3"/>
      <c r="H3" s="3"/>
      <c r="I3" s="3"/>
      <c r="J3" s="3"/>
      <c r="K3" s="3"/>
      <c r="L3" s="3"/>
      <c r="M3" s="3"/>
      <c r="N3" s="3"/>
      <c r="O3" s="3"/>
      <c r="P3" s="3"/>
      <c r="Q3" s="3"/>
    </row>
    <row r="4" ht="16.5" customHeight="1">
      <c r="A4" s="1"/>
      <c r="B4" s="1"/>
      <c r="C4" s="1"/>
      <c r="D4" s="1"/>
      <c r="E4" s="1"/>
      <c r="F4" s="1"/>
      <c r="G4" s="1"/>
      <c r="H4" s="1"/>
      <c r="I4" s="1"/>
      <c r="J4" s="1"/>
      <c r="K4" s="1"/>
      <c r="L4" s="1"/>
      <c r="M4" s="1"/>
      <c r="N4" s="1"/>
      <c r="O4" s="1"/>
      <c r="P4" s="1"/>
      <c r="Q4" s="1"/>
    </row>
    <row r="5" ht="30.0" customHeight="1">
      <c r="A5" s="16"/>
      <c r="B5" s="17" t="s">
        <v>2626</v>
      </c>
      <c r="C5" s="17" t="s">
        <v>88</v>
      </c>
      <c r="D5" s="17" t="s">
        <v>1228</v>
      </c>
      <c r="E5" s="17" t="s">
        <v>2628</v>
      </c>
      <c r="F5" s="17" t="s">
        <v>1223</v>
      </c>
      <c r="G5" s="17" t="s">
        <v>1396</v>
      </c>
      <c r="H5" s="17" t="s">
        <v>1383</v>
      </c>
      <c r="I5" s="17" t="s">
        <v>2630</v>
      </c>
      <c r="J5" s="17" t="s">
        <v>2631</v>
      </c>
      <c r="K5" s="17" t="s">
        <v>2632</v>
      </c>
      <c r="L5" s="17" t="s">
        <v>2633</v>
      </c>
      <c r="M5" s="17" t="s">
        <v>1402</v>
      </c>
      <c r="N5" s="17" t="s">
        <v>2634</v>
      </c>
      <c r="O5" s="17" t="s">
        <v>2635</v>
      </c>
      <c r="P5" s="17" t="s">
        <v>2636</v>
      </c>
      <c r="Q5" s="17" t="s">
        <v>2637</v>
      </c>
    </row>
    <row r="6" ht="16.5" customHeight="1">
      <c r="A6" s="1"/>
      <c r="B6" s="32" t="s">
        <v>128</v>
      </c>
      <c r="C6" s="32" t="s">
        <v>117</v>
      </c>
      <c r="D6" s="32" t="s">
        <v>1239</v>
      </c>
      <c r="E6" s="32" t="s">
        <v>259</v>
      </c>
      <c r="F6" s="32" t="s">
        <v>1256</v>
      </c>
      <c r="G6" s="32" t="s">
        <v>1422</v>
      </c>
      <c r="H6" s="32" t="s">
        <v>1256</v>
      </c>
      <c r="I6" s="32" t="s">
        <v>114</v>
      </c>
      <c r="J6" s="32" t="s">
        <v>2640</v>
      </c>
      <c r="K6" s="32" t="s">
        <v>2641</v>
      </c>
      <c r="L6" s="32" t="s">
        <v>2642</v>
      </c>
      <c r="M6" s="32" t="s">
        <v>2643</v>
      </c>
      <c r="N6" s="32" t="s">
        <v>1550</v>
      </c>
      <c r="O6" s="32" t="s">
        <v>117</v>
      </c>
      <c r="P6" s="32" t="s">
        <v>295</v>
      </c>
      <c r="Q6" s="32" t="s">
        <v>206</v>
      </c>
    </row>
    <row r="7" ht="16.5" customHeight="1">
      <c r="A7" s="1"/>
      <c r="B7" s="32" t="s">
        <v>240</v>
      </c>
      <c r="C7" s="32" t="s">
        <v>2645</v>
      </c>
      <c r="D7" s="32" t="s">
        <v>1249</v>
      </c>
      <c r="E7" s="32" t="s">
        <v>235</v>
      </c>
      <c r="F7" s="32" t="s">
        <v>129</v>
      </c>
      <c r="G7" s="32" t="s">
        <v>2646</v>
      </c>
      <c r="H7" s="32" t="s">
        <v>129</v>
      </c>
      <c r="I7" s="32" t="s">
        <v>1240</v>
      </c>
      <c r="J7" s="32" t="s">
        <v>2648</v>
      </c>
      <c r="K7" s="32" t="s">
        <v>2649</v>
      </c>
      <c r="L7" s="32" t="s">
        <v>2651</v>
      </c>
      <c r="M7" s="32" t="s">
        <v>2652</v>
      </c>
      <c r="N7" s="32" t="s">
        <v>1415</v>
      </c>
      <c r="O7" s="32" t="s">
        <v>2645</v>
      </c>
      <c r="P7" s="32" t="s">
        <v>301</v>
      </c>
      <c r="Q7" s="32" t="s">
        <v>219</v>
      </c>
    </row>
    <row r="8" ht="16.5" customHeight="1">
      <c r="A8" s="1"/>
      <c r="B8" s="32" t="s">
        <v>97</v>
      </c>
      <c r="C8" s="32" t="s">
        <v>1596</v>
      </c>
      <c r="D8" s="32" t="s">
        <v>1353</v>
      </c>
      <c r="E8" s="32" t="s">
        <v>2653</v>
      </c>
      <c r="F8" s="32" t="s">
        <v>1038</v>
      </c>
      <c r="G8" s="32" t="s">
        <v>2655</v>
      </c>
      <c r="H8" s="32" t="s">
        <v>2656</v>
      </c>
      <c r="I8" s="32"/>
      <c r="J8" s="32" t="s">
        <v>2657</v>
      </c>
      <c r="K8" s="32" t="s">
        <v>2658</v>
      </c>
      <c r="L8" s="32" t="s">
        <v>2660</v>
      </c>
      <c r="M8" s="32" t="s">
        <v>2661</v>
      </c>
      <c r="N8" s="32" t="s">
        <v>1641</v>
      </c>
      <c r="O8" s="32" t="s">
        <v>2662</v>
      </c>
      <c r="P8" s="32" t="s">
        <v>284</v>
      </c>
      <c r="Q8" s="32" t="s">
        <v>228</v>
      </c>
    </row>
    <row r="9" ht="16.5" customHeight="1">
      <c r="A9" s="1"/>
      <c r="B9" s="32" t="s">
        <v>273</v>
      </c>
      <c r="C9" s="32" t="s">
        <v>273</v>
      </c>
      <c r="D9" s="32" t="s">
        <v>2498</v>
      </c>
      <c r="E9" s="32" t="s">
        <v>2664</v>
      </c>
      <c r="F9" s="32" t="s">
        <v>395</v>
      </c>
      <c r="G9" s="32" t="s">
        <v>2665</v>
      </c>
      <c r="H9" s="32"/>
      <c r="I9" s="32"/>
      <c r="J9" s="32" t="s">
        <v>103</v>
      </c>
      <c r="K9" s="32" t="s">
        <v>112</v>
      </c>
      <c r="L9" s="32" t="s">
        <v>2666</v>
      </c>
      <c r="M9" s="32" t="s">
        <v>2668</v>
      </c>
      <c r="N9" s="32" t="s">
        <v>2669</v>
      </c>
      <c r="O9" s="32" t="s">
        <v>216</v>
      </c>
      <c r="P9" s="32" t="s">
        <v>309</v>
      </c>
      <c r="Q9" s="32" t="s">
        <v>237</v>
      </c>
    </row>
    <row r="10" ht="16.5" customHeight="1">
      <c r="A10" s="1"/>
      <c r="B10" s="32"/>
      <c r="C10" s="32" t="s">
        <v>2670</v>
      </c>
      <c r="D10" s="32"/>
      <c r="E10" s="32" t="s">
        <v>216</v>
      </c>
      <c r="F10" s="32" t="s">
        <v>217</v>
      </c>
      <c r="G10" s="32" t="s">
        <v>2671</v>
      </c>
      <c r="H10" s="32"/>
      <c r="I10" s="32"/>
      <c r="J10" s="32" t="s">
        <v>2672</v>
      </c>
      <c r="K10" s="32" t="s">
        <v>2674</v>
      </c>
      <c r="L10" s="32" t="s">
        <v>2675</v>
      </c>
      <c r="M10" s="32" t="s">
        <v>2676</v>
      </c>
      <c r="N10" s="32" t="s">
        <v>2677</v>
      </c>
      <c r="O10" s="32" t="s">
        <v>289</v>
      </c>
      <c r="P10" s="32" t="s">
        <v>315</v>
      </c>
      <c r="Q10" s="32" t="s">
        <v>245</v>
      </c>
    </row>
    <row r="11" ht="16.5" customHeight="1">
      <c r="A11" s="1"/>
      <c r="B11" s="32"/>
      <c r="C11" s="32"/>
      <c r="D11" s="32"/>
      <c r="E11" s="32" t="s">
        <v>273</v>
      </c>
      <c r="F11" s="32" t="s">
        <v>360</v>
      </c>
      <c r="G11" s="32"/>
      <c r="H11" s="32"/>
      <c r="I11" s="32"/>
      <c r="J11" s="32" t="s">
        <v>2680</v>
      </c>
      <c r="K11" s="32" t="s">
        <v>1214</v>
      </c>
      <c r="L11" s="32"/>
      <c r="M11" s="32" t="s">
        <v>2681</v>
      </c>
      <c r="N11" s="32" t="s">
        <v>2682</v>
      </c>
      <c r="O11" s="32" t="s">
        <v>1824</v>
      </c>
      <c r="P11" s="32" t="s">
        <v>316</v>
      </c>
      <c r="Q11" s="32" t="s">
        <v>2683</v>
      </c>
    </row>
    <row r="12" ht="16.5" customHeight="1">
      <c r="A12" s="1"/>
      <c r="B12" s="32"/>
      <c r="C12" s="32"/>
      <c r="D12" s="32"/>
      <c r="E12" s="32" t="s">
        <v>2670</v>
      </c>
      <c r="F12" s="32" t="s">
        <v>66</v>
      </c>
      <c r="G12" s="32"/>
      <c r="H12" s="32"/>
      <c r="I12" s="32"/>
      <c r="J12" s="32" t="s">
        <v>2686</v>
      </c>
      <c r="K12" s="32"/>
      <c r="L12" s="32"/>
      <c r="M12" s="32" t="s">
        <v>2687</v>
      </c>
      <c r="N12" s="32" t="s">
        <v>2688</v>
      </c>
      <c r="O12" s="32"/>
      <c r="P12" s="32" t="s">
        <v>319</v>
      </c>
      <c r="Q12" s="32" t="s">
        <v>253</v>
      </c>
    </row>
    <row r="13" ht="16.5" customHeight="1">
      <c r="A13" s="1"/>
      <c r="B13" s="32"/>
      <c r="C13" s="32"/>
      <c r="D13" s="32"/>
      <c r="E13" s="32"/>
      <c r="F13" s="32" t="s">
        <v>258</v>
      </c>
      <c r="G13" s="32"/>
      <c r="H13" s="32"/>
      <c r="I13" s="32"/>
      <c r="J13" s="32"/>
      <c r="K13" s="32"/>
      <c r="L13" s="32"/>
      <c r="M13" s="32" t="s">
        <v>2692</v>
      </c>
      <c r="N13" s="32" t="s">
        <v>1214</v>
      </c>
      <c r="O13" s="32"/>
      <c r="P13" s="32" t="s">
        <v>264</v>
      </c>
      <c r="Q13" s="32" t="s">
        <v>264</v>
      </c>
    </row>
    <row r="14" ht="16.5" customHeight="1">
      <c r="A14" s="1"/>
      <c r="B14" s="32"/>
      <c r="C14" s="32"/>
      <c r="D14" s="32"/>
      <c r="E14" s="32"/>
      <c r="F14" s="32"/>
      <c r="G14" s="32"/>
      <c r="H14" s="32"/>
      <c r="I14" s="32"/>
      <c r="J14" s="32"/>
      <c r="K14" s="32"/>
      <c r="L14" s="32"/>
      <c r="M14" s="32"/>
      <c r="N14" s="32"/>
      <c r="O14" s="32"/>
      <c r="P14" s="32" t="s">
        <v>327</v>
      </c>
      <c r="Q14" s="32" t="s">
        <v>2307</v>
      </c>
    </row>
    <row r="15" ht="16.5" customHeight="1">
      <c r="A15" s="1"/>
      <c r="B15" s="32"/>
      <c r="C15" s="32"/>
      <c r="D15" s="32"/>
      <c r="E15" s="32"/>
      <c r="F15" s="32"/>
      <c r="G15" s="32"/>
      <c r="H15" s="32"/>
      <c r="I15" s="32"/>
      <c r="J15" s="32"/>
      <c r="K15" s="32"/>
      <c r="L15" s="32"/>
      <c r="M15" s="32"/>
      <c r="N15" s="32"/>
      <c r="O15" s="32"/>
      <c r="P15" s="32" t="s">
        <v>333</v>
      </c>
      <c r="Q15" s="32" t="s">
        <v>278</v>
      </c>
    </row>
    <row r="16" ht="16.5" customHeight="1">
      <c r="A16" s="1"/>
      <c r="B16" s="32"/>
      <c r="C16" s="32"/>
      <c r="D16" s="32"/>
      <c r="E16" s="32"/>
      <c r="F16" s="32"/>
      <c r="G16" s="32"/>
      <c r="H16" s="32"/>
      <c r="I16" s="32"/>
      <c r="J16" s="32"/>
      <c r="K16" s="32"/>
      <c r="L16" s="32"/>
      <c r="M16" s="32"/>
      <c r="N16" s="32"/>
      <c r="O16" s="32"/>
      <c r="P16" s="32" t="s">
        <v>336</v>
      </c>
      <c r="Q16" s="32" t="s">
        <v>284</v>
      </c>
    </row>
    <row r="17" ht="16.5" customHeight="1">
      <c r="A17" s="1"/>
      <c r="B17" s="32"/>
      <c r="C17" s="32"/>
      <c r="D17" s="32"/>
      <c r="E17" s="32"/>
      <c r="F17" s="32"/>
      <c r="G17" s="32"/>
      <c r="H17" s="32"/>
      <c r="I17" s="32"/>
      <c r="J17" s="32"/>
      <c r="K17" s="32"/>
      <c r="L17" s="32"/>
      <c r="M17" s="32"/>
      <c r="N17" s="32"/>
      <c r="O17" s="32"/>
      <c r="P17" s="32" t="s">
        <v>338</v>
      </c>
      <c r="Q17" s="32" t="s">
        <v>329</v>
      </c>
    </row>
    <row r="18" ht="16.5" customHeight="1">
      <c r="A18" s="1"/>
      <c r="B18" s="32"/>
      <c r="C18" s="32"/>
      <c r="D18" s="32"/>
      <c r="E18" s="32"/>
      <c r="F18" s="32"/>
      <c r="G18" s="32"/>
      <c r="H18" s="32"/>
      <c r="I18" s="32"/>
      <c r="J18" s="32"/>
      <c r="K18" s="32"/>
      <c r="L18" s="32"/>
      <c r="M18" s="32"/>
      <c r="N18" s="32"/>
      <c r="O18" s="32"/>
      <c r="P18" s="32" t="s">
        <v>342</v>
      </c>
      <c r="Q18" s="32" t="s">
        <v>2706</v>
      </c>
    </row>
    <row r="19" ht="16.5" customHeight="1">
      <c r="A19" s="1"/>
      <c r="B19" s="32"/>
      <c r="C19" s="32"/>
      <c r="D19" s="32"/>
      <c r="E19" s="32"/>
      <c r="F19" s="32"/>
      <c r="G19" s="32"/>
      <c r="H19" s="32"/>
      <c r="I19" s="32"/>
      <c r="J19" s="32"/>
      <c r="K19" s="32"/>
      <c r="L19" s="32"/>
      <c r="M19" s="32"/>
      <c r="N19" s="32"/>
      <c r="O19" s="32"/>
      <c r="P19" s="32" t="s">
        <v>348</v>
      </c>
      <c r="Q19" s="32" t="s">
        <v>322</v>
      </c>
    </row>
    <row r="20" ht="16.5" customHeight="1">
      <c r="A20" s="1"/>
      <c r="B20" s="32"/>
      <c r="C20" s="32"/>
      <c r="D20" s="32"/>
      <c r="E20" s="32"/>
      <c r="F20" s="32"/>
      <c r="G20" s="32"/>
      <c r="H20" s="32"/>
      <c r="I20" s="32"/>
      <c r="J20" s="32"/>
      <c r="K20" s="32"/>
      <c r="L20" s="32"/>
      <c r="M20" s="32"/>
      <c r="N20" s="32"/>
      <c r="O20" s="32"/>
      <c r="P20" s="32" t="s">
        <v>349</v>
      </c>
      <c r="Q20" s="32" t="s">
        <v>297</v>
      </c>
    </row>
    <row r="21" ht="16.5" customHeight="1">
      <c r="A21" s="1"/>
      <c r="B21" s="32"/>
      <c r="C21" s="32"/>
      <c r="D21" s="32"/>
      <c r="E21" s="32"/>
      <c r="F21" s="32"/>
      <c r="G21" s="32"/>
      <c r="H21" s="32"/>
      <c r="I21" s="32"/>
      <c r="J21" s="32"/>
      <c r="K21" s="32"/>
      <c r="L21" s="32"/>
      <c r="M21" s="32"/>
      <c r="N21" s="32"/>
      <c r="O21" s="32"/>
      <c r="P21" s="32" t="s">
        <v>355</v>
      </c>
      <c r="Q21" s="32" t="s">
        <v>305</v>
      </c>
    </row>
    <row r="22" ht="16.5" customHeight="1">
      <c r="A22" s="1"/>
      <c r="B22" s="32"/>
      <c r="C22" s="32"/>
      <c r="D22" s="32"/>
      <c r="E22" s="32"/>
      <c r="F22" s="32"/>
      <c r="G22" s="32"/>
      <c r="H22" s="32"/>
      <c r="I22" s="32"/>
      <c r="J22" s="32"/>
      <c r="K22" s="32"/>
      <c r="L22" s="32"/>
      <c r="M22" s="32"/>
      <c r="N22" s="32"/>
      <c r="O22" s="32"/>
      <c r="P22" s="32" t="s">
        <v>356</v>
      </c>
      <c r="Q22" s="32" t="s">
        <v>313</v>
      </c>
    </row>
    <row r="23" ht="16.5" customHeight="1">
      <c r="A23" s="1"/>
      <c r="B23" s="32"/>
      <c r="C23" s="32"/>
      <c r="D23" s="32"/>
      <c r="E23" s="32"/>
      <c r="F23" s="32"/>
      <c r="G23" s="32"/>
      <c r="H23" s="32"/>
      <c r="I23" s="32"/>
      <c r="J23" s="32"/>
      <c r="K23" s="32"/>
      <c r="L23" s="32"/>
      <c r="M23" s="32"/>
      <c r="N23" s="32"/>
      <c r="O23" s="32"/>
      <c r="P23" s="32" t="s">
        <v>362</v>
      </c>
      <c r="Q23" s="32" t="s">
        <v>338</v>
      </c>
    </row>
    <row r="24" ht="16.5" customHeight="1">
      <c r="A24" s="1"/>
      <c r="B24" s="32"/>
      <c r="C24" s="32"/>
      <c r="D24" s="32"/>
      <c r="E24" s="32"/>
      <c r="F24" s="32"/>
      <c r="G24" s="32"/>
      <c r="H24" s="32"/>
      <c r="I24" s="32"/>
      <c r="J24" s="32"/>
      <c r="K24" s="32"/>
      <c r="L24" s="32"/>
      <c r="M24" s="32"/>
      <c r="N24" s="32"/>
      <c r="O24" s="32"/>
      <c r="P24" s="32" t="s">
        <v>363</v>
      </c>
      <c r="Q24" s="32" t="s">
        <v>346</v>
      </c>
    </row>
    <row r="25" ht="16.5" customHeight="1">
      <c r="A25" s="1"/>
      <c r="B25" s="32"/>
      <c r="C25" s="32"/>
      <c r="D25" s="32"/>
      <c r="E25" s="32"/>
      <c r="F25" s="32"/>
      <c r="G25" s="32"/>
      <c r="H25" s="32"/>
      <c r="I25" s="32"/>
      <c r="J25" s="32"/>
      <c r="K25" s="32"/>
      <c r="L25" s="32"/>
      <c r="M25" s="32"/>
      <c r="N25" s="32"/>
      <c r="O25" s="32"/>
      <c r="P25" s="32" t="s">
        <v>366</v>
      </c>
      <c r="Q25" s="32" t="s">
        <v>353</v>
      </c>
    </row>
    <row r="26" ht="16.5" customHeight="1">
      <c r="A26" s="1"/>
      <c r="B26" s="32"/>
      <c r="C26" s="32"/>
      <c r="D26" s="32"/>
      <c r="E26" s="32"/>
      <c r="F26" s="32"/>
      <c r="G26" s="32"/>
      <c r="H26" s="32"/>
      <c r="I26" s="32"/>
      <c r="J26" s="32"/>
      <c r="K26" s="32"/>
      <c r="L26" s="32"/>
      <c r="M26" s="32"/>
      <c r="N26" s="32"/>
      <c r="O26" s="32"/>
      <c r="P26" s="32"/>
      <c r="Q26" s="32" t="s">
        <v>1969</v>
      </c>
    </row>
    <row r="27" ht="16.5" customHeight="1">
      <c r="A27" s="1"/>
      <c r="B27" s="32"/>
      <c r="C27" s="32"/>
      <c r="D27" s="32"/>
      <c r="E27" s="32"/>
      <c r="F27" s="32"/>
      <c r="G27" s="32"/>
      <c r="H27" s="32"/>
      <c r="I27" s="32"/>
      <c r="J27" s="32"/>
      <c r="K27" s="32"/>
      <c r="L27" s="32"/>
      <c r="M27" s="32"/>
      <c r="N27" s="32"/>
      <c r="O27" s="32"/>
      <c r="P27" s="32"/>
      <c r="Q27" s="32" t="s">
        <v>360</v>
      </c>
    </row>
    <row r="28" ht="16.5" customHeight="1">
      <c r="A28" s="1"/>
      <c r="B28" s="32"/>
      <c r="C28" s="32"/>
      <c r="D28" s="32"/>
      <c r="E28" s="32"/>
      <c r="F28" s="32"/>
      <c r="G28" s="32"/>
      <c r="H28" s="32"/>
      <c r="I28" s="32"/>
      <c r="J28" s="32"/>
      <c r="K28" s="32"/>
      <c r="L28" s="32"/>
      <c r="M28" s="32"/>
      <c r="N28" s="32"/>
      <c r="O28" s="32"/>
      <c r="P28" s="32"/>
      <c r="Q28" s="32" t="s">
        <v>167</v>
      </c>
    </row>
    <row r="29" ht="16.5" customHeight="1">
      <c r="A29" s="1"/>
      <c r="B29" s="32"/>
      <c r="C29" s="32"/>
      <c r="D29" s="32"/>
      <c r="E29" s="32"/>
      <c r="F29" s="32"/>
      <c r="G29" s="32"/>
      <c r="H29" s="32"/>
      <c r="I29" s="32"/>
      <c r="J29" s="32"/>
      <c r="K29" s="32"/>
      <c r="L29" s="32"/>
      <c r="M29" s="32"/>
      <c r="N29" s="32"/>
      <c r="O29" s="32"/>
      <c r="P29" s="32"/>
      <c r="Q29" s="32" t="s">
        <v>1214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